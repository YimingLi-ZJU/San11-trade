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9400" windowHeight="12400" activeTab="4"/>
  </bookViews>
  <sheets>
    <sheet name="规则" sheetId="1" r:id="rId1"/>
    <sheet name="总表" sheetId="2" r:id="rId2"/>
    <sheet name="正派" sheetId="27" r:id="rId3"/>
    <sheet name="邪派" sheetId="28" r:id="rId4"/>
    <sheet name="中立" sheetId="29" r:id="rId5"/>
    <sheet name="召唤" sheetId="16" r:id="rId6"/>
    <sheet name="初抽武将包" sheetId="24" r:id="rId7"/>
    <sheet name="选秀" sheetId="19" r:id="rId8"/>
    <sheet name="大核拍卖" sheetId="23" r:id="rId9"/>
    <sheet name="二抽包" sheetId="20" r:id="rId10"/>
    <sheet name="npc" sheetId="21" r:id="rId11"/>
    <sheet name="宝物" sheetId="9" r:id="rId12"/>
    <sheet name="国策" sheetId="14" r:id="rId13"/>
    <sheet name="城市_比赛场地" sheetId="10" r:id="rId14"/>
    <sheet name="全局规则" sheetId="11" r:id="rId15"/>
  </sheets>
  <definedNames>
    <definedName name="_xlnm._FilterDatabase" localSheetId="1" hidden="1">总表!$A$1:$X$735</definedName>
    <definedName name="_xlnm._FilterDatabase" localSheetId="11" hidden="1">宝物!$A$1:$I$44</definedName>
    <definedName name="_xlnm._FilterDatabase" localSheetId="13" hidden="1">城市_比赛场地!$A$1:$G$43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<sst xmlns="http://schemas.openxmlformats.org/spreadsheetml/2006/main" count="18272" uniqueCount="2245">
  <si>
    <t>本届单挑由树袋熊和喝茶联合举办，模版和规则很大幅度上使用了我浙的板子，在此对我浙表达感谢。</t>
  </si>
  <si>
    <t>本届重要改变：武力100%定攻击，统帅100%定防御；兵临城下无收入；开水军</t>
  </si>
  <si>
    <t>游戏顺序</t>
  </si>
  <si>
    <t>事件</t>
  </si>
  <si>
    <t>消耗</t>
  </si>
  <si>
    <t>效果</t>
  </si>
  <si>
    <r>
      <rPr>
        <b/>
        <sz val="11"/>
        <color rgb="FF000000"/>
        <rFont val="等线"/>
        <charset val="134"/>
      </rPr>
      <t>报名，32人，选择国号，获得</t>
    </r>
    <r>
      <rPr>
        <b/>
        <sz val="11"/>
        <color rgb="FFFF4015"/>
        <rFont val="等线"/>
        <charset val="134"/>
      </rPr>
      <t xml:space="preserve">300 </t>
    </r>
    <r>
      <rPr>
        <b/>
        <sz val="11"/>
        <color rgb="FF000000"/>
        <rFont val="等线"/>
        <charset val="134"/>
      </rPr>
      <t>空间+</t>
    </r>
    <r>
      <rPr>
        <b/>
        <sz val="11"/>
        <color rgb="FFFF0000"/>
        <rFont val="等线"/>
        <charset val="134"/>
      </rPr>
      <t>20科技点</t>
    </r>
  </si>
  <si>
    <t>薪资使用</t>
  </si>
  <si>
    <t>君主</t>
  </si>
  <si>
    <r>
      <rPr>
        <b/>
        <sz val="11"/>
        <color indexed="8"/>
        <rFont val="等线"/>
        <charset val="134"/>
      </rPr>
      <t xml:space="preserve">君主薪资= </t>
    </r>
    <r>
      <rPr>
        <b/>
        <sz val="11"/>
        <color rgb="FFFF0000"/>
        <rFont val="等线"/>
        <charset val="134"/>
      </rPr>
      <t>2*（统-89）</t>
    </r>
    <r>
      <rPr>
        <b/>
        <sz val="11"/>
        <color indexed="8"/>
        <rFont val="等线"/>
        <charset val="134"/>
      </rPr>
      <t>+（武-89）+（魅-89）+圣*</t>
    </r>
    <r>
      <rPr>
        <b/>
        <sz val="11"/>
        <color rgb="FFFF0000"/>
        <rFont val="等线"/>
        <charset val="134"/>
      </rPr>
      <t>8</t>
    </r>
    <r>
      <rPr>
        <b/>
        <sz val="11"/>
        <color indexed="8"/>
        <rFont val="等线"/>
        <charset val="134"/>
      </rPr>
      <t>+仙*</t>
    </r>
    <r>
      <rPr>
        <b/>
        <sz val="11"/>
        <color rgb="FFFF0000"/>
        <rFont val="等线"/>
        <charset val="134"/>
      </rPr>
      <t>12</t>
    </r>
  </si>
  <si>
    <r>
      <rPr>
        <b/>
        <sz val="11"/>
        <color indexed="8"/>
        <rFont val="等线"/>
        <charset val="134"/>
      </rPr>
      <t>报价选择初抽武将包（暗拍，获得的武将包不需要补薪资）</t>
    </r>
    <r>
      <rPr>
        <b/>
        <sz val="11"/>
        <color rgb="FFFF0000"/>
        <rFont val="等线"/>
        <charset val="134"/>
      </rPr>
      <t>（出价为0无法主动选择，将会在最后随机）</t>
    </r>
  </si>
  <si>
    <t>科技</t>
  </si>
  <si>
    <t>1空间换1科技点</t>
  </si>
  <si>
    <r>
      <rPr>
        <b/>
        <sz val="11"/>
        <color indexed="8"/>
        <rFont val="等线"/>
        <charset val="134"/>
      </rPr>
      <t>核心拍卖，在QQ拍卖群明拍，每次加价至少为5，</t>
    </r>
    <r>
      <rPr>
        <b/>
        <sz val="11"/>
        <color rgb="FFFF0000"/>
        <rFont val="等线"/>
        <charset val="134"/>
      </rPr>
      <t>起拍价全部为40，拍卖的大核只能在大核间互相交易，流拍大核进入选秀一轮</t>
    </r>
  </si>
  <si>
    <t>功绩</t>
  </si>
  <si>
    <t>1空间500功绩</t>
  </si>
  <si>
    <r>
      <rPr>
        <b/>
        <sz val="11"/>
        <color indexed="8"/>
        <rFont val="等线"/>
        <charset val="134"/>
      </rPr>
      <t>国策拍卖，拍卖方式为暗拍，最低出价为0</t>
    </r>
    <r>
      <rPr>
        <b/>
        <sz val="11"/>
        <color rgb="FFFF0000"/>
        <rFont val="等线"/>
        <charset val="134"/>
      </rPr>
      <t>（出价为0无法主动选择，将会在最后随机）</t>
    </r>
  </si>
  <si>
    <t>兵力</t>
  </si>
  <si>
    <t>10空间换5000兵</t>
  </si>
  <si>
    <r>
      <rPr>
        <b/>
        <sz val="11"/>
        <color indexed="8"/>
        <rFont val="等线"/>
        <charset val="134"/>
      </rPr>
      <t>选秀，一次选够4轮（有大核的玩家只选3轮），</t>
    </r>
    <r>
      <rPr>
        <b/>
        <sz val="11"/>
        <color rgb="FFFF0000"/>
        <rFont val="等线"/>
        <charset val="134"/>
      </rPr>
      <t>最后由玩家计算出总价格报给主持。可以放弃。</t>
    </r>
  </si>
  <si>
    <t>钱粮</t>
  </si>
  <si>
    <t>10空间换2000金或者10000粮</t>
  </si>
  <si>
    <t>二次选包，按照剩余薪资多少来选包。二抽包需要付款，可以放弃。</t>
  </si>
  <si>
    <t>兵装</t>
  </si>
  <si>
    <t>10空间10000任意兵装</t>
  </si>
  <si>
    <t>自由交易，不设置交易规则（除大核只能与大核交易外），但主办有一票否决权。</t>
  </si>
  <si>
    <t>收入</t>
  </si>
  <si>
    <t>20空间换300/4500收入，最多各2次</t>
  </si>
  <si>
    <t>小组赛</t>
  </si>
  <si>
    <t>君主隐藏</t>
  </si>
  <si>
    <r>
      <rPr>
        <b/>
        <sz val="11"/>
        <color rgb="FFFF0000"/>
        <rFont val="等线"/>
        <charset val="134"/>
      </rPr>
      <t>10</t>
    </r>
    <r>
      <rPr>
        <b/>
        <sz val="11"/>
        <color theme="1"/>
        <rFont val="等线"/>
        <charset val="134"/>
      </rPr>
      <t>空间改野心，情义，性格</t>
    </r>
  </si>
  <si>
    <t>淘汰赛</t>
  </si>
  <si>
    <t>耐久</t>
  </si>
  <si>
    <t>10空间买1000耐久</t>
  </si>
  <si>
    <t>交易菠菜</t>
  </si>
  <si>
    <t>兵器</t>
  </si>
  <si>
    <t>10空间任意2台兵器</t>
  </si>
  <si>
    <r>
      <rPr>
        <b/>
        <sz val="11"/>
        <color indexed="8"/>
        <rFont val="等线"/>
        <charset val="134"/>
      </rPr>
      <t>游戏奖励：主持拍卖/主持选国家/选秀/选包/菠菜，</t>
    </r>
    <r>
      <rPr>
        <b/>
        <sz val="11"/>
        <color rgb="FFFF0000"/>
        <rFont val="等线"/>
        <charset val="134"/>
      </rPr>
      <t>每次10块钱工资。两个剧本5块钱工资。直播/审表每天5块钱工资。工资上限70。</t>
    </r>
  </si>
  <si>
    <t>特产</t>
  </si>
  <si>
    <t>5空间修改特产，10空间大都市</t>
  </si>
  <si>
    <t>分组</t>
  </si>
  <si>
    <t>32名玩家随机分成8个小组</t>
  </si>
  <si>
    <t>出线</t>
  </si>
  <si>
    <t>小组赛采取积分制，积分最高的两名玩家出线；当积分相同时，胜利场次多的玩家出线；胜利场次相同时，净胜利用时少的出线；破城时间相同，则进行点球赛。</t>
  </si>
  <si>
    <t>菠菜</t>
  </si>
  <si>
    <t>小组赛期间，每天进行8场比赛，每天会挑选三场比赛出来，进行娱乐博彩。每位玩家可对这三场比赛的结果做一个竞猜，竞猜的结果可以为“胜”、“平”、“负”，如果猜中则会获得相应的空间奖励，每场比赛猜中结果奖励5空间</t>
  </si>
  <si>
    <t>场地</t>
  </si>
  <si>
    <t>每个玩家将会进行三场比赛，一场为主场，一场为客场，一场为随机分配场地。主客场由玩家自己确定；随机比赛中，战场及玩家城市均为随机分配</t>
  </si>
  <si>
    <t>初始君主爵位为皇帝，但君主指挥部队上限降低为12000（麾下武将通过官职增加的带兵数不受影响）</t>
  </si>
  <si>
    <t>主场</t>
  </si>
  <si>
    <t>从20个场地中选一个作为主场，小组赛结束可再选择一次主场</t>
  </si>
  <si>
    <t>初始资源</t>
  </si>
  <si>
    <t>2w兵+8w粮+5000金+全兵装5000</t>
  </si>
  <si>
    <t>比赛</t>
  </si>
  <si>
    <t>首发</t>
  </si>
  <si>
    <t>总薪资</t>
  </si>
  <si>
    <t>大名单</t>
  </si>
  <si>
    <t>晋级奖励</t>
  </si>
  <si>
    <t>出战武将</t>
  </si>
  <si>
    <t>受到人数和薪资帽制约，详情看右侧</t>
  </si>
  <si>
    <t>不限</t>
  </si>
  <si>
    <t>比赛时间</t>
  </si>
  <si>
    <t>7年</t>
  </si>
  <si>
    <t>八分之一</t>
  </si>
  <si>
    <t>积分方式</t>
  </si>
  <si>
    <t>胜利得3分，平局得1分，失败得0分，斩杀君主算0.1分</t>
  </si>
  <si>
    <t>四分之一</t>
  </si>
  <si>
    <t>伤病系统</t>
  </si>
  <si>
    <t>本场比赛战死的武将下一场可以上场，但是身份改为死亡，可以用来做非献祭国策（召唤武将战死时按照id对应的武将算伤病）（例1：树袋熊上一场阵亡，若本场国策需求枪s，则树袋熊依然可以算做条件武将以达成国策，但是不能用来献祭换成召唤武将。树袋熊将占用薪资帽和人数，但是最终上场时身份为死亡）</t>
  </si>
  <si>
    <t>例2：假设本势力有国策1需求两名武将共50薪资召唤成吉思汗。用傅友德30张良20做国策1召唤成吉思汗，成吉思汗继承傅友德id，此时傅友德不可作为其他国策的条件武将。若本场比赛成吉思汗死亡，则傅友德在下一场不可用于献祭，若需召唤成吉思汗则需要张良20与另一个30薪资的武将，但傅友德可以占薪资帽人头以死亡身份上场做其他国策。</t>
  </si>
  <si>
    <t>半决赛</t>
  </si>
  <si>
    <t>小组附加赛（24人赛制特殊附加赛）</t>
  </si>
  <si>
    <t>小组赛结束后，小组第一第二直接晋级，第三名随机抽签分为两组，参加6进4附加赛。附加赛6名选手按照小组战绩排序，分数&gt;胜场&gt;获胜时间，排序第一对战排序第四，排序第二对战排序第三。赢家晋级，输家随机与排序第五第六进行二次晋级战。二次晋级战的赢家晋级，两名输家淘汰。</t>
  </si>
  <si>
    <t>决赛</t>
  </si>
  <si>
    <t>舔包</t>
  </si>
  <si>
    <r>
      <rPr>
        <b/>
        <sz val="11"/>
        <color rgb="FFFF0000"/>
        <rFont val="等线"/>
        <charset val="134"/>
      </rPr>
      <t>小组赛结束后，组内排名第一的玩家可以舔包同组两个淘汰玩家中的一个，排名第二舔另一个。淘汰赛场次的胜者可以舔包本场的败者。</t>
    </r>
    <r>
      <rPr>
        <b/>
        <sz val="11"/>
        <color indexed="8"/>
        <rFont val="等线"/>
        <charset val="134"/>
      </rPr>
      <t>舔包规则：指定一名出局玩家，获得其全部武将和宝物然后进行丢弃，最终每名玩家只能保留x（见右侧比赛对应的大名单）名武将，每件宝物算1个人头</t>
    </r>
  </si>
  <si>
    <t>淘汰赛全部重新抽签分组，没有同组回避，确定晋级路线</t>
  </si>
  <si>
    <t>淘汰赛中在双方主场分别进行一场比赛，根据积分定胜负；当积分相同时，如果战果为一胜一负，且一方获胜用时小于另一方获胜用时2年以上，则获胜用时小者胜利；否则进行加时赛。决赛则是2个主客场比赛+3个随机场地比赛</t>
  </si>
  <si>
    <r>
      <rPr>
        <b/>
        <sz val="12"/>
        <color indexed="8"/>
        <rFont val="Helvetica"/>
        <charset val="134"/>
      </rPr>
      <t>关于国策的几点说明：</t>
    </r>
    <r>
      <rPr>
        <sz val="12"/>
        <color indexed="8"/>
        <rFont val="Times New Roman"/>
        <charset val="134"/>
      </rPr>
      <t xml:space="preserve">
1.</t>
    </r>
    <r>
      <rPr>
        <b/>
        <sz val="12"/>
        <color indexed="8"/>
        <rFont val="Helvetica"/>
        <charset val="134"/>
      </rPr>
      <t>如“拥有筑城、扫荡、踏破、犄角、乱战”，“拥有猛者、掠夺、搬运、诡计、强袭、操舵”这样的要求，一个复合特技如果包含</t>
    </r>
    <r>
      <rPr>
        <sz val="12"/>
        <color indexed="8"/>
        <rFont val="Times New Roman"/>
        <charset val="134"/>
      </rPr>
      <t>X</t>
    </r>
    <r>
      <rPr>
        <b/>
        <sz val="12"/>
        <color indexed="8"/>
        <rFont val="Helvetica"/>
        <charset val="134"/>
      </rPr>
      <t>个国策要求特技，那么一个复合特技可以当</t>
    </r>
    <r>
      <rPr>
        <sz val="12"/>
        <color indexed="8"/>
        <rFont val="Times New Roman"/>
        <charset val="134"/>
      </rPr>
      <t>X</t>
    </r>
    <r>
      <rPr>
        <b/>
        <sz val="12"/>
        <color indexed="8"/>
        <rFont val="Helvetica"/>
        <charset val="134"/>
      </rPr>
      <t>个单特技用</t>
    </r>
    <r>
      <rPr>
        <sz val="12"/>
        <color indexed="8"/>
        <rFont val="Times New Roman"/>
        <charset val="134"/>
      </rPr>
      <t xml:space="preserve">
2.</t>
    </r>
    <r>
      <rPr>
        <b/>
        <sz val="12"/>
        <color indexed="8"/>
        <rFont val="Helvetica"/>
        <charset val="134"/>
      </rPr>
      <t>如“拥有</t>
    </r>
    <r>
      <rPr>
        <sz val="12"/>
        <color indexed="8"/>
        <rFont val="Times New Roman"/>
        <charset val="134"/>
      </rPr>
      <t>6</t>
    </r>
    <r>
      <rPr>
        <b/>
        <sz val="12"/>
        <color indexed="8"/>
        <rFont val="Helvetica"/>
        <charset val="134"/>
      </rPr>
      <t>个计略类科技”，“拥有</t>
    </r>
    <r>
      <rPr>
        <sz val="12"/>
        <color indexed="8"/>
        <rFont val="Times New Roman"/>
        <charset val="134"/>
      </rPr>
      <t>6</t>
    </r>
    <r>
      <rPr>
        <b/>
        <sz val="12"/>
        <color indexed="8"/>
        <rFont val="Helvetica"/>
        <charset val="134"/>
      </rPr>
      <t>名特技为补助类的武将”这样的要求，复合的特技只算</t>
    </r>
    <r>
      <rPr>
        <sz val="12"/>
        <color indexed="8"/>
        <rFont val="Times New Roman"/>
        <charset val="134"/>
      </rPr>
      <t>1</t>
    </r>
    <r>
      <rPr>
        <b/>
        <sz val="12"/>
        <color indexed="8"/>
        <rFont val="Helvetica"/>
        <charset val="134"/>
      </rPr>
      <t>个，比如神算复合了</t>
    </r>
    <r>
      <rPr>
        <sz val="12"/>
        <color indexed="8"/>
        <rFont val="Times New Roman"/>
        <charset val="134"/>
      </rPr>
      <t>3</t>
    </r>
    <r>
      <rPr>
        <b/>
        <sz val="12"/>
        <color indexed="8"/>
        <rFont val="Helvetica"/>
        <charset val="134"/>
      </rPr>
      <t>个特技，但在国策计算时只算</t>
    </r>
    <r>
      <rPr>
        <sz val="12"/>
        <color indexed="8"/>
        <rFont val="Times New Roman"/>
        <charset val="134"/>
      </rPr>
      <t>1</t>
    </r>
    <r>
      <rPr>
        <b/>
        <sz val="12"/>
        <color indexed="8"/>
        <rFont val="Helvetica"/>
        <charset val="134"/>
      </rPr>
      <t>个计略类特技</t>
    </r>
    <r>
      <rPr>
        <sz val="12"/>
        <color indexed="8"/>
        <rFont val="Times New Roman"/>
        <charset val="134"/>
      </rPr>
      <t xml:space="preserve">
3.</t>
    </r>
    <r>
      <rPr>
        <b/>
        <sz val="12"/>
        <color indexed="8"/>
        <rFont val="Helvetica"/>
        <charset val="134"/>
      </rPr>
      <t>通过国策赠送多个科技时可以选择放弃其中某项科技但不返还任何空间或科技点</t>
    </r>
  </si>
  <si>
    <t>资源</t>
  </si>
  <si>
    <t>2w兵+8w粮+5000金+全兵装5000，初始君主爵位皇帝</t>
  </si>
  <si>
    <t>积分</t>
  </si>
  <si>
    <r>
      <rPr>
        <b/>
        <sz val="11"/>
        <color indexed="8"/>
        <rFont val="等线"/>
        <charset val="134"/>
      </rPr>
      <t>胜利一场得3分，平局得1分，失败得0分，</t>
    </r>
    <r>
      <rPr>
        <b/>
        <sz val="11"/>
        <color rgb="FFFF0000"/>
        <rFont val="等线"/>
        <charset val="134"/>
      </rPr>
      <t>斩杀君主不再加分</t>
    </r>
  </si>
  <si>
    <t>加时赛</t>
  </si>
  <si>
    <r>
      <rPr>
        <b/>
        <sz val="11"/>
        <color indexed="8"/>
        <rFont val="等线"/>
        <charset val="134"/>
      </rPr>
      <t>随机确定一个战场，双方按照淘汰赛规则进行战斗，双方君主互相厌恶，</t>
    </r>
    <r>
      <rPr>
        <b/>
        <sz val="11"/>
        <color rgb="FFFF0000"/>
        <rFont val="等线"/>
        <charset val="134"/>
      </rPr>
      <t>加时赛限制君主不能带宝物，且君主特技中不能包含天命，血路，护卫（若复合特技包含此三种特技，则暂时将它们移除）</t>
    </r>
    <r>
      <rPr>
        <b/>
        <sz val="11"/>
        <color indexed="8"/>
        <rFont val="等线"/>
        <charset val="134"/>
      </rPr>
      <t>。当某一方失败或者君主死亡时加时赛结束</t>
    </r>
    <r>
      <rPr>
        <b/>
        <sz val="11"/>
        <color indexed="13"/>
        <rFont val="等线"/>
        <charset val="134"/>
      </rPr>
      <t>（如果加时赛时间超过7年即按照原来的提交表重新开始一次）</t>
    </r>
    <r>
      <rPr>
        <b/>
        <sz val="11"/>
        <color indexed="8"/>
        <rFont val="等线"/>
        <charset val="134"/>
      </rPr>
      <t>。</t>
    </r>
    <r>
      <rPr>
        <b/>
        <sz val="11"/>
        <color rgb="FFFF0000"/>
        <rFont val="等线"/>
        <charset val="134"/>
      </rPr>
      <t>君主以任何方式死亡都不会算停赛。</t>
    </r>
  </si>
  <si>
    <t>国策掠夺</t>
  </si>
  <si>
    <t>淘汰赛第一场结束后，本场成功晋级的玩家可以选择将自己的一项国策与本轮对手的一项国策交换，该交换为永久不可逆且每名玩家在一整届仅有一次交换机会。该交换可保留至下一次晋级成功再使用</t>
  </si>
  <si>
    <t>规则</t>
  </si>
  <si>
    <t>首发人数/薪资限制/大名单人数/空间奖励如右图所示</t>
  </si>
  <si>
    <t>获得其全部武将和宝物然后丢弃，每场比赛人数限制如右图所示</t>
  </si>
  <si>
    <t>主办拥有最终解释权</t>
  </si>
  <si>
    <t>序号</t>
  </si>
  <si>
    <t>姓名</t>
  </si>
  <si>
    <r>
      <rPr>
        <b/>
        <sz val="14"/>
        <color indexed="9"/>
        <rFont val="华文新魏"/>
        <charset val="134"/>
      </rPr>
      <t>价值</t>
    </r>
  </si>
  <si>
    <t>统御</t>
  </si>
  <si>
    <t>武力</t>
  </si>
  <si>
    <t>智力</t>
  </si>
  <si>
    <t>政治</t>
  </si>
  <si>
    <t>魅力</t>
  </si>
  <si>
    <t>五维</t>
  </si>
  <si>
    <r>
      <rPr>
        <sz val="12"/>
        <color indexed="9"/>
        <rFont val="华文新魏"/>
        <charset val="134"/>
      </rPr>
      <t>相性</t>
    </r>
  </si>
  <si>
    <t>枪</t>
  </si>
  <si>
    <t>戟</t>
  </si>
  <si>
    <t>弩</t>
  </si>
  <si>
    <t>骑</t>
  </si>
  <si>
    <t>兵</t>
  </si>
  <si>
    <t>水</t>
  </si>
  <si>
    <t>特技</t>
  </si>
  <si>
    <t>义理</t>
  </si>
  <si>
    <t>野望</t>
  </si>
  <si>
    <t>性格</t>
  </si>
  <si>
    <r>
      <rPr>
        <b/>
        <sz val="12"/>
        <color indexed="9"/>
        <rFont val="华文新魏"/>
        <charset val="134"/>
      </rPr>
      <t>统武和</t>
    </r>
  </si>
  <si>
    <t>改动</t>
  </si>
  <si>
    <t>戚继光</t>
  </si>
  <si>
    <t>Ａ</t>
  </si>
  <si>
    <t>Ｓ</t>
  </si>
  <si>
    <t>圣</t>
  </si>
  <si>
    <t>工神</t>
  </si>
  <si>
    <t>不会背叛</t>
  </si>
  <si>
    <t>普通</t>
  </si>
  <si>
    <t>冷静</t>
  </si>
  <si>
    <r>
      <rPr>
        <sz val="9"/>
        <color rgb="FF000000"/>
        <rFont val="宋体"/>
        <charset val="134"/>
      </rPr>
      <t>工神</t>
    </r>
    <r>
      <rPr>
        <sz val="9"/>
        <color rgb="FF000000"/>
        <rFont val="STZhongsong"/>
        <charset val="134"/>
      </rPr>
      <t>=</t>
    </r>
    <r>
      <rPr>
        <sz val="9"/>
        <color rgb="FF000000"/>
        <rFont val="宋体"/>
        <charset val="134"/>
      </rPr>
      <t>工神</t>
    </r>
    <r>
      <rPr>
        <sz val="9"/>
        <color rgb="FF000000"/>
        <rFont val="STZhongsong"/>
        <charset val="134"/>
      </rPr>
      <t>+</t>
    </r>
    <r>
      <rPr>
        <sz val="9"/>
        <color rgb="FF000000"/>
        <rFont val="宋体"/>
        <charset val="134"/>
      </rPr>
      <t>射程</t>
    </r>
    <r>
      <rPr>
        <sz val="9"/>
        <color rgb="FF000000"/>
        <rFont val="STZhongsong"/>
        <charset val="134"/>
      </rPr>
      <t>+</t>
    </r>
    <r>
      <rPr>
        <sz val="9"/>
        <color rgb="FF000000"/>
        <rFont val="宋体"/>
        <charset val="134"/>
      </rPr>
      <t>强行</t>
    </r>
    <r>
      <rPr>
        <sz val="9"/>
        <color rgb="FF000000"/>
        <rFont val="STZhongsong"/>
        <charset val="134"/>
      </rPr>
      <t>+</t>
    </r>
    <r>
      <rPr>
        <sz val="9"/>
        <color rgb="FF000000"/>
        <rFont val="宋体"/>
        <charset val="134"/>
      </rPr>
      <t>奏乐</t>
    </r>
    <r>
      <rPr>
        <sz val="9"/>
        <color rgb="FF000000"/>
        <rFont val="STZhongsong"/>
        <charset val="134"/>
      </rPr>
      <t>+</t>
    </r>
    <r>
      <rPr>
        <sz val="9"/>
        <color rgb="FF000000"/>
        <rFont val="宋体"/>
        <charset val="134"/>
      </rPr>
      <t>军魂</t>
    </r>
  </si>
  <si>
    <t>乐毅</t>
  </si>
  <si>
    <t>神</t>
  </si>
  <si>
    <t>Ｃ</t>
  </si>
  <si>
    <t>破国</t>
  </si>
  <si>
    <t>刚胆</t>
  </si>
  <si>
    <t>破国=攻城+射程+强行+遁走</t>
  </si>
  <si>
    <t>李绩</t>
  </si>
  <si>
    <t>孙武</t>
  </si>
  <si>
    <t>Ｂ</t>
  </si>
  <si>
    <t>兵圣</t>
  </si>
  <si>
    <t>情理坚定</t>
  </si>
  <si>
    <t>较低</t>
  </si>
  <si>
    <r>
      <rPr>
        <sz val="9"/>
        <color indexed="8"/>
        <rFont val="STZhongsong"/>
        <charset val="134"/>
      </rPr>
      <t>兵圣=兵圣+治军+踏破</t>
    </r>
    <r>
      <rPr>
        <sz val="9"/>
        <color rgb="FFFF0000"/>
        <rFont val="STZhongsong"/>
        <charset val="134"/>
      </rPr>
      <t>+铁壁</t>
    </r>
  </si>
  <si>
    <t>卡卡</t>
  </si>
  <si>
    <t>较高</t>
  </si>
  <si>
    <t>耿弇</t>
  </si>
  <si>
    <t>王猛</t>
  </si>
  <si>
    <t>王佐</t>
  </si>
  <si>
    <t>白起</t>
  </si>
  <si>
    <t>战神</t>
  </si>
  <si>
    <r>
      <rPr>
        <sz val="9"/>
        <color indexed="8"/>
        <rFont val="STZhongsong"/>
        <charset val="134"/>
      </rPr>
      <t>战神=战神</t>
    </r>
    <r>
      <rPr>
        <sz val="9"/>
        <color rgb="FFFF0000"/>
        <rFont val="STZhongsong"/>
        <charset val="134"/>
      </rPr>
      <t>+攻城</t>
    </r>
    <r>
      <rPr>
        <sz val="9"/>
        <color indexed="8"/>
        <rFont val="STZhongsong"/>
        <charset val="134"/>
      </rPr>
      <t>+战将+军魂</t>
    </r>
  </si>
  <si>
    <t>刘邦</t>
  </si>
  <si>
    <t>天命</t>
  </si>
  <si>
    <t>高</t>
  </si>
  <si>
    <t>墨翟</t>
  </si>
  <si>
    <t>贤哲</t>
  </si>
  <si>
    <t>小心</t>
  </si>
  <si>
    <t>王守仁</t>
  </si>
  <si>
    <t>落雷</t>
  </si>
  <si>
    <t>落雷=鬼门+鬼谋</t>
  </si>
  <si>
    <t>魏无忌</t>
  </si>
  <si>
    <t>名声</t>
  </si>
  <si>
    <t>于谦</t>
  </si>
  <si>
    <t>铁壁</t>
  </si>
  <si>
    <t>云生</t>
  </si>
  <si>
    <t>火神</t>
  </si>
  <si>
    <t>火神=火神+鬼谋</t>
  </si>
  <si>
    <t>张巡</t>
  </si>
  <si>
    <t>坚城</t>
  </si>
  <si>
    <t>姜子牙</t>
  </si>
  <si>
    <t>雷神</t>
  </si>
  <si>
    <r>
      <rPr>
        <sz val="9"/>
        <color rgb="FFFF0000"/>
        <rFont val="宋体"/>
        <charset val="134"/>
      </rPr>
      <t>雷神</t>
    </r>
    <r>
      <rPr>
        <sz val="9"/>
        <color rgb="FF000000"/>
        <rFont val="STZhongsong"/>
        <charset val="134"/>
      </rPr>
      <t>=</t>
    </r>
    <r>
      <rPr>
        <sz val="9"/>
        <color rgb="FF000000"/>
        <rFont val="宋体"/>
        <charset val="134"/>
      </rPr>
      <t>鬼谋</t>
    </r>
    <r>
      <rPr>
        <sz val="9"/>
        <color rgb="FF000000"/>
        <rFont val="STZhongsong"/>
        <charset val="134"/>
      </rPr>
      <t>+</t>
    </r>
    <r>
      <rPr>
        <sz val="9"/>
        <color rgb="FF000000"/>
        <rFont val="宋体"/>
        <charset val="134"/>
      </rPr>
      <t>鬼门</t>
    </r>
    <r>
      <rPr>
        <sz val="9"/>
        <color rgb="FF000000"/>
        <rFont val="STZhongsong"/>
        <charset val="134"/>
      </rPr>
      <t>+</t>
    </r>
    <r>
      <rPr>
        <sz val="9"/>
        <color rgb="FF000000"/>
        <rFont val="宋体"/>
        <charset val="134"/>
      </rPr>
      <t>百出+运筹+武干</t>
    </r>
  </si>
  <si>
    <t>韦孝宽</t>
  </si>
  <si>
    <t>诡计</t>
  </si>
  <si>
    <t>韦睿</t>
  </si>
  <si>
    <t>白月狐</t>
  </si>
  <si>
    <t>指导</t>
  </si>
  <si>
    <t>孙叔敖</t>
  </si>
  <si>
    <t>循吏</t>
  </si>
  <si>
    <t>陆抗</t>
  </si>
  <si>
    <t>攻心</t>
  </si>
  <si>
    <t>波波</t>
  </si>
  <si>
    <t>虚实</t>
  </si>
  <si>
    <t>无情义</t>
  </si>
  <si>
    <t>虚实=虚实+鬼谋+百出</t>
  </si>
  <si>
    <t>徐达</t>
  </si>
  <si>
    <t>神剑</t>
  </si>
  <si>
    <t>神剑=枪神+治军+突袭</t>
  </si>
  <si>
    <t>吕蒙</t>
  </si>
  <si>
    <t>安民</t>
  </si>
  <si>
    <t>郭威</t>
  </si>
  <si>
    <t>俞大猷</t>
  </si>
  <si>
    <t>百战</t>
  </si>
  <si>
    <t>魏胜</t>
  </si>
  <si>
    <t>强袭</t>
  </si>
  <si>
    <t>范蠡</t>
  </si>
  <si>
    <t>朱元璋</t>
  </si>
  <si>
    <t>驱逐</t>
  </si>
  <si>
    <r>
      <rPr>
        <sz val="9"/>
        <color rgb="FF000000"/>
        <rFont val="宋体"/>
        <charset val="134"/>
      </rPr>
      <t>驱逐</t>
    </r>
    <r>
      <rPr>
        <sz val="9"/>
        <color rgb="FF000000"/>
        <rFont val="STZhongsong"/>
        <charset val="134"/>
      </rPr>
      <t>=</t>
    </r>
    <r>
      <rPr>
        <sz val="9"/>
        <color rgb="FF000000"/>
        <rFont val="宋体"/>
        <charset val="134"/>
      </rPr>
      <t>驱逐</t>
    </r>
    <r>
      <rPr>
        <sz val="9"/>
        <color rgb="FF000000"/>
        <rFont val="STZhongsong"/>
        <charset val="134"/>
      </rPr>
      <t>+</t>
    </r>
    <r>
      <rPr>
        <sz val="9"/>
        <color rgb="FFFF644E"/>
        <rFont val="STZhongsong"/>
        <charset val="134"/>
      </rPr>
      <t>突袭</t>
    </r>
    <r>
      <rPr>
        <sz val="9"/>
        <color rgb="FF000000"/>
        <rFont val="STZhongsong"/>
        <charset val="134"/>
      </rPr>
      <t>+</t>
    </r>
    <r>
      <rPr>
        <sz val="9"/>
        <color rgb="FF000000"/>
        <rFont val="宋体"/>
        <charset val="134"/>
      </rPr>
      <t>连击+</t>
    </r>
    <r>
      <rPr>
        <sz val="9"/>
        <color rgb="FFFF644E"/>
        <rFont val="宋体"/>
        <charset val="134"/>
      </rPr>
      <t>布阵</t>
    </r>
  </si>
  <si>
    <t>华洪</t>
  </si>
  <si>
    <t>踏破</t>
  </si>
  <si>
    <t>皇甫嵩</t>
  </si>
  <si>
    <t>扫荡</t>
  </si>
  <si>
    <t>邓愈</t>
  </si>
  <si>
    <t>攻城</t>
  </si>
  <si>
    <t>狄青</t>
  </si>
  <si>
    <t>昂扬</t>
  </si>
  <si>
    <t>杜杲</t>
  </si>
  <si>
    <t>射程</t>
  </si>
  <si>
    <t>田单</t>
  </si>
  <si>
    <t>梁睿</t>
  </si>
  <si>
    <t>亲蛮</t>
  </si>
  <si>
    <t>王轨</t>
  </si>
  <si>
    <t>秘计</t>
  </si>
  <si>
    <t>游子远</t>
  </si>
  <si>
    <t>曹参</t>
  </si>
  <si>
    <t>步将</t>
  </si>
  <si>
    <t>我浙</t>
  </si>
  <si>
    <t>要击</t>
  </si>
  <si>
    <t>要击=要击+战神</t>
  </si>
  <si>
    <t>小乔</t>
  </si>
  <si>
    <t>于谨</t>
  </si>
  <si>
    <t>樗里疾</t>
  </si>
  <si>
    <t>百出</t>
  </si>
  <si>
    <t>宇文邕</t>
  </si>
  <si>
    <t>待伏</t>
  </si>
  <si>
    <t>冯奉世</t>
  </si>
  <si>
    <t>慕容白曜</t>
  </si>
  <si>
    <t>连击</t>
  </si>
  <si>
    <t>潘美</t>
  </si>
  <si>
    <t>吴起</t>
  </si>
  <si>
    <t>兵神</t>
  </si>
  <si>
    <r>
      <rPr>
        <sz val="9"/>
        <color rgb="FF000000"/>
        <rFont val="宋体"/>
        <charset val="134"/>
      </rPr>
      <t>兵神</t>
    </r>
    <r>
      <rPr>
        <sz val="9"/>
        <color rgb="FF000000"/>
        <rFont val="STZhongsong"/>
        <charset val="134"/>
      </rPr>
      <t>=</t>
    </r>
    <r>
      <rPr>
        <sz val="9"/>
        <color rgb="FF000000"/>
        <rFont val="宋体"/>
        <charset val="134"/>
      </rPr>
      <t>兵神</t>
    </r>
    <r>
      <rPr>
        <sz val="9"/>
        <color rgb="FF000000"/>
        <rFont val="STZhongsong"/>
        <charset val="134"/>
      </rPr>
      <t>+</t>
    </r>
    <r>
      <rPr>
        <sz val="9"/>
        <color rgb="FF000000"/>
        <rFont val="宋体"/>
        <charset val="134"/>
      </rPr>
      <t>百战</t>
    </r>
    <r>
      <rPr>
        <sz val="9"/>
        <color rgb="FF000000"/>
        <rFont val="STZhongsong"/>
        <charset val="134"/>
      </rPr>
      <t>+</t>
    </r>
    <r>
      <rPr>
        <sz val="9"/>
        <color rgb="FF000000"/>
        <rFont val="宋体"/>
        <charset val="134"/>
      </rPr>
      <t>料敌</t>
    </r>
    <r>
      <rPr>
        <sz val="9"/>
        <color rgb="FFFF0000"/>
        <rFont val="STZhongsong"/>
        <charset val="134"/>
      </rPr>
      <t>+</t>
    </r>
    <r>
      <rPr>
        <sz val="9"/>
        <color rgb="FFFF0000"/>
        <rFont val="宋体"/>
        <charset val="134"/>
      </rPr>
      <t>战将</t>
    </r>
  </si>
  <si>
    <t>陈庆之</t>
  </si>
  <si>
    <t>捕缚</t>
  </si>
  <si>
    <t>吴汉</t>
  </si>
  <si>
    <t>骑将</t>
  </si>
  <si>
    <t>檀道济</t>
  </si>
  <si>
    <t>沉着</t>
  </si>
  <si>
    <t>邓艾</t>
  </si>
  <si>
    <t>神行</t>
  </si>
  <si>
    <t>神行=强行+遁走+治军+布阵</t>
  </si>
  <si>
    <t>孙膑</t>
  </si>
  <si>
    <t>袁崇焕</t>
  </si>
  <si>
    <t>清野</t>
  </si>
  <si>
    <t>谢艾</t>
  </si>
  <si>
    <t>贾复</t>
  </si>
  <si>
    <t>陷阵</t>
  </si>
  <si>
    <t>贺娄子干</t>
  </si>
  <si>
    <t>李神福</t>
  </si>
  <si>
    <t>司马错</t>
  </si>
  <si>
    <t>藤甲</t>
  </si>
  <si>
    <t>王濬</t>
  </si>
  <si>
    <t>造船</t>
  </si>
  <si>
    <t>王翦</t>
  </si>
  <si>
    <t>弓神</t>
  </si>
  <si>
    <r>
      <rPr>
        <sz val="9"/>
        <color rgb="FF000000"/>
        <rFont val="宋体"/>
        <charset val="134"/>
      </rPr>
      <t>弓神</t>
    </r>
    <r>
      <rPr>
        <sz val="9"/>
        <color rgb="FF000000"/>
        <rFont val="STZhongsong"/>
        <charset val="134"/>
      </rPr>
      <t>=</t>
    </r>
    <r>
      <rPr>
        <sz val="9"/>
        <color rgb="FF000000"/>
        <rFont val="宋体"/>
        <charset val="134"/>
      </rPr>
      <t>弓神</t>
    </r>
    <r>
      <rPr>
        <sz val="9"/>
        <color rgb="FF000000"/>
        <rFont val="STZhongsong"/>
        <charset val="134"/>
      </rPr>
      <t>+</t>
    </r>
    <r>
      <rPr>
        <sz val="9"/>
        <color rgb="FF000000"/>
        <rFont val="宋体"/>
        <charset val="134"/>
      </rPr>
      <t>神臂</t>
    </r>
    <r>
      <rPr>
        <sz val="9"/>
        <color rgb="FF000000"/>
        <rFont val="STZhongsong"/>
        <charset val="134"/>
      </rPr>
      <t>+</t>
    </r>
    <r>
      <rPr>
        <sz val="9"/>
        <color rgb="FF000000"/>
        <rFont val="宋体"/>
        <charset val="134"/>
      </rPr>
      <t>狙击</t>
    </r>
    <r>
      <rPr>
        <sz val="9"/>
        <color rgb="FF000000"/>
        <rFont val="STZhongsong"/>
        <charset val="134"/>
      </rPr>
      <t>+</t>
    </r>
    <r>
      <rPr>
        <sz val="9"/>
        <color rgb="FF000000"/>
        <rFont val="宋体"/>
        <charset val="134"/>
      </rPr>
      <t>射手</t>
    </r>
    <r>
      <rPr>
        <sz val="9"/>
        <color rgb="FF000000"/>
        <rFont val="STZhongsong"/>
        <charset val="134"/>
      </rPr>
      <t>+</t>
    </r>
    <r>
      <rPr>
        <sz val="9"/>
        <color rgb="FF000000"/>
        <rFont val="宋体"/>
        <charset val="134"/>
      </rPr>
      <t>军魂</t>
    </r>
  </si>
  <si>
    <t>匡章</t>
  </si>
  <si>
    <t>猪突</t>
  </si>
  <si>
    <t>孙传庭</t>
  </si>
  <si>
    <t>李光弼</t>
  </si>
  <si>
    <t>弓将</t>
  </si>
  <si>
    <t>周勃</t>
  </si>
  <si>
    <t>旧时光</t>
  </si>
  <si>
    <t>金刚</t>
  </si>
  <si>
    <t>乐进</t>
  </si>
  <si>
    <t>马隆</t>
  </si>
  <si>
    <t>马燧</t>
  </si>
  <si>
    <t>布阵</t>
  </si>
  <si>
    <t>蒙骜</t>
  </si>
  <si>
    <t>魏冉</t>
  </si>
  <si>
    <t>富豪</t>
  </si>
  <si>
    <t>李如松</t>
  </si>
  <si>
    <t>王贲</t>
  </si>
  <si>
    <t>神臂</t>
  </si>
  <si>
    <t>熊廷弼</t>
  </si>
  <si>
    <t>屯田</t>
  </si>
  <si>
    <t>侯君集</t>
  </si>
  <si>
    <t>神将</t>
  </si>
  <si>
    <t>神将=神将+破竹+昂扬</t>
  </si>
  <si>
    <t>陈汤</t>
  </si>
  <si>
    <t>大刀</t>
  </si>
  <si>
    <t>突击</t>
  </si>
  <si>
    <t>容易背叛</t>
  </si>
  <si>
    <t>突击=突袭+连击</t>
  </si>
  <si>
    <t>老聃</t>
  </si>
  <si>
    <t>仙君</t>
  </si>
  <si>
    <t>低</t>
  </si>
  <si>
    <t>孟轲</t>
  </si>
  <si>
    <t>仁政</t>
  </si>
  <si>
    <t>谢安</t>
  </si>
  <si>
    <t>屈平</t>
  </si>
  <si>
    <t>诗想</t>
  </si>
  <si>
    <t>吴季札</t>
  </si>
  <si>
    <t>亲和</t>
  </si>
  <si>
    <t>魏斯</t>
  </si>
  <si>
    <t>令尹子文</t>
  </si>
  <si>
    <t>司马光</t>
  </si>
  <si>
    <t>明镜</t>
  </si>
  <si>
    <t>荀彧</t>
  </si>
  <si>
    <t>法治</t>
  </si>
  <si>
    <t>名哥</t>
  </si>
  <si>
    <t>筑城</t>
  </si>
  <si>
    <t>晏婴</t>
  </si>
  <si>
    <t>机智</t>
  </si>
  <si>
    <t>机智=机智+运筹+鬼谋</t>
  </si>
  <si>
    <t>杨士奇</t>
  </si>
  <si>
    <t>亲越</t>
  </si>
  <si>
    <t>秦渠梁</t>
  </si>
  <si>
    <t>王导</t>
  </si>
  <si>
    <t>能吏</t>
  </si>
  <si>
    <t>叔向</t>
  </si>
  <si>
    <t>韩琦</t>
  </si>
  <si>
    <t>李广</t>
  </si>
  <si>
    <t>飞将</t>
  </si>
  <si>
    <t>黄歇</t>
  </si>
  <si>
    <t>吴庆忌</t>
  </si>
  <si>
    <t>猛者</t>
  </si>
  <si>
    <t>张煌言</t>
  </si>
  <si>
    <t>血路</t>
  </si>
  <si>
    <t>董仲舒</t>
  </si>
  <si>
    <t>宋濂</t>
  </si>
  <si>
    <t>精妙</t>
  </si>
  <si>
    <t>李冲</t>
  </si>
  <si>
    <t>风水</t>
  </si>
  <si>
    <t>煜火</t>
  </si>
  <si>
    <t>破竹</t>
  </si>
  <si>
    <t>不会叛变</t>
  </si>
  <si>
    <t>方孝孺</t>
  </si>
  <si>
    <t>不屈</t>
  </si>
  <si>
    <t>李固</t>
  </si>
  <si>
    <t>杨溥</t>
  </si>
  <si>
    <t>百里奚</t>
  </si>
  <si>
    <t>宋璟</t>
  </si>
  <si>
    <t>冯道</t>
  </si>
  <si>
    <t>元宏</t>
  </si>
  <si>
    <t>变法</t>
  </si>
  <si>
    <t>吕不韦</t>
  </si>
  <si>
    <t>商才</t>
  </si>
  <si>
    <t>苏绰</t>
  </si>
  <si>
    <t>富弼</t>
  </si>
  <si>
    <t>论客</t>
  </si>
  <si>
    <t>刘询</t>
  </si>
  <si>
    <t>蔺相如</t>
  </si>
  <si>
    <t>李隆基</t>
  </si>
  <si>
    <t>奏乐</t>
  </si>
  <si>
    <t>慕容廆</t>
  </si>
  <si>
    <t>亲乌</t>
  </si>
  <si>
    <t>周敦颐</t>
  </si>
  <si>
    <t>杜乔</t>
  </si>
  <si>
    <t>规律</t>
  </si>
  <si>
    <t>吕蒙正</t>
  </si>
  <si>
    <t>眼力</t>
  </si>
  <si>
    <t>苏武</t>
  </si>
  <si>
    <t>诸葛瑾</t>
  </si>
  <si>
    <t>关羽</t>
  </si>
  <si>
    <t>鲁仲连</t>
  </si>
  <si>
    <t>程颢</t>
  </si>
  <si>
    <t>蔡兴宗</t>
  </si>
  <si>
    <t>高允</t>
  </si>
  <si>
    <t>霍光</t>
  </si>
  <si>
    <t>辅佐</t>
  </si>
  <si>
    <t>荀攸</t>
  </si>
  <si>
    <t>周公瑾</t>
  </si>
  <si>
    <t>房玄龄</t>
  </si>
  <si>
    <t>赵鼎</t>
  </si>
  <si>
    <t>看破</t>
  </si>
  <si>
    <t>QQ</t>
  </si>
  <si>
    <t>发明</t>
  </si>
  <si>
    <t>张承业</t>
  </si>
  <si>
    <t>征收</t>
  </si>
  <si>
    <t>韩愈</t>
  </si>
  <si>
    <t>惠施</t>
  </si>
  <si>
    <t>清谈</t>
  </si>
  <si>
    <t>荀况</t>
  </si>
  <si>
    <t>元勰</t>
  </si>
  <si>
    <t>程颐</t>
  </si>
  <si>
    <t>王俭</t>
  </si>
  <si>
    <t>蹇叔</t>
  </si>
  <si>
    <t>杜如晦</t>
  </si>
  <si>
    <t>妙计</t>
  </si>
  <si>
    <t>李泌</t>
  </si>
  <si>
    <t>项梁</t>
  </si>
  <si>
    <t>朱熹</t>
  </si>
  <si>
    <t>魏仁浦</t>
  </si>
  <si>
    <t>秦任好</t>
  </si>
  <si>
    <t>亲羌</t>
  </si>
  <si>
    <t>韩安国</t>
  </si>
  <si>
    <t>陈安</t>
  </si>
  <si>
    <t>反甲</t>
  </si>
  <si>
    <t>反甲=陷阵+料敌+洞察+反计</t>
  </si>
  <si>
    <t>张九龄</t>
  </si>
  <si>
    <t>欧阳修</t>
  </si>
  <si>
    <t>萧何</t>
  </si>
  <si>
    <t>后勤</t>
  </si>
  <si>
    <t>祭肜</t>
  </si>
  <si>
    <t>扬雄</t>
  </si>
  <si>
    <t>司马相如</t>
  </si>
  <si>
    <t>丙吉</t>
  </si>
  <si>
    <t>李沆</t>
  </si>
  <si>
    <t>太史慈</t>
  </si>
  <si>
    <t>狙击</t>
  </si>
  <si>
    <t>杨愔</t>
  </si>
  <si>
    <t>魏征</t>
  </si>
  <si>
    <t>孙权</t>
  </si>
  <si>
    <t>郑玄</t>
  </si>
  <si>
    <t>阿九</t>
  </si>
  <si>
    <t>王弘</t>
  </si>
  <si>
    <t>苏轼</t>
  </si>
  <si>
    <t>姚弋仲</t>
  </si>
  <si>
    <t>繁殖</t>
  </si>
  <si>
    <t>李庠</t>
  </si>
  <si>
    <t>乱战</t>
  </si>
  <si>
    <t>赵雲</t>
  </si>
  <si>
    <t>司马迁</t>
  </si>
  <si>
    <t>铫期</t>
  </si>
  <si>
    <t>秦稷</t>
  </si>
  <si>
    <t>蔡佑</t>
  </si>
  <si>
    <t>百慕拉</t>
  </si>
  <si>
    <t>怒发</t>
  </si>
  <si>
    <t>张永德</t>
  </si>
  <si>
    <t>杨荣</t>
  </si>
  <si>
    <t>搬运</t>
  </si>
  <si>
    <t>慕容翰</t>
  </si>
  <si>
    <t>白马</t>
  </si>
  <si>
    <t>庄周</t>
  </si>
  <si>
    <t>陈元达</t>
  </si>
  <si>
    <t>刘穆之</t>
  </si>
  <si>
    <t>李道宗</t>
  </si>
  <si>
    <t>萧望之</t>
  </si>
  <si>
    <t>翟璜</t>
  </si>
  <si>
    <t>金日磾</t>
  </si>
  <si>
    <t>李绛</t>
  </si>
  <si>
    <t>乞伏乾归</t>
  </si>
  <si>
    <t>王羲之</t>
  </si>
  <si>
    <t>陆贽</t>
  </si>
  <si>
    <t>符彦卿</t>
  </si>
  <si>
    <t>射手</t>
  </si>
  <si>
    <t>养由基</t>
  </si>
  <si>
    <t>长弓</t>
  </si>
  <si>
    <t>长弓=弓将+神臂+辅佐</t>
  </si>
  <si>
    <t>肠胃猫</t>
  </si>
  <si>
    <t>杨业</t>
  </si>
  <si>
    <t>战将</t>
  </si>
  <si>
    <t>李雄</t>
  </si>
  <si>
    <t>苻健</t>
  </si>
  <si>
    <t>张奂</t>
  </si>
  <si>
    <t>崔暹</t>
  </si>
  <si>
    <t>敬翔</t>
  </si>
  <si>
    <t>蒋琬</t>
  </si>
  <si>
    <t>沙发</t>
  </si>
  <si>
    <t>由余</t>
  </si>
  <si>
    <t>长孙无忌</t>
  </si>
  <si>
    <t>骆知祥</t>
  </si>
  <si>
    <t>征税</t>
  </si>
  <si>
    <t>陆贾</t>
  </si>
  <si>
    <t>刘晏</t>
  </si>
  <si>
    <t>张孟谈</t>
  </si>
  <si>
    <t>刘宣</t>
  </si>
  <si>
    <t>来护兒</t>
  </si>
  <si>
    <t>操舵</t>
  </si>
  <si>
    <t>拓跋虔</t>
  </si>
  <si>
    <t>韩非</t>
  </si>
  <si>
    <t>刘基</t>
  </si>
  <si>
    <t>孙坚</t>
  </si>
  <si>
    <t>庾亮</t>
  </si>
  <si>
    <t>夏鲁奇</t>
  </si>
  <si>
    <t>护卫</t>
  </si>
  <si>
    <t>越勾践</t>
  </si>
  <si>
    <t>激励</t>
  </si>
  <si>
    <t>赵雍</t>
  </si>
  <si>
    <t>邹衍</t>
  </si>
  <si>
    <t>曹植</t>
  </si>
  <si>
    <t>梁震</t>
  </si>
  <si>
    <t>斛律金</t>
  </si>
  <si>
    <t>王朴</t>
  </si>
  <si>
    <t>段熲</t>
  </si>
  <si>
    <t>张昭</t>
  </si>
  <si>
    <t>严可求</t>
  </si>
  <si>
    <t>薛世雄</t>
  </si>
  <si>
    <t>突袭</t>
  </si>
  <si>
    <t>武曌</t>
  </si>
  <si>
    <t>威压</t>
  </si>
  <si>
    <t>娄敬</t>
  </si>
  <si>
    <t>料敌</t>
  </si>
  <si>
    <t>李弼</t>
  </si>
  <si>
    <t>汤和</t>
  </si>
  <si>
    <t>嬴政</t>
  </si>
  <si>
    <t>杨廷和</t>
  </si>
  <si>
    <t>魏相</t>
  </si>
  <si>
    <t>张全义</t>
  </si>
  <si>
    <t>米道</t>
  </si>
  <si>
    <t>士蒍</t>
  </si>
  <si>
    <t>彭越</t>
  </si>
  <si>
    <t>游侠</t>
  </si>
  <si>
    <t>拓跋仪</t>
  </si>
  <si>
    <t>曹丕</t>
  </si>
  <si>
    <t>骚骚</t>
  </si>
  <si>
    <t>威风</t>
  </si>
  <si>
    <t>贾谊</t>
  </si>
  <si>
    <t>顾雍</t>
  </si>
  <si>
    <t>薛赞</t>
  </si>
  <si>
    <t>董安于</t>
  </si>
  <si>
    <t>李悝</t>
  </si>
  <si>
    <t>五千</t>
  </si>
  <si>
    <t>李德林</t>
  </si>
  <si>
    <t>苏秦</t>
  </si>
  <si>
    <t>反计</t>
  </si>
  <si>
    <t>王玄谟</t>
  </si>
  <si>
    <t>长孙嵩</t>
  </si>
  <si>
    <t>文种</t>
  </si>
  <si>
    <t>运筹</t>
  </si>
  <si>
    <t>曹仁</t>
  </si>
  <si>
    <t>重甲</t>
  </si>
  <si>
    <t>重甲=戟将+金刚+铁壁</t>
  </si>
  <si>
    <t>司马师</t>
  </si>
  <si>
    <t>郭嘉</t>
  </si>
  <si>
    <t>奇谋</t>
  </si>
  <si>
    <t>马超</t>
  </si>
  <si>
    <t>精骑</t>
  </si>
  <si>
    <t>精骑=骑神+长驱+白马</t>
  </si>
  <si>
    <t>李顺</t>
  </si>
  <si>
    <t>邹忌</t>
  </si>
  <si>
    <t>姚崇</t>
  </si>
  <si>
    <t>祖冲之</t>
  </si>
  <si>
    <t>高怀德</t>
  </si>
  <si>
    <t>李善长</t>
  </si>
  <si>
    <t>申不害</t>
  </si>
  <si>
    <t>陈俊</t>
  </si>
  <si>
    <t>苏代</t>
  </si>
  <si>
    <t>言毒</t>
  </si>
  <si>
    <t>言毒=言毒+运筹+鬼谋</t>
  </si>
  <si>
    <t>吕夷简</t>
  </si>
  <si>
    <t>马武</t>
  </si>
  <si>
    <t>陈轸</t>
  </si>
  <si>
    <t>谢晦</t>
  </si>
  <si>
    <t>姚广孝</t>
  </si>
  <si>
    <t>韩擒虎</t>
  </si>
  <si>
    <t>年皮厚</t>
  </si>
  <si>
    <t>程知节</t>
  </si>
  <si>
    <t>朱超石</t>
  </si>
  <si>
    <t>萧摩诃</t>
  </si>
  <si>
    <t>猛将</t>
  </si>
  <si>
    <t>猛将=勇将+猛者+恫吓</t>
  </si>
  <si>
    <t>范雎</t>
  </si>
  <si>
    <t>苏威</t>
  </si>
  <si>
    <t>单雄信</t>
  </si>
  <si>
    <t>郦食其</t>
  </si>
  <si>
    <t>袁袭</t>
  </si>
  <si>
    <t>陈平</t>
  </si>
  <si>
    <t>神算</t>
  </si>
  <si>
    <t>神算=神算+运筹+鬼谋</t>
  </si>
  <si>
    <t>钟离昧</t>
  </si>
  <si>
    <t>王安石</t>
  </si>
  <si>
    <t>崔浩</t>
  </si>
  <si>
    <t>灵姑浮</t>
  </si>
  <si>
    <t>王莽</t>
  </si>
  <si>
    <t>英布</t>
  </si>
  <si>
    <t>掎角</t>
  </si>
  <si>
    <t>沈括</t>
  </si>
  <si>
    <t>许褚</t>
  </si>
  <si>
    <t>杨再兴</t>
  </si>
  <si>
    <t>公孙瓒</t>
  </si>
  <si>
    <t>张蚝</t>
  </si>
  <si>
    <t>崔延伯</t>
  </si>
  <si>
    <t>李德裕</t>
  </si>
  <si>
    <t>可达鸭</t>
  </si>
  <si>
    <t>张居正</t>
  </si>
  <si>
    <t>李流</t>
  </si>
  <si>
    <t>薛安都</t>
  </si>
  <si>
    <t>骁将</t>
  </si>
  <si>
    <t>裴行俨</t>
  </si>
  <si>
    <t>安禄山</t>
  </si>
  <si>
    <t>朱瑾</t>
  </si>
  <si>
    <t>李唐宾</t>
  </si>
  <si>
    <t>李斯</t>
  </si>
  <si>
    <t>蒯彻</t>
  </si>
  <si>
    <t>高拱</t>
  </si>
  <si>
    <t>周文育</t>
  </si>
  <si>
    <t>刘牢之</t>
  </si>
  <si>
    <t>刘知俊</t>
  </si>
  <si>
    <t>苻登</t>
  </si>
  <si>
    <t>达奚武</t>
  </si>
  <si>
    <t>沈田子</t>
  </si>
  <si>
    <t>氏叔琮</t>
  </si>
  <si>
    <t>长驱</t>
  </si>
  <si>
    <t>王世充</t>
  </si>
  <si>
    <t>祈愿</t>
  </si>
  <si>
    <t>李振</t>
  </si>
  <si>
    <t>杨炎</t>
  </si>
  <si>
    <t>吕布</t>
  </si>
  <si>
    <t>奚康生</t>
  </si>
  <si>
    <t>刁民</t>
  </si>
  <si>
    <t>周盘龙</t>
  </si>
  <si>
    <t>杜僧明</t>
  </si>
  <si>
    <t>推进</t>
  </si>
  <si>
    <t>典韦</t>
  </si>
  <si>
    <t>董卓</t>
  </si>
  <si>
    <t>曹景宗</t>
  </si>
  <si>
    <t>刘綎</t>
  </si>
  <si>
    <t>戟将</t>
  </si>
  <si>
    <t>仆固怀恩</t>
  </si>
  <si>
    <t>桑弘羊</t>
  </si>
  <si>
    <t>元行钦</t>
  </si>
  <si>
    <t>霍去病</t>
  </si>
  <si>
    <t>冠军</t>
  </si>
  <si>
    <t>冠军=疾驰+威风+突袭+军魂</t>
  </si>
  <si>
    <t>周奉叔</t>
  </si>
  <si>
    <t>晁错</t>
  </si>
  <si>
    <t>石敬瑭</t>
  </si>
  <si>
    <t>彭乐</t>
  </si>
  <si>
    <t>鲁爽</t>
  </si>
  <si>
    <t>尔朱兆</t>
  </si>
  <si>
    <t>石虎</t>
  </si>
  <si>
    <t>掠夺</t>
  </si>
  <si>
    <t>孔丘</t>
  </si>
  <si>
    <t>圣人</t>
  </si>
  <si>
    <t>刘秀</t>
  </si>
  <si>
    <t>枪神</t>
  </si>
  <si>
    <r>
      <rPr>
        <sz val="9"/>
        <color rgb="FF000000"/>
        <rFont val="宋体"/>
        <charset val="134"/>
      </rPr>
      <t>枪神</t>
    </r>
    <r>
      <rPr>
        <sz val="9"/>
        <color rgb="FF000000"/>
        <rFont val="STZhongsong"/>
        <charset val="134"/>
      </rPr>
      <t>=</t>
    </r>
    <r>
      <rPr>
        <sz val="9"/>
        <color rgb="FF000000"/>
        <rFont val="宋体"/>
        <charset val="134"/>
      </rPr>
      <t>枪神</t>
    </r>
    <r>
      <rPr>
        <sz val="9"/>
        <color rgb="FF000000"/>
        <rFont val="STZhongsong"/>
        <charset val="134"/>
      </rPr>
      <t>+</t>
    </r>
    <r>
      <rPr>
        <sz val="9"/>
        <color rgb="FF000000"/>
        <rFont val="宋体"/>
        <charset val="134"/>
      </rPr>
      <t>突袭</t>
    </r>
    <r>
      <rPr>
        <sz val="9"/>
        <color rgb="FF000000"/>
        <rFont val="STZhongsong"/>
        <charset val="134"/>
      </rPr>
      <t>+</t>
    </r>
    <r>
      <rPr>
        <sz val="9"/>
        <color rgb="FF000000"/>
        <rFont val="宋体"/>
        <charset val="134"/>
      </rPr>
      <t>攻心</t>
    </r>
    <r>
      <rPr>
        <sz val="9"/>
        <color rgb="FF000000"/>
        <rFont val="STZhongsong"/>
        <charset val="134"/>
      </rPr>
      <t>+</t>
    </r>
    <r>
      <rPr>
        <sz val="9"/>
        <color rgb="FF000000"/>
        <rFont val="宋体"/>
        <charset val="134"/>
      </rPr>
      <t>军魂</t>
    </r>
  </si>
  <si>
    <t>诸葛亮</t>
  </si>
  <si>
    <t>文天祥</t>
  </si>
  <si>
    <t>郭子仪</t>
  </si>
  <si>
    <t>冼英</t>
  </si>
  <si>
    <t>晋重耳</t>
  </si>
  <si>
    <t>温峤</t>
  </si>
  <si>
    <t>裴度</t>
  </si>
  <si>
    <t>刘备</t>
  </si>
  <si>
    <t>美帝</t>
  </si>
  <si>
    <t>情义坚定</t>
  </si>
  <si>
    <t>李纲</t>
  </si>
  <si>
    <t>狄仁傑</t>
  </si>
  <si>
    <t>洞察</t>
  </si>
  <si>
    <t>宇文泰</t>
  </si>
  <si>
    <t>戎马</t>
  </si>
  <si>
    <r>
      <rPr>
        <sz val="9"/>
        <color rgb="FF000000"/>
        <rFont val="宋体"/>
        <charset val="134"/>
      </rPr>
      <t>戎马</t>
    </r>
    <r>
      <rPr>
        <sz val="9"/>
        <color rgb="FF000000"/>
        <rFont val="STZhongsong"/>
        <charset val="134"/>
      </rPr>
      <t>=</t>
    </r>
    <r>
      <rPr>
        <sz val="9"/>
        <color rgb="FF000000"/>
        <rFont val="宋体"/>
        <charset val="134"/>
      </rPr>
      <t>拱戍</t>
    </r>
    <r>
      <rPr>
        <sz val="9"/>
        <color rgb="FF000000"/>
        <rFont val="STZhongsong"/>
        <charset val="134"/>
      </rPr>
      <t>+</t>
    </r>
    <r>
      <rPr>
        <sz val="9"/>
        <color rgb="FF000000"/>
        <rFont val="宋体"/>
        <charset val="134"/>
      </rPr>
      <t>攻心</t>
    </r>
    <r>
      <rPr>
        <sz val="9"/>
        <color rgb="FF000000"/>
        <rFont val="STZhongsong"/>
        <charset val="134"/>
      </rPr>
      <t>+</t>
    </r>
    <r>
      <rPr>
        <sz val="9"/>
        <color rgb="FF000000"/>
        <rFont val="宋体"/>
        <charset val="134"/>
      </rPr>
      <t>昂扬+</t>
    </r>
    <r>
      <rPr>
        <sz val="9"/>
        <color rgb="FFFF0000"/>
        <rFont val="宋体"/>
        <charset val="134"/>
      </rPr>
      <t>遁走</t>
    </r>
  </si>
  <si>
    <t>薛文</t>
  </si>
  <si>
    <t>颜真卿</t>
  </si>
  <si>
    <t>羊祜</t>
  </si>
  <si>
    <t>子产</t>
  </si>
  <si>
    <t>王琳</t>
  </si>
  <si>
    <t>赵胜</t>
  </si>
  <si>
    <t>燕职</t>
  </si>
  <si>
    <t>齐小白</t>
  </si>
  <si>
    <t>遁走</t>
  </si>
  <si>
    <t>段秀实</t>
  </si>
  <si>
    <t>孙策</t>
  </si>
  <si>
    <t>田因齐</t>
  </si>
  <si>
    <t>独孤信</t>
  </si>
  <si>
    <t>海梦</t>
  </si>
  <si>
    <t>范长生</t>
  </si>
  <si>
    <t>李膺</t>
  </si>
  <si>
    <t>虞允文</t>
  </si>
  <si>
    <t>柴荣</t>
  </si>
  <si>
    <t>好吃</t>
  </si>
  <si>
    <t>赵衰</t>
  </si>
  <si>
    <t>窦融</t>
  </si>
  <si>
    <t>高欢</t>
  </si>
  <si>
    <t>李暠</t>
  </si>
  <si>
    <t>文彦博</t>
  </si>
  <si>
    <t>李渊</t>
  </si>
  <si>
    <t>赵毋恤</t>
  </si>
  <si>
    <t>马援</t>
  </si>
  <si>
    <t>疾驰</t>
  </si>
  <si>
    <t>喝茶</t>
  </si>
  <si>
    <t>高长恭</t>
  </si>
  <si>
    <t>落墨</t>
  </si>
  <si>
    <t>鲍叔牙</t>
  </si>
  <si>
    <t>申包胥</t>
  </si>
  <si>
    <t>清眸</t>
  </si>
  <si>
    <t>韩厥</t>
  </si>
  <si>
    <t>张浚</t>
  </si>
  <si>
    <t>包拯</t>
  </si>
  <si>
    <t>张良</t>
  </si>
  <si>
    <t>秃发褥檀</t>
  </si>
  <si>
    <t>卢象升</t>
  </si>
  <si>
    <t>刘道规</t>
  </si>
  <si>
    <t>荀罃</t>
  </si>
  <si>
    <t>源贺</t>
  </si>
  <si>
    <t>杨行密</t>
  </si>
  <si>
    <t>季布</t>
  </si>
  <si>
    <t>张骞</t>
  </si>
  <si>
    <t>和戎</t>
  </si>
  <si>
    <t>杨坚</t>
  </si>
  <si>
    <t>娄师德</t>
  </si>
  <si>
    <t>辛弃疾</t>
  </si>
  <si>
    <t>苻融</t>
  </si>
  <si>
    <t>赵盾</t>
  </si>
  <si>
    <t>袁盎</t>
  </si>
  <si>
    <t>李特</t>
  </si>
  <si>
    <t>秦良玉</t>
  </si>
  <si>
    <t>曹彬</t>
  </si>
  <si>
    <t>慕容垂</t>
  </si>
  <si>
    <t>荀息</t>
  </si>
  <si>
    <t>连环</t>
  </si>
  <si>
    <t>卢植</t>
  </si>
  <si>
    <t>李虎</t>
  </si>
  <si>
    <t>高澄</t>
  </si>
  <si>
    <t>元澄</t>
  </si>
  <si>
    <t>李密</t>
  </si>
  <si>
    <t>寇恂</t>
  </si>
  <si>
    <t>李定国</t>
  </si>
  <si>
    <t>刘仁赡</t>
  </si>
  <si>
    <t>庞统</t>
  </si>
  <si>
    <t>孟知祥</t>
  </si>
  <si>
    <t>杨复光</t>
  </si>
  <si>
    <t>赵奢</t>
  </si>
  <si>
    <t>窦婴</t>
  </si>
  <si>
    <t>田恒</t>
  </si>
  <si>
    <t>深谋</t>
  </si>
  <si>
    <t>狐偃</t>
  </si>
  <si>
    <t>李嗣源</t>
  </si>
  <si>
    <t>慕容德</t>
  </si>
  <si>
    <t>徐知诰</t>
  </si>
  <si>
    <t>尉元</t>
  </si>
  <si>
    <t>宇文宪</t>
  </si>
  <si>
    <t>刘彻</t>
  </si>
  <si>
    <t>西门豹</t>
  </si>
  <si>
    <t>李穀</t>
  </si>
  <si>
    <t>陆俟</t>
  </si>
  <si>
    <t>赵充国</t>
  </si>
  <si>
    <t>李愬</t>
  </si>
  <si>
    <t>李靖</t>
  </si>
  <si>
    <t>军神</t>
  </si>
  <si>
    <r>
      <rPr>
        <sz val="9"/>
        <color rgb="FFFF0000"/>
        <rFont val="宋体"/>
        <charset val="134"/>
      </rPr>
      <t>军神</t>
    </r>
    <r>
      <rPr>
        <sz val="9"/>
        <color rgb="FFFF0000"/>
        <rFont val="STZhongsong"/>
        <charset val="134"/>
      </rPr>
      <t>=</t>
    </r>
    <r>
      <rPr>
        <sz val="9"/>
        <color rgb="FFFF0000"/>
        <rFont val="宋体"/>
        <charset val="134"/>
      </rPr>
      <t>神算</t>
    </r>
    <r>
      <rPr>
        <sz val="9"/>
        <color rgb="FFFF0000"/>
        <rFont val="STZhongsong"/>
        <charset val="134"/>
      </rPr>
      <t>+</t>
    </r>
    <r>
      <rPr>
        <sz val="9"/>
        <color rgb="FFFF0000"/>
        <rFont val="宋体"/>
        <charset val="134"/>
      </rPr>
      <t>待伏</t>
    </r>
    <r>
      <rPr>
        <sz val="9"/>
        <color rgb="FFFF0000"/>
        <rFont val="STZhongsong"/>
        <charset val="134"/>
      </rPr>
      <t>+</t>
    </r>
    <r>
      <rPr>
        <sz val="9"/>
        <color rgb="FFFF0000"/>
        <rFont val="宋体"/>
        <charset val="134"/>
      </rPr>
      <t>鬼谋</t>
    </r>
    <r>
      <rPr>
        <sz val="9"/>
        <color rgb="FFFF0000"/>
        <rFont val="STZhongsong"/>
        <charset val="134"/>
      </rPr>
      <t>+</t>
    </r>
    <r>
      <rPr>
        <sz val="9"/>
        <color rgb="FFFF0000"/>
        <rFont val="宋体"/>
        <charset val="134"/>
      </rPr>
      <t>连击+要击+百出</t>
    </r>
  </si>
  <si>
    <t>来瑱</t>
  </si>
  <si>
    <t>皇甫规</t>
  </si>
  <si>
    <t>旺仔</t>
  </si>
  <si>
    <t>章楶</t>
  </si>
  <si>
    <t>巧变</t>
  </si>
  <si>
    <t>钱鏐</t>
  </si>
  <si>
    <t>司马懿</t>
  </si>
  <si>
    <t>张华</t>
  </si>
  <si>
    <t>梦梦</t>
  </si>
  <si>
    <t>徐阶</t>
  </si>
  <si>
    <t>蒋济</t>
  </si>
  <si>
    <t>贺拔岳</t>
  </si>
  <si>
    <t>徐温</t>
  </si>
  <si>
    <t>长孙晟</t>
  </si>
  <si>
    <t>庞籍</t>
  </si>
  <si>
    <t>李孝恭</t>
  </si>
  <si>
    <t>任圜</t>
  </si>
  <si>
    <t>胡宗宪</t>
  </si>
  <si>
    <t>赵光义</t>
  </si>
  <si>
    <t>长孙道生</t>
  </si>
  <si>
    <t>奚斤</t>
  </si>
  <si>
    <t>韩世忠</t>
  </si>
  <si>
    <t>廉颇</t>
  </si>
  <si>
    <t>黑齿常之</t>
  </si>
  <si>
    <t>卫青</t>
  </si>
  <si>
    <t>龙城</t>
  </si>
  <si>
    <r>
      <rPr>
        <sz val="9"/>
        <color rgb="FF000000"/>
        <rFont val="宋体"/>
        <charset val="134"/>
      </rPr>
      <t>龙城</t>
    </r>
    <r>
      <rPr>
        <sz val="9"/>
        <color rgb="FF000000"/>
        <rFont val="STZhongsong"/>
        <charset val="134"/>
      </rPr>
      <t>=</t>
    </r>
    <r>
      <rPr>
        <sz val="9"/>
        <color rgb="FF000000"/>
        <rFont val="宋体"/>
        <charset val="134"/>
      </rPr>
      <t>驱逐</t>
    </r>
    <r>
      <rPr>
        <sz val="9"/>
        <color rgb="FF000000"/>
        <rFont val="STZhongsong"/>
        <charset val="134"/>
      </rPr>
      <t>+</t>
    </r>
    <r>
      <rPr>
        <sz val="9"/>
        <color rgb="FF000000"/>
        <rFont val="宋体"/>
        <charset val="134"/>
      </rPr>
      <t>突袭</t>
    </r>
    <r>
      <rPr>
        <sz val="9"/>
        <color rgb="FF000000"/>
        <rFont val="STZhongsong"/>
        <charset val="134"/>
      </rPr>
      <t>+</t>
    </r>
    <r>
      <rPr>
        <sz val="9"/>
        <color rgb="FF000000"/>
        <rFont val="宋体"/>
        <charset val="134"/>
      </rPr>
      <t>连击</t>
    </r>
    <r>
      <rPr>
        <sz val="9"/>
        <color rgb="FF000000"/>
        <rFont val="STZhongsong"/>
        <charset val="134"/>
      </rPr>
      <t>+</t>
    </r>
    <r>
      <rPr>
        <sz val="9"/>
        <color theme="8"/>
        <rFont val="宋体"/>
        <charset val="134"/>
      </rPr>
      <t>攻心</t>
    </r>
    <r>
      <rPr>
        <sz val="9"/>
        <color theme="8"/>
        <rFont val="STZhongsong"/>
        <charset val="134"/>
      </rPr>
      <t>+</t>
    </r>
    <r>
      <rPr>
        <sz val="9"/>
        <color theme="8"/>
        <rFont val="宋体"/>
        <charset val="134"/>
      </rPr>
      <t>布阵+武干</t>
    </r>
  </si>
  <si>
    <t>王忠嗣</t>
  </si>
  <si>
    <t>王坦之</t>
  </si>
  <si>
    <t>朱能</t>
  </si>
  <si>
    <t>兰钦</t>
  </si>
  <si>
    <t>毕再遇</t>
  </si>
  <si>
    <t>勇将</t>
  </si>
  <si>
    <t>张衡</t>
  </si>
  <si>
    <t>霉霉</t>
  </si>
  <si>
    <t>李建及</t>
  </si>
  <si>
    <t>昌义之</t>
  </si>
  <si>
    <t>柳元景</t>
  </si>
  <si>
    <t>高季兴</t>
  </si>
  <si>
    <t>剧辛</t>
  </si>
  <si>
    <t>徐晃</t>
  </si>
  <si>
    <t>司马昭</t>
  </si>
  <si>
    <t>李重进</t>
  </si>
  <si>
    <t>秦开</t>
  </si>
  <si>
    <t>项籍</t>
  </si>
  <si>
    <t>霸王</t>
  </si>
  <si>
    <r>
      <rPr>
        <sz val="9"/>
        <color rgb="FF000000"/>
        <rFont val="宋体"/>
        <charset val="134"/>
      </rPr>
      <t>霸王</t>
    </r>
    <r>
      <rPr>
        <sz val="9"/>
        <color rgb="FF000000"/>
        <rFont val="STZhongsong"/>
        <charset val="134"/>
      </rPr>
      <t>=</t>
    </r>
    <r>
      <rPr>
        <sz val="9"/>
        <color rgb="FF000000"/>
        <rFont val="宋体"/>
        <charset val="134"/>
      </rPr>
      <t>霸王</t>
    </r>
    <r>
      <rPr>
        <sz val="9"/>
        <color rgb="FF000000"/>
        <rFont val="STZhongsong"/>
        <charset val="134"/>
      </rPr>
      <t>+</t>
    </r>
    <r>
      <rPr>
        <sz val="9"/>
        <color rgb="FF000000"/>
        <rFont val="宋体"/>
        <charset val="134"/>
      </rPr>
      <t>恫吓</t>
    </r>
    <r>
      <rPr>
        <sz val="9"/>
        <color rgb="FF000000"/>
        <rFont val="STZhongsong"/>
        <charset val="134"/>
      </rPr>
      <t>+</t>
    </r>
    <r>
      <rPr>
        <sz val="9"/>
        <color rgb="FF000000"/>
        <rFont val="宋体"/>
        <charset val="134"/>
      </rPr>
      <t>猛者</t>
    </r>
    <r>
      <rPr>
        <sz val="9"/>
        <color rgb="FF000000"/>
        <rFont val="STZhongsong"/>
        <charset val="134"/>
      </rPr>
      <t>+</t>
    </r>
    <r>
      <rPr>
        <sz val="9"/>
        <color rgb="FF000000"/>
        <rFont val="宋体"/>
        <charset val="134"/>
      </rPr>
      <t>军魂</t>
    </r>
  </si>
  <si>
    <t>苏定方</t>
  </si>
  <si>
    <r>
      <rPr>
        <sz val="9"/>
        <color rgb="FF000000"/>
        <rFont val="宋体"/>
        <charset val="134"/>
      </rPr>
      <t>驱逐</t>
    </r>
    <r>
      <rPr>
        <sz val="9"/>
        <color rgb="FF000000"/>
        <rFont val="STZhongsong"/>
        <charset val="134"/>
      </rPr>
      <t>=</t>
    </r>
    <r>
      <rPr>
        <sz val="9"/>
        <color rgb="FF000000"/>
        <rFont val="宋体"/>
        <charset val="134"/>
      </rPr>
      <t>驱逐</t>
    </r>
    <r>
      <rPr>
        <sz val="9"/>
        <color rgb="FF000000"/>
        <rFont val="STZhongsong"/>
        <charset val="134"/>
      </rPr>
      <t>+</t>
    </r>
    <r>
      <rPr>
        <sz val="9"/>
        <color theme="8"/>
        <rFont val="STZhongsong"/>
        <charset val="134"/>
      </rPr>
      <t>突袭</t>
    </r>
    <r>
      <rPr>
        <sz val="9"/>
        <color theme="1"/>
        <rFont val="STZhongsong"/>
        <charset val="134"/>
      </rPr>
      <t>+</t>
    </r>
    <r>
      <rPr>
        <sz val="9"/>
        <color theme="1"/>
        <rFont val="宋体"/>
        <charset val="134"/>
      </rPr>
      <t>连击+</t>
    </r>
    <r>
      <rPr>
        <sz val="9"/>
        <color theme="8"/>
        <rFont val="宋体"/>
        <charset val="134"/>
      </rPr>
      <t>布阵</t>
    </r>
  </si>
  <si>
    <t>范质</t>
  </si>
  <si>
    <t>吴夫差</t>
  </si>
  <si>
    <t>柳世隆</t>
  </si>
  <si>
    <t>王霸</t>
  </si>
  <si>
    <t>夏侯惇</t>
  </si>
  <si>
    <t>张齐贤</t>
  </si>
  <si>
    <t>拓跋焘</t>
  </si>
  <si>
    <t>骑神</t>
  </si>
  <si>
    <t>骑神=骑神+长驱+白马+猛者+军魂</t>
  </si>
  <si>
    <t>林仁肇</t>
  </si>
  <si>
    <t>水将</t>
  </si>
  <si>
    <t>王德</t>
  </si>
  <si>
    <t>赵季良</t>
  </si>
  <si>
    <t>尹纬</t>
  </si>
  <si>
    <t>团子</t>
  </si>
  <si>
    <r>
      <rPr>
        <sz val="9"/>
        <color rgb="FF000000"/>
        <rFont val="宋体"/>
        <charset val="134"/>
      </rPr>
      <t>猛将</t>
    </r>
    <r>
      <rPr>
        <sz val="9"/>
        <color rgb="FF000000"/>
        <rFont val="STZhongsong"/>
        <charset val="134"/>
      </rPr>
      <t>=</t>
    </r>
    <r>
      <rPr>
        <sz val="9"/>
        <color rgb="FF000000"/>
        <rFont val="宋体"/>
        <charset val="134"/>
      </rPr>
      <t>勇将</t>
    </r>
    <r>
      <rPr>
        <sz val="9"/>
        <color rgb="FF000000"/>
        <rFont val="STZhongsong"/>
        <charset val="134"/>
      </rPr>
      <t>+</t>
    </r>
    <r>
      <rPr>
        <sz val="9"/>
        <color rgb="FF000000"/>
        <rFont val="宋体"/>
        <charset val="134"/>
      </rPr>
      <t>猛者</t>
    </r>
    <r>
      <rPr>
        <sz val="9"/>
        <color rgb="FF000000"/>
        <rFont val="STZhongsong"/>
        <charset val="134"/>
      </rPr>
      <t>+</t>
    </r>
    <r>
      <rPr>
        <sz val="9"/>
        <color rgb="FF000000"/>
        <rFont val="宋体"/>
        <charset val="134"/>
      </rPr>
      <t>恫吓</t>
    </r>
  </si>
  <si>
    <t>于栗磾</t>
  </si>
  <si>
    <t>枪将</t>
  </si>
  <si>
    <t>葛从周</t>
  </si>
  <si>
    <t>张辽</t>
  </si>
  <si>
    <t>慕容延钊</t>
  </si>
  <si>
    <t>庞煖</t>
  </si>
  <si>
    <t>薛仁贵</t>
  </si>
  <si>
    <t>李牧</t>
  </si>
  <si>
    <t>武安</t>
  </si>
  <si>
    <t>武安=拱戍+扫荡+神臂+辅佐</t>
  </si>
  <si>
    <t>裴嶷</t>
  </si>
  <si>
    <t>王罴</t>
  </si>
  <si>
    <t>王崇古</t>
  </si>
  <si>
    <t>杨大眼</t>
  </si>
  <si>
    <t>李显忠</t>
  </si>
  <si>
    <t>高郁</t>
  </si>
  <si>
    <t>皇甫真</t>
  </si>
  <si>
    <t>范增</t>
  </si>
  <si>
    <t>高敖曹</t>
  </si>
  <si>
    <t>恫吓</t>
  </si>
  <si>
    <t>恫吓=恫吓+猛者</t>
  </si>
  <si>
    <t>秦琼</t>
  </si>
  <si>
    <t>高行周</t>
  </si>
  <si>
    <t>权翼</t>
  </si>
  <si>
    <t>项燕</t>
  </si>
  <si>
    <t>姚硕德</t>
  </si>
  <si>
    <t>李左车</t>
  </si>
  <si>
    <t>栾书</t>
  </si>
  <si>
    <t>李存进</t>
  </si>
  <si>
    <t>张玉</t>
  </si>
  <si>
    <t>拓跋珪</t>
  </si>
  <si>
    <t>李嗣业</t>
  </si>
  <si>
    <t>张宾</t>
  </si>
  <si>
    <t>慕容隆</t>
  </si>
  <si>
    <t>公孙衍</t>
  </si>
  <si>
    <t>姜维</t>
  </si>
  <si>
    <t>郭崇韬</t>
  </si>
  <si>
    <t>麻贵</t>
  </si>
  <si>
    <t>尔朱荣</t>
  </si>
  <si>
    <t>高洋</t>
  </si>
  <si>
    <t>李克用</t>
  </si>
  <si>
    <t>元英</t>
  </si>
  <si>
    <t>高骈</t>
  </si>
  <si>
    <t>杨师厚</t>
  </si>
  <si>
    <t>侯莫陈崇</t>
  </si>
  <si>
    <t>成得臣</t>
  </si>
  <si>
    <t>马芳</t>
  </si>
  <si>
    <t>朱龄石</t>
  </si>
  <si>
    <t>贾诩</t>
  </si>
  <si>
    <t>王彦章</t>
  </si>
  <si>
    <t>斛斯椿</t>
  </si>
  <si>
    <t>郤克</t>
  </si>
  <si>
    <t>斛律光</t>
  </si>
  <si>
    <t>赵廷隐</t>
  </si>
  <si>
    <t>张飞</t>
  </si>
  <si>
    <t>张仪</t>
  </si>
  <si>
    <t>许存</t>
  </si>
  <si>
    <t>臧宫</t>
  </si>
  <si>
    <t>冉闵</t>
  </si>
  <si>
    <t>卫瓘</t>
  </si>
  <si>
    <t>尉迟恭</t>
  </si>
  <si>
    <t>盖延</t>
  </si>
  <si>
    <t>垣崇祖</t>
  </si>
  <si>
    <t>傅永</t>
  </si>
  <si>
    <t>夏侯渊</t>
  </si>
  <si>
    <t>周本</t>
  </si>
  <si>
    <t>李从珂</t>
  </si>
  <si>
    <t>桓玄</t>
  </si>
  <si>
    <t>陈显达</t>
  </si>
  <si>
    <t>龙且</t>
  </si>
  <si>
    <t>赵普</t>
  </si>
  <si>
    <t>邓子龙</t>
  </si>
  <si>
    <t>崔慧景</t>
  </si>
  <si>
    <t>于禁</t>
  </si>
  <si>
    <t>治军</t>
  </si>
  <si>
    <t>王买德</t>
  </si>
  <si>
    <t>刘聪</t>
  </si>
  <si>
    <t>邓羌</t>
  </si>
  <si>
    <t>臧质</t>
  </si>
  <si>
    <t>侯瑱</t>
  </si>
  <si>
    <t>史万岁</t>
  </si>
  <si>
    <t>商鞅</t>
  </si>
  <si>
    <t>贺若弼</t>
  </si>
  <si>
    <t>哥舒翰</t>
  </si>
  <si>
    <t>侯安都</t>
  </si>
  <si>
    <t>王峻</t>
  </si>
  <si>
    <t>朱珍</t>
  </si>
  <si>
    <t>苟唏</t>
  </si>
  <si>
    <t>吴三桂</t>
  </si>
  <si>
    <t>杨广</t>
  </si>
  <si>
    <t>李存孝</t>
  </si>
  <si>
    <t>王弥</t>
  </si>
  <si>
    <t>史弘肇</t>
  </si>
  <si>
    <t>窦宪</t>
  </si>
  <si>
    <t>麻秋</t>
  </si>
  <si>
    <t>周公旦</t>
  </si>
  <si>
    <t>李世民</t>
  </si>
  <si>
    <t>天策</t>
  </si>
  <si>
    <r>
      <rPr>
        <sz val="9"/>
        <color indexed="8"/>
        <rFont val="STZhongsong"/>
        <charset val="134"/>
      </rPr>
      <t>天策=激励+天命+武干</t>
    </r>
    <r>
      <rPr>
        <sz val="9"/>
        <color rgb="FFFF0000"/>
        <rFont val="STZhongsong"/>
        <charset val="134"/>
      </rPr>
      <t>+军魂</t>
    </r>
  </si>
  <si>
    <t>赵匡胤</t>
  </si>
  <si>
    <t>岳飞</t>
  </si>
  <si>
    <t>武穆</t>
  </si>
  <si>
    <t>武穆=神将+治军+怒发+军魂</t>
  </si>
  <si>
    <t>苻坚</t>
  </si>
  <si>
    <t>范仲淹</t>
  </si>
  <si>
    <t>备前</t>
  </si>
  <si>
    <t>慕容恪</t>
  </si>
  <si>
    <t>太子</t>
  </si>
  <si>
    <t>姚襄</t>
  </si>
  <si>
    <t>王闯</t>
  </si>
  <si>
    <t>熊侣</t>
  </si>
  <si>
    <t>哈哈</t>
  </si>
  <si>
    <t>祖逖</t>
  </si>
  <si>
    <t>周瑜</t>
  </si>
  <si>
    <t>炎神</t>
  </si>
  <si>
    <r>
      <rPr>
        <sz val="9"/>
        <color rgb="FF000000"/>
        <rFont val="宋体"/>
        <charset val="134"/>
      </rPr>
      <t>炎神</t>
    </r>
    <r>
      <rPr>
        <sz val="9"/>
        <color rgb="FF000000"/>
        <rFont val="STZhongsong"/>
        <charset val="134"/>
      </rPr>
      <t>=</t>
    </r>
    <r>
      <rPr>
        <sz val="9"/>
        <color rgb="FF000000"/>
        <rFont val="宋体"/>
        <charset val="134"/>
      </rPr>
      <t>奏乐</t>
    </r>
    <r>
      <rPr>
        <sz val="9"/>
        <color rgb="FF000000"/>
        <rFont val="STZhongsong"/>
        <charset val="134"/>
      </rPr>
      <t>+</t>
    </r>
    <r>
      <rPr>
        <sz val="9"/>
        <color rgb="FF000000"/>
        <rFont val="宋体"/>
        <charset val="134"/>
      </rPr>
      <t>火神</t>
    </r>
    <r>
      <rPr>
        <sz val="9"/>
        <color rgb="FF000000"/>
        <rFont val="STZhongsong"/>
        <charset val="134"/>
      </rPr>
      <t>+</t>
    </r>
    <r>
      <rPr>
        <sz val="9"/>
        <color rgb="FF000000"/>
        <rFont val="宋体"/>
        <charset val="134"/>
      </rPr>
      <t>运筹</t>
    </r>
    <r>
      <rPr>
        <sz val="9"/>
        <color rgb="FF000000"/>
        <rFont val="STZhongsong"/>
        <charset val="134"/>
      </rPr>
      <t>+</t>
    </r>
    <r>
      <rPr>
        <sz val="9"/>
        <color rgb="FF000000"/>
        <rFont val="宋体"/>
        <charset val="134"/>
      </rPr>
      <t>鬼谋+军魂</t>
    </r>
  </si>
  <si>
    <t>曹操</t>
  </si>
  <si>
    <t>骰子</t>
  </si>
  <si>
    <t>士会</t>
  </si>
  <si>
    <t>萧衍</t>
  </si>
  <si>
    <t>宗泽</t>
  </si>
  <si>
    <t>高熲</t>
  </si>
  <si>
    <t>张议潮</t>
  </si>
  <si>
    <t>管夷吾</t>
  </si>
  <si>
    <t>刘琨</t>
  </si>
  <si>
    <t>杨一清</t>
  </si>
  <si>
    <t>余玠</t>
  </si>
  <si>
    <t>刘裕</t>
  </si>
  <si>
    <t>斗神</t>
  </si>
  <si>
    <r>
      <rPr>
        <sz val="9"/>
        <color rgb="FF000000"/>
        <rFont val="宋体"/>
        <charset val="134"/>
      </rPr>
      <t>斗神</t>
    </r>
    <r>
      <rPr>
        <sz val="9"/>
        <color rgb="FF000000"/>
        <rFont val="STZhongsong"/>
        <charset val="134"/>
      </rPr>
      <t>=</t>
    </r>
    <r>
      <rPr>
        <sz val="9"/>
        <color rgb="FF000000"/>
        <rFont val="宋体"/>
        <charset val="134"/>
      </rPr>
      <t>斗神</t>
    </r>
    <r>
      <rPr>
        <sz val="9"/>
        <color rgb="FF000000"/>
        <rFont val="STZhongsong"/>
        <charset val="134"/>
      </rPr>
      <t>+</t>
    </r>
    <r>
      <rPr>
        <sz val="9"/>
        <color rgb="FF000000"/>
        <rFont val="宋体"/>
        <charset val="134"/>
      </rPr>
      <t>威风</t>
    </r>
    <r>
      <rPr>
        <sz val="9"/>
        <color rgb="FF000000"/>
        <rFont val="STZhongsong"/>
        <charset val="134"/>
      </rPr>
      <t>+</t>
    </r>
    <r>
      <rPr>
        <sz val="9"/>
        <color rgb="FF000000"/>
        <rFont val="宋体"/>
        <charset val="134"/>
      </rPr>
      <t>治军</t>
    </r>
    <r>
      <rPr>
        <sz val="9"/>
        <color rgb="FF000000"/>
        <rFont val="STZhongsong"/>
        <charset val="134"/>
      </rPr>
      <t>+</t>
    </r>
    <r>
      <rPr>
        <sz val="9"/>
        <color rgb="FF000000"/>
        <rFont val="宋体"/>
        <charset val="134"/>
      </rPr>
      <t>布阵</t>
    </r>
  </si>
  <si>
    <t>史可法</t>
  </si>
  <si>
    <t>赵鞅</t>
  </si>
  <si>
    <t>谢玄</t>
  </si>
  <si>
    <t>拱戍</t>
  </si>
  <si>
    <t>韦皋</t>
  </si>
  <si>
    <t>尉迟迥</t>
  </si>
  <si>
    <t>邓禹</t>
  </si>
  <si>
    <t>沐英</t>
  </si>
  <si>
    <t>鲁肃</t>
  </si>
  <si>
    <t>刘渊</t>
  </si>
  <si>
    <t>吴阖闾</t>
  </si>
  <si>
    <t>冯异</t>
  </si>
  <si>
    <t>裴邃</t>
  </si>
  <si>
    <t>陆逊</t>
  </si>
  <si>
    <t>沈诸梁</t>
  </si>
  <si>
    <t>杜预</t>
  </si>
  <si>
    <t>李晟</t>
  </si>
  <si>
    <t>袁绍</t>
  </si>
  <si>
    <t>王德用</t>
  </si>
  <si>
    <t>王方翼</t>
  </si>
  <si>
    <t>萧道成</t>
  </si>
  <si>
    <t>李文忠</t>
  </si>
  <si>
    <t>苻雄</t>
  </si>
  <si>
    <t>张须陀</t>
  </si>
  <si>
    <t>郑和</t>
  </si>
  <si>
    <t>步骘</t>
  </si>
  <si>
    <t>魏绛</t>
  </si>
  <si>
    <t>孟珙</t>
  </si>
  <si>
    <t>郗鉴</t>
  </si>
  <si>
    <t>段韶</t>
  </si>
  <si>
    <t>阳骛</t>
  </si>
  <si>
    <t>桓冲</t>
  </si>
  <si>
    <t>叔孙建</t>
  </si>
  <si>
    <t>满宠</t>
  </si>
  <si>
    <t>岑彭</t>
  </si>
  <si>
    <t>郑成功</t>
  </si>
  <si>
    <t>来歙</t>
  </si>
  <si>
    <t>昭阳</t>
  </si>
  <si>
    <t>周访</t>
  </si>
  <si>
    <t>司马穰苴</t>
  </si>
  <si>
    <t>种世衡</t>
  </si>
  <si>
    <t>陈霸先</t>
  </si>
  <si>
    <t>曹玮</t>
  </si>
  <si>
    <t>裴行俭</t>
  </si>
  <si>
    <t>班超</t>
  </si>
  <si>
    <t>蒙恬</t>
  </si>
  <si>
    <t>吴玠</t>
  </si>
  <si>
    <t>石勒</t>
  </si>
  <si>
    <t>朱棣</t>
  </si>
  <si>
    <t>荀林父</t>
  </si>
  <si>
    <t>浑瑊</t>
  </si>
  <si>
    <t>张辅</t>
  </si>
  <si>
    <t>马殷</t>
  </si>
  <si>
    <t>陶侃</t>
  </si>
  <si>
    <t>甘茂</t>
  </si>
  <si>
    <t>王思政</t>
  </si>
  <si>
    <t>李陵</t>
  </si>
  <si>
    <t>李嗣昭</t>
  </si>
  <si>
    <t>魏舒</t>
  </si>
  <si>
    <t>谭纶</t>
  </si>
  <si>
    <t>杨存中</t>
  </si>
  <si>
    <t>刘仁轨</t>
  </si>
  <si>
    <r>
      <rPr>
        <sz val="9"/>
        <color rgb="FF000000"/>
        <rFont val="宋体"/>
        <charset val="134"/>
      </rPr>
      <t>火神</t>
    </r>
    <r>
      <rPr>
        <sz val="9"/>
        <color rgb="FF000000"/>
        <rFont val="STZhongsong"/>
        <charset val="134"/>
      </rPr>
      <t>=</t>
    </r>
    <r>
      <rPr>
        <sz val="9"/>
        <color rgb="FF000000"/>
        <rFont val="宋体"/>
        <charset val="134"/>
      </rPr>
      <t>火神</t>
    </r>
    <r>
      <rPr>
        <sz val="9"/>
        <color rgb="FF000000"/>
        <rFont val="STZhongsong"/>
        <charset val="134"/>
      </rPr>
      <t>+</t>
    </r>
    <r>
      <rPr>
        <sz val="9"/>
        <color rgb="FF000000"/>
        <rFont val="宋体"/>
        <charset val="134"/>
      </rPr>
      <t>鬼谋</t>
    </r>
  </si>
  <si>
    <t>王全斌</t>
  </si>
  <si>
    <t>许德勋</t>
  </si>
  <si>
    <t>姚兴</t>
  </si>
  <si>
    <t>祭遵</t>
  </si>
  <si>
    <t>刘鄩</t>
  </si>
  <si>
    <t>沈尹戌</t>
  </si>
  <si>
    <t>慕容皝</t>
  </si>
  <si>
    <t>罗士信</t>
  </si>
  <si>
    <t>李崇</t>
  </si>
  <si>
    <t>木木</t>
  </si>
  <si>
    <t>沈庆之</t>
  </si>
  <si>
    <t>达奚长儒</t>
  </si>
  <si>
    <t>张郃</t>
  </si>
  <si>
    <t>虞诩</t>
  </si>
  <si>
    <t>王建</t>
  </si>
  <si>
    <t>孙承宗</t>
  </si>
  <si>
    <t>邢峦</t>
  </si>
  <si>
    <t>刘錡</t>
  </si>
  <si>
    <t>桓石虔</t>
  </si>
  <si>
    <t>李继隆</t>
  </si>
  <si>
    <t>先轸</t>
  </si>
  <si>
    <t>戟神</t>
  </si>
  <si>
    <r>
      <rPr>
        <sz val="9"/>
        <color rgb="FF000000"/>
        <rFont val="宋体"/>
        <charset val="134"/>
      </rPr>
      <t>戟神</t>
    </r>
    <r>
      <rPr>
        <sz val="9"/>
        <color rgb="FF000000"/>
        <rFont val="STZhongsong"/>
        <charset val="134"/>
      </rPr>
      <t>=</t>
    </r>
    <r>
      <rPr>
        <sz val="9"/>
        <color rgb="FF000000"/>
        <rFont val="宋体"/>
        <charset val="134"/>
      </rPr>
      <t>戟神</t>
    </r>
    <r>
      <rPr>
        <sz val="9"/>
        <color rgb="FF000000"/>
        <rFont val="STZhongsong"/>
        <charset val="134"/>
      </rPr>
      <t>+</t>
    </r>
    <r>
      <rPr>
        <sz val="9"/>
        <color rgb="FF000000"/>
        <rFont val="宋体"/>
        <charset val="134"/>
      </rPr>
      <t>铁壁</t>
    </r>
    <r>
      <rPr>
        <sz val="9"/>
        <color rgb="FF000000"/>
        <rFont val="STZhongsong"/>
        <charset val="134"/>
      </rPr>
      <t>+</t>
    </r>
    <r>
      <rPr>
        <sz val="9"/>
        <color rgb="FF000000"/>
        <rFont val="宋体"/>
        <charset val="134"/>
      </rPr>
      <t>洞察</t>
    </r>
    <r>
      <rPr>
        <sz val="9"/>
        <color rgb="FF000000"/>
        <rFont val="STZhongsong"/>
        <charset val="134"/>
      </rPr>
      <t>+</t>
    </r>
    <r>
      <rPr>
        <sz val="9"/>
        <color rgb="FF000000"/>
        <rFont val="宋体"/>
        <charset val="134"/>
      </rPr>
      <t>不屈</t>
    </r>
    <r>
      <rPr>
        <sz val="9"/>
        <color rgb="FF000000"/>
        <rFont val="STZhongsong"/>
        <charset val="134"/>
      </rPr>
      <t>+</t>
    </r>
    <r>
      <rPr>
        <sz val="9"/>
        <color rgb="FF000000"/>
        <rFont val="宋体"/>
        <charset val="134"/>
      </rPr>
      <t>军魂</t>
    </r>
  </si>
  <si>
    <t>药元福</t>
  </si>
  <si>
    <t>尉缭</t>
  </si>
  <si>
    <t>吴璘</t>
  </si>
  <si>
    <t>符存审</t>
  </si>
  <si>
    <t>慕容绍宗</t>
  </si>
  <si>
    <t>慕容农</t>
  </si>
  <si>
    <t>顾全武</t>
  </si>
  <si>
    <t>周处</t>
  </si>
  <si>
    <t>常遇春</t>
  </si>
  <si>
    <t>岳雲</t>
  </si>
  <si>
    <t>鲁班</t>
  </si>
  <si>
    <t>徐光启</t>
  </si>
  <si>
    <t>申公巫臣</t>
  </si>
  <si>
    <t>小刀</t>
  </si>
  <si>
    <t>韩信</t>
  </si>
  <si>
    <t>兵仙</t>
  </si>
  <si>
    <r>
      <rPr>
        <sz val="9"/>
        <color rgb="FF000000"/>
        <rFont val="宋体"/>
        <charset val="134"/>
      </rPr>
      <t>兵仙</t>
    </r>
    <r>
      <rPr>
        <sz val="9"/>
        <color rgb="FF000000"/>
        <rFont val="STZhongsong"/>
        <charset val="134"/>
      </rPr>
      <t>=</t>
    </r>
    <r>
      <rPr>
        <sz val="9"/>
        <color rgb="FF000000"/>
        <rFont val="宋体"/>
        <charset val="134"/>
      </rPr>
      <t>兵仙</t>
    </r>
    <r>
      <rPr>
        <sz val="9"/>
        <color rgb="FF000000"/>
        <rFont val="STZhongsong"/>
        <charset val="134"/>
      </rPr>
      <t>+</t>
    </r>
    <r>
      <rPr>
        <sz val="9"/>
        <color rgb="FF000000"/>
        <rFont val="宋体"/>
        <charset val="134"/>
      </rPr>
      <t>斗神</t>
    </r>
    <r>
      <rPr>
        <sz val="9"/>
        <color rgb="FF000000"/>
        <rFont val="STZhongsong"/>
        <charset val="134"/>
      </rPr>
      <t>+</t>
    </r>
    <r>
      <rPr>
        <sz val="9"/>
        <color rgb="FF000000"/>
        <rFont val="宋体"/>
        <charset val="134"/>
      </rPr>
      <t>昂扬</t>
    </r>
    <r>
      <rPr>
        <sz val="9"/>
        <color rgb="FF000000"/>
        <rFont val="STZhongsong"/>
        <charset val="134"/>
      </rPr>
      <t>+</t>
    </r>
    <r>
      <rPr>
        <sz val="9"/>
        <color rgb="FF000000"/>
        <rFont val="宋体"/>
        <charset val="134"/>
      </rPr>
      <t>布阵</t>
    </r>
    <r>
      <rPr>
        <sz val="9"/>
        <color theme="1"/>
        <rFont val="STZhongsong"/>
        <charset val="134"/>
      </rPr>
      <t>+</t>
    </r>
    <r>
      <rPr>
        <sz val="9"/>
        <color rgb="FF000000"/>
        <rFont val="宋体"/>
        <charset val="134"/>
      </rPr>
      <t>武干</t>
    </r>
  </si>
  <si>
    <t>桓温</t>
  </si>
  <si>
    <t>周德威</t>
  </si>
  <si>
    <t>黄忠</t>
  </si>
  <si>
    <t>羊侃</t>
  </si>
  <si>
    <t>朱温</t>
  </si>
  <si>
    <t>沮渠蒙逊</t>
  </si>
  <si>
    <t>封常清</t>
  </si>
  <si>
    <t>吕光</t>
  </si>
  <si>
    <t>杨忠</t>
  </si>
  <si>
    <t>锺会</t>
  </si>
  <si>
    <t>章邯</t>
  </si>
  <si>
    <t>树袋熊</t>
  </si>
  <si>
    <t>伍员</t>
  </si>
  <si>
    <t>灌婴</t>
  </si>
  <si>
    <t>寇准</t>
  </si>
  <si>
    <t>李存勖</t>
  </si>
  <si>
    <t>姚苌</t>
  </si>
  <si>
    <t>里克</t>
  </si>
  <si>
    <t>王镇恶</t>
  </si>
  <si>
    <t>刘曜</t>
  </si>
  <si>
    <t>甘寧</t>
  </si>
  <si>
    <t>周亚夫</t>
  </si>
  <si>
    <t>王韶</t>
  </si>
  <si>
    <t>王僧辩</t>
  </si>
  <si>
    <t>法正</t>
  </si>
  <si>
    <t>傅友德</t>
  </si>
  <si>
    <r>
      <rPr>
        <sz val="9"/>
        <color rgb="FF000000"/>
        <rFont val="宋体"/>
        <charset val="134"/>
      </rPr>
      <t>长弓</t>
    </r>
    <r>
      <rPr>
        <sz val="9"/>
        <color rgb="FF000000"/>
        <rFont val="STZhongsong"/>
        <charset val="134"/>
      </rPr>
      <t>=</t>
    </r>
    <r>
      <rPr>
        <sz val="9"/>
        <color rgb="FF000000"/>
        <rFont val="宋体"/>
        <charset val="134"/>
      </rPr>
      <t>弓将</t>
    </r>
    <r>
      <rPr>
        <sz val="9"/>
        <color rgb="FF000000"/>
        <rFont val="STZhongsong"/>
        <charset val="134"/>
      </rPr>
      <t>+</t>
    </r>
    <r>
      <rPr>
        <sz val="9"/>
        <color rgb="FF000000"/>
        <rFont val="宋体"/>
        <charset val="134"/>
      </rPr>
      <t>神臂</t>
    </r>
    <r>
      <rPr>
        <sz val="9"/>
        <color rgb="FF000000"/>
        <rFont val="STZhongsong"/>
        <charset val="134"/>
      </rPr>
      <t>+</t>
    </r>
    <r>
      <rPr>
        <sz val="9"/>
        <color rgb="FF000000"/>
        <rFont val="宋体"/>
        <charset val="134"/>
      </rPr>
      <t>辅佐</t>
    </r>
  </si>
  <si>
    <t>高仙芝</t>
  </si>
  <si>
    <t>李成梁</t>
  </si>
  <si>
    <t>陈璘</t>
  </si>
  <si>
    <t>庞涓</t>
  </si>
  <si>
    <t>王敦</t>
  </si>
  <si>
    <t>李仁罕</t>
  </si>
  <si>
    <t>樊哙</t>
  </si>
  <si>
    <t>魏延</t>
  </si>
  <si>
    <t>冯胜</t>
  </si>
  <si>
    <t>蓝玉</t>
  </si>
  <si>
    <t>朱文正</t>
  </si>
  <si>
    <t>赫连勃勃</t>
  </si>
  <si>
    <t>杨素</t>
  </si>
  <si>
    <t>张方</t>
  </si>
  <si>
    <t>史思明</t>
  </si>
  <si>
    <t>侯景</t>
  </si>
  <si>
    <t>备注</t>
  </si>
  <si>
    <t>1.国策条件均为武将基础属性</t>
  </si>
  <si>
    <t>2.只有首发阵容中的武将才能做国策</t>
  </si>
  <si>
    <t>3.复合特技中的单特技也可以做国策</t>
  </si>
  <si>
    <t>条件</t>
  </si>
  <si>
    <t>少林</t>
  </si>
  <si>
    <t>获得三级戟兵科技</t>
  </si>
  <si>
    <t>拥有X名戟S武将（神2圣3）</t>
  </si>
  <si>
    <t>获得X*（2000兵+5000粮）</t>
  </si>
  <si>
    <t>拥有3名君主武将</t>
  </si>
  <si>
    <t>获得 名声、法治</t>
  </si>
  <si>
    <t>指定一名统武和&lt;190的武将，花费该武将薪资的空间</t>
  </si>
  <si>
    <t>将该武将的初始属性适性复制到另外2名武将</t>
  </si>
  <si>
    <t>花费30*X空间（X&lt;3）</t>
  </si>
  <si>
    <t>获得X个特技 金钟=兵圣+陷阵+铁壁+怒发</t>
  </si>
  <si>
    <t>武当</t>
  </si>
  <si>
    <t>开启枪、骑科技花费减半</t>
  </si>
  <si>
    <t>拥有X名特技为 风水/祈愿/贤哲/精妙 的武将</t>
  </si>
  <si>
    <t>基础收入增加X*（100/1000）</t>
  </si>
  <si>
    <t>花费20空间</t>
  </si>
  <si>
    <t>可与对手交换城市（包含特产、耐久）</t>
  </si>
  <si>
    <t>拥有X名枪骑S武将</t>
  </si>
  <si>
    <t>若X&gt;2，国策武将统武+X；若X&gt;4，国策武将枪骑适性上升一阶；若X&gt;6，国策武将特技可变为 真武=布阵+治军+犄角+辅佐</t>
  </si>
  <si>
    <t>拥有一名五维&gt;400的武将</t>
  </si>
  <si>
    <t>国策武将统武+5，特技可变为 太极=布阵+金刚+昂扬+治军+破竹+军魂，功绩+10000</t>
  </si>
  <si>
    <t>丐帮</t>
  </si>
  <si>
    <t>获得黄巾国号</t>
  </si>
  <si>
    <t>拥有3个100+属性</t>
  </si>
  <si>
    <t>获得 屯田、名声，基础收入提升至500/7000</t>
  </si>
  <si>
    <t>花费15*X空间</t>
  </si>
  <si>
    <t>获得X*（5000兵+10000粮+5000枪戟）</t>
  </si>
  <si>
    <t>己方所有武将特技可变为 豪杰=乱战+扫荡+循吏+不屈</t>
  </si>
  <si>
    <t>君主统武和&gt;170</t>
  </si>
  <si>
    <t>君主统武魅+10，薪资减半，特技变为 降龙=神将+战神+昂扬+破竹</t>
  </si>
  <si>
    <t>全真</t>
  </si>
  <si>
    <t>开启科技不需要前置</t>
  </si>
  <si>
    <t>拥有X名政治&gt;79的武将</t>
  </si>
  <si>
    <t>获得X*（1000粮收入+10000粮）</t>
  </si>
  <si>
    <t>获得一个特技 互搏=激励+百战+突袭+破竹</t>
  </si>
  <si>
    <t>拥有7名统武80+武将</t>
  </si>
  <si>
    <t>国策武将统武提升至90，枪戟适性提升至S，特技可变为 剑阵=斗神+布阵+辅佐+扫荡</t>
  </si>
  <si>
    <t>指定具有血缘或亲爱关系的2名武将A、B</t>
  </si>
  <si>
    <t>A获得B的统帅，B获得A的武力</t>
  </si>
  <si>
    <t>华山</t>
  </si>
  <si>
    <t>免疫对手所有负面国策</t>
  </si>
  <si>
    <t>拥有X名枪S武将（神2圣3）</t>
  </si>
  <si>
    <t>拥有2名不会叛变的武将</t>
  </si>
  <si>
    <t>国策武将特技分别变为 能吏、富豪</t>
  </si>
  <si>
    <t>指定对手大名单中的一件短柄类宝物</t>
  </si>
  <si>
    <t>复制其最终属性和特技到自己的一件宝物</t>
  </si>
  <si>
    <t>拥有(X+Y)名枪S武将</t>
  </si>
  <si>
    <t>X名国策武将统帅+X，特技变为 剑气=枪神+巧变+百战；Y名武将武力+Y，特技变为 九剑=兵神+金刚+昂扬</t>
  </si>
  <si>
    <t>恒山</t>
  </si>
  <si>
    <t>获得四级枪兵科技</t>
  </si>
  <si>
    <t>拥有X名不会叛变的武将</t>
  </si>
  <si>
    <t>获得X*（2000兵+1000金+5000粮）</t>
  </si>
  <si>
    <t>花费10*X空间</t>
  </si>
  <si>
    <t>获得X个枪适性+1，最高可提升至圣</t>
  </si>
  <si>
    <t>指定己方一件宝物的属性增益翻倍（上限为20）</t>
  </si>
  <si>
    <t>拥有一名女武将</t>
  </si>
  <si>
    <t>己方君主统武+5，特技变为枪神=枪神+突袭+攻心+军魂</t>
  </si>
  <si>
    <t>天地会</t>
  </si>
  <si>
    <t>出场阵容薪资上限+50</t>
  </si>
  <si>
    <t>拥有X名智力&gt;80的武将</t>
  </si>
  <si>
    <t>获得X*（2000兵+5000粮食）</t>
  </si>
  <si>
    <t>拥有3名智力&gt;90的武将</t>
  </si>
  <si>
    <t>国策武将统帅提升至90，智力+10，特技变为神算</t>
  </si>
  <si>
    <t>花费X空间，最多3次</t>
  </si>
  <si>
    <t>指定对手一名薪资为X的武将亲爱己方君主</t>
  </si>
  <si>
    <t>花费30空间</t>
  </si>
  <si>
    <t>获得5个内政、补助类单特技</t>
  </si>
  <si>
    <t>红花会</t>
  </si>
  <si>
    <t>大名单人数+5，所有3块及以下的武将不占用薪资和人数</t>
  </si>
  <si>
    <t>拥有X名来自同一势力的武将</t>
  </si>
  <si>
    <t>拥有X名特技为 亲羌、和戎的武将</t>
  </si>
  <si>
    <t>国策武将可变为任意单特技</t>
  </si>
  <si>
    <t>指定己方X名薪资&lt;10的武将，花费5*X空间（X&lt;14）</t>
  </si>
  <si>
    <t>国策武将统武+5，忠诚+20，特技变为 驱逐=驱逐+突袭+布阵+连击</t>
  </si>
  <si>
    <t>己方君主前三维&gt;254</t>
  </si>
  <si>
    <t>君主统武魅+5，特技变为破虏=驱逐+突袭+布阵+连击+拱戍+威风</t>
  </si>
  <si>
    <t>峨眉派</t>
  </si>
  <si>
    <t>己方所有武将性别变为女，情义变为不会叛变，初始忠诚+50</t>
  </si>
  <si>
    <t>拥有X名高情义武将</t>
  </si>
  <si>
    <t>花费X空间</t>
  </si>
  <si>
    <t>解除对手一名薪资为X的男性武将所有的亲爱结义结婚关系，并使其亲爱己方的一名女武将</t>
  </si>
  <si>
    <t>花费10*X空间（X&lt;4）</t>
  </si>
  <si>
    <t>指定己方X名有神/圣适性的武将统武+5，特技可变为 九阴=斗神+威风+猛者+治军</t>
  </si>
  <si>
    <t>拥有一件短柄、长柄类武器</t>
  </si>
  <si>
    <t>短柄武器附带统+10，特技兵神；长柄武器附带武+10，特技战神</t>
  </si>
  <si>
    <t>大理段氏</t>
  </si>
  <si>
    <t>位于蜀地六城+汉中时，获得2W兵+10W粮食</t>
  </si>
  <si>
    <t>拥有X名蜀地6城的武将</t>
  </si>
  <si>
    <t>获得X*（2000兵+5000粮+5000弩）</t>
  </si>
  <si>
    <t>拥有X名特技为亲蛮、和戎的武将</t>
  </si>
  <si>
    <t>献祭一名特技为指导的武将</t>
  </si>
  <si>
    <t>指定己方一名武将统武+5，弩适性上升2阶，特技变为 神剑=弓神+战神+遁走+解毒+奏乐+射手+神臂+狙击</t>
  </si>
  <si>
    <t>指定己方一名武将变身段思平，若该武将姓段，则段思平获得该武将五维/10的属性增益</t>
  </si>
  <si>
    <t>逍遥派</t>
  </si>
  <si>
    <t>对手开局处于 蝗灾+瘟疫+预定蝗灾+预定瘟疫状态</t>
  </si>
  <si>
    <t>拥有X名魅力&gt;89的武将</t>
  </si>
  <si>
    <t>君主魅力&gt;89</t>
  </si>
  <si>
    <t>君主后三维+10，魅力薪资锁定为0</t>
  </si>
  <si>
    <t>献祭一名武将</t>
  </si>
  <si>
    <t>己方另一名武将获得献祭武将的五维/10（向上取整）的属性增益</t>
  </si>
  <si>
    <t>拥有3名智力90+的武将</t>
  </si>
  <si>
    <t>国策武将统帅提升至90，智力+10，特技变为 雷神=鬼门+鬼谋+运筹+百出</t>
  </si>
  <si>
    <t>日月神教</t>
  </si>
  <si>
    <t>开启枪、弩科技花费减半</t>
  </si>
  <si>
    <t>吸收对手一半的钱粮</t>
  </si>
  <si>
    <t>拥有2名智力90+武将</t>
  </si>
  <si>
    <t>国策武将特技分别变为 法治、变法</t>
  </si>
  <si>
    <t>拥有X名武力&gt;79的武将</t>
  </si>
  <si>
    <t>国策武将统武+3，任一适性上升一阶，若X&gt;9则每人获得5000功绩</t>
  </si>
  <si>
    <t>君主野心为高，花费50空间</t>
  </si>
  <si>
    <t>君主性别变为女，枪弩适性提升一阶，统+8武+12，特技变为【天人】，可免费结婚</t>
  </si>
  <si>
    <t>天人=激励+连击+攻心+飞将+恫吓+内助</t>
  </si>
  <si>
    <t>明教</t>
  </si>
  <si>
    <t>所在城市免费升级为大都市</t>
  </si>
  <si>
    <t>无极=攻心+百战+奏乐+昂扬+陷阵+仁政</t>
  </si>
  <si>
    <t>拥有X名大明武将</t>
  </si>
  <si>
    <t>鹰王=戟神+突袭+铁壁+治军</t>
  </si>
  <si>
    <t>拥有一本书籍类宝物</t>
  </si>
  <si>
    <t>该宝物附带智力+5，特技火神；额外获得2个火神特技</t>
  </si>
  <si>
    <t>狮王=神将+威风+恫吓+猛者</t>
  </si>
  <si>
    <t>拥有 戟将、恫吓、强行、水将</t>
  </si>
  <si>
    <t>己方4名武将统武+5，特技分别变为 鹰王、狮王、蝠王、龙王</t>
  </si>
  <si>
    <t>蝠王=强行+飞将+攻心+捕缚</t>
  </si>
  <si>
    <t>君主五维&gt;400，花费50空间</t>
  </si>
  <si>
    <t>君主特技可变为【无极】，全适性提升至神，在计算君主薪资后获得五维+8</t>
  </si>
  <si>
    <t>龙王=水神+火神+名声+奏乐</t>
  </si>
  <si>
    <t>嵩山</t>
  </si>
  <si>
    <t>可与对手停战2年</t>
  </si>
  <si>
    <t>拥有X名高野心武将</t>
  </si>
  <si>
    <t>基础收入增加 X*100/1000</t>
  </si>
  <si>
    <t>拥有X名和君主同势力的武将</t>
  </si>
  <si>
    <t>国策武将亲爱君主，统武+3，获得10*X科技点</t>
  </si>
  <si>
    <t>花费X*15</t>
  </si>
  <si>
    <t>获得X个适性+1，最高可提升至圣</t>
  </si>
  <si>
    <t>君主前三维&gt;249</t>
  </si>
  <si>
    <t>君主野心变为高，戟适性提升2阶，特技可变为 【巨剑】，在计算君主薪资后五维+5</t>
  </si>
  <si>
    <t>巨剑=戟神+布阵+治军+铁壁+陷阵+军魂</t>
  </si>
  <si>
    <t>星宿</t>
  </si>
  <si>
    <t>本场比赛所有武将变为高野心+容易背叛，己方所有武将忠诚+50</t>
  </si>
  <si>
    <t>拥有X名容易背叛/无情义的武将</t>
  </si>
  <si>
    <t>吸收对手一半的兵力</t>
  </si>
  <si>
    <t>拥有3名无情义武将</t>
  </si>
  <si>
    <t>国策武将统武+5，特技可变为 化功=妖术+藤甲+料敌+威风</t>
  </si>
  <si>
    <t>己方君主为无情义/容易背叛</t>
  </si>
  <si>
    <t>君主统武+10，后三维-20，特技变为 【星宿】，薪资上限锁定为50</t>
  </si>
  <si>
    <t>星宿=藤甲+鬼门+威风+明镜+攻心+猛者</t>
  </si>
  <si>
    <t>血刀</t>
  </si>
  <si>
    <t>位于河北七城+青徐时，获得2W兵+10W粮食</t>
  </si>
  <si>
    <t>拥有X名特技为亲乌、和戎的武将</t>
  </si>
  <si>
    <t>国策武将变为任意单特技</t>
  </si>
  <si>
    <t>拥有X名武力&gt;89的武将</t>
  </si>
  <si>
    <t>国策武将统武+5，特技可变为 猛将，任一适性上升一阶</t>
  </si>
  <si>
    <t>指定己方君主和对手君主同时预定死亡</t>
  </si>
  <si>
    <t>铁掌</t>
  </si>
  <si>
    <t>开启枪戟科技消耗减半</t>
  </si>
  <si>
    <t>拥有X名枪戟S武将</t>
  </si>
  <si>
    <t>国策武将统武+X，特技可变为 铁掌=斗神+百战+猛者+血路</t>
  </si>
  <si>
    <t>献祭一本书籍和一名君主同姓武将</t>
  </si>
  <si>
    <t>指定对手一名武将五维-10</t>
  </si>
  <si>
    <t>君主统武不足100的属性提升至100，枪戟适性上升一阶，薪资免费</t>
  </si>
  <si>
    <t>神龙岛</t>
  </si>
  <si>
    <t>获得任意4个科技（eg. 熟练兵算一个科技）</t>
  </si>
  <si>
    <t>拥有X个行军类特技</t>
  </si>
  <si>
    <t>拥有4名武力&gt;89的武将</t>
  </si>
  <si>
    <t>召唤一条黑龙</t>
  </si>
  <si>
    <t>拥有 机智、言毒、沉着、规律</t>
  </si>
  <si>
    <t>召唤一条白龙</t>
  </si>
  <si>
    <t>献祭总薪资&gt;70的武将</t>
  </si>
  <si>
    <t>召唤一条神龙，自带10000功绩</t>
  </si>
  <si>
    <t>姑苏慕容</t>
  </si>
  <si>
    <t>指定对手一条负面国策，免疫该国策并可使用该国策</t>
  </si>
  <si>
    <t>拥有X名慕容姓武将</t>
  </si>
  <si>
    <t>国策武将五维+X，功绩+5000，亲爱己方君主，特技可变为 【斗转】</t>
  </si>
  <si>
    <t>斗转=勇将+攻城+洞察+护卫+反计+陷阵</t>
  </si>
  <si>
    <t>花费10空间</t>
  </si>
  <si>
    <t>指定对手2名武将相互厌恶</t>
  </si>
  <si>
    <t>指定己方一名武将变身慕容龙城，若该武将姓慕容，则慕容龙城获得该武将五维/10的属性增益</t>
  </si>
  <si>
    <t>大元</t>
  </si>
  <si>
    <t>获得三级骑兵科技</t>
  </si>
  <si>
    <t>拥有X名骑S武将（神2圣3）</t>
  </si>
  <si>
    <t>获得 繁殖、征税、征收</t>
  </si>
  <si>
    <t>拥有X名统帅&gt;89的骑S武将</t>
  </si>
  <si>
    <t>国策武将统武+X，特技可变为 疾驰/骁将</t>
  </si>
  <si>
    <t>指定己方一名武将变身成吉思汗</t>
  </si>
  <si>
    <t>金刚门</t>
  </si>
  <si>
    <t>消去对手一条科技</t>
  </si>
  <si>
    <t>拥有X名统武和大于150小于170的武将</t>
  </si>
  <si>
    <t>拥有X个金刚、铁壁、怒发、陷阵的武将</t>
  </si>
  <si>
    <t>国策武将统武+5，戟适性上升一阶，特技可变为 重甲</t>
  </si>
  <si>
    <t>拥有3个金刚特技</t>
  </si>
  <si>
    <t>指定对手某名武将，统武-10</t>
  </si>
  <si>
    <t>拥有金刚、百战、昂扬、怒发</t>
  </si>
  <si>
    <t>己方一名武将统帅提升至110，全适性提升一阶，特技变为 【刚猛】</t>
  </si>
  <si>
    <t>刚猛=金刚+勇将+猛者+战神</t>
  </si>
  <si>
    <t>清庭</t>
  </si>
  <si>
    <t>获得四级内政科技</t>
  </si>
  <si>
    <t>君主魅力提升至100，君主薪资计算方式为 3*（统帅-89），最低为0</t>
  </si>
  <si>
    <t>拥有一名后三维&gt;270的武将</t>
  </si>
  <si>
    <t>获得特技 王佐、征税</t>
  </si>
  <si>
    <t>花费10*X（X&lt;5）</t>
  </si>
  <si>
    <t>对手所有武将初始忠诚降低10*X</t>
  </si>
  <si>
    <t>献祭总薪资&gt;40的武将</t>
  </si>
  <si>
    <t>召唤努尔哈赤、皇太极、多尔衮其中之一，每名武将只能召唤一次，最多召唤3次</t>
  </si>
  <si>
    <t>东厂</t>
  </si>
  <si>
    <t>对手的被动国策失效</t>
  </si>
  <si>
    <t>双方某一维度最高的武将同时死亡</t>
  </si>
  <si>
    <t>花费X*5(X&lt;3)</t>
  </si>
  <si>
    <t>指定己方一名武将厌恶对手一名武将，可做X次</t>
  </si>
  <si>
    <t>花费X*5</t>
  </si>
  <si>
    <t>指定己方X名武将特技变为 捕缚</t>
  </si>
  <si>
    <t>指定己方一名武将统武+5，后三维-10，变为高野心+容易背叛，特技变为 快剑=激励+百战</t>
  </si>
  <si>
    <t>青城</t>
  </si>
  <si>
    <t>获得四级弩兵科技</t>
  </si>
  <si>
    <t>拥有X名五维&lt;300的武将</t>
  </si>
  <si>
    <t>获得X个五维+1</t>
  </si>
  <si>
    <t>拥有X名弩S武将（X&gt;5）</t>
  </si>
  <si>
    <t>国策武将统武+5，特技可变为 青城=弓将+辅佐+狙击+神臂</t>
  </si>
  <si>
    <t>花费X*10</t>
  </si>
  <si>
    <t>获得X个弩适性+1，最高可提升至圣</t>
  </si>
  <si>
    <t>指定一个港口/关隘分配给对手，并将其所有武将转移至改港口/关隘</t>
  </si>
  <si>
    <t>闯王</t>
  </si>
  <si>
    <t>购买兵力、钱粮、兵装时花费减半</t>
  </si>
  <si>
    <t>拥有X名特技白板武将</t>
  </si>
  <si>
    <t>获得X*（5000兵+10000粮+5000枪戟弩骑）</t>
  </si>
  <si>
    <t>没有后三维度&gt;100的武将</t>
  </si>
  <si>
    <t>己方所有武将特技可变为 乱击=乱战+突袭+战神+掠夺</t>
  </si>
  <si>
    <t>拥有乱战、掠夺、突袭、要击</t>
  </si>
  <si>
    <t>对手所有书籍类宝物变为破碎状态</t>
  </si>
  <si>
    <t>君主薪资减半</t>
  </si>
  <si>
    <t>密宗</t>
  </si>
  <si>
    <t>城市耐久提升至20000</t>
  </si>
  <si>
    <t>拥有X名特技为突袭/藤甲/铁壁/猛者的武将（包含复合）</t>
  </si>
  <si>
    <t>获得X*（100金收入+1000粮收入）</t>
  </si>
  <si>
    <t>拥有2个亲蛮/和戎</t>
  </si>
  <si>
    <t>召唤松赞干布或葛尔钦陵</t>
  </si>
  <si>
    <t>修改对手特产</t>
  </si>
  <si>
    <t>统帅最高的武将统帅+7，骑适性上升两阶，特技变为 龙象=兵神+藤甲+攻心+百战</t>
  </si>
  <si>
    <t>桃花岛</t>
  </si>
  <si>
    <t>获得四级发明科技</t>
  </si>
  <si>
    <t>拥有X名工S武将（神2圣3）</t>
  </si>
  <si>
    <t>获得X*（5000兵+10000粮+2台投石）</t>
  </si>
  <si>
    <t>拥有 攻城、射程</t>
  </si>
  <si>
    <t>获得 法治、能吏、征税</t>
  </si>
  <si>
    <t>拥有 发明、筑城、坚城</t>
  </si>
  <si>
    <t>己方3名武将统武+5，工适性上升一阶，特技可变为破国，若原特技为破国则工适性上升两阶</t>
  </si>
  <si>
    <t>君主前3维+7，全适性上升一阶，特技变为【破阵】</t>
  </si>
  <si>
    <t>破阵=强行+战神+驱逐+连击+破竹</t>
  </si>
  <si>
    <t>侠客岛</t>
  </si>
  <si>
    <t>己方城市变为6特产</t>
  </si>
  <si>
    <t>拥有X名水S武将（神2圣3）</t>
  </si>
  <si>
    <t>获得X*（2000兵+5000粮），国策武将水适性提升一阶</t>
  </si>
  <si>
    <t>将其部分属性和适性复制给另一名武将B</t>
  </si>
  <si>
    <t>拥有 强行、待伏、乱战、精妙、游侠、巧变</t>
  </si>
  <si>
    <t>获得一个五维+10，一个 东夷 特技</t>
  </si>
  <si>
    <t>吴越</t>
  </si>
  <si>
    <t>开启二级枪、戟科技</t>
  </si>
  <si>
    <t>拥有X名原版吴、越武将</t>
  </si>
  <si>
    <t>获得X*（2000兵+1000金+5000粮+5000枪戟）</t>
  </si>
  <si>
    <t>拥有X名特技为 亲越、和戎的武将</t>
  </si>
  <si>
    <t>拥有一名五维400+的武将</t>
  </si>
  <si>
    <t>国策武将枪戟适性提升至神，可重新分配该武将的五维顺序</t>
  </si>
  <si>
    <t>每拥有5个枪/戟S（神2圣3）适性，获得一个特技 剑仙=兵仙+兵神+藤甲+斗神</t>
  </si>
  <si>
    <t>唐门</t>
  </si>
  <si>
    <t>火神山</t>
  </si>
  <si>
    <t>灵鹫宫</t>
  </si>
  <si>
    <t>昆仑派</t>
  </si>
  <si>
    <t>将对手的科技全部转化为技巧P，上限6W</t>
  </si>
  <si>
    <t>古墓派</t>
  </si>
  <si>
    <t>巨鲸帮</t>
  </si>
  <si>
    <t>崆峒</t>
  </si>
  <si>
    <t>雪山派</t>
  </si>
  <si>
    <t>南少林</t>
  </si>
  <si>
    <t>说明</t>
  </si>
  <si>
    <t>成吉思汗</t>
  </si>
  <si>
    <t>天骄</t>
  </si>
  <si>
    <r>
      <rPr>
        <sz val="11"/>
        <color theme="1"/>
        <rFont val="宋体"/>
        <charset val="134"/>
      </rPr>
      <t>天骄=骑神+弓神+</t>
    </r>
    <r>
      <rPr>
        <sz val="11"/>
        <color rgb="FFFF0000"/>
        <rFont val="宋体"/>
        <charset val="134"/>
      </rPr>
      <t>战神+攻城+</t>
    </r>
    <r>
      <rPr>
        <sz val="11"/>
        <color theme="1"/>
        <rFont val="宋体"/>
        <charset val="134"/>
      </rPr>
      <t>巧变+破竹</t>
    </r>
    <r>
      <rPr>
        <sz val="11"/>
        <color rgb="FFFF0000"/>
        <rFont val="宋体"/>
        <charset val="134"/>
      </rPr>
      <t>+昂扬</t>
    </r>
    <r>
      <rPr>
        <sz val="11"/>
        <color theme="1"/>
        <rFont val="宋体"/>
        <charset val="134"/>
      </rPr>
      <t>+军魂（勾选弩骑，四级攻击）</t>
    </r>
  </si>
  <si>
    <t>段思平</t>
  </si>
  <si>
    <t>开世</t>
  </si>
  <si>
    <t>S</t>
  </si>
  <si>
    <t>B</t>
  </si>
  <si>
    <t>A</t>
  </si>
  <si>
    <t>开世=弓神+神臂+巧变+昂扬+变法+天命</t>
  </si>
  <si>
    <t>慕容龙城</t>
  </si>
  <si>
    <t>参合</t>
  </si>
  <si>
    <t>参合=飞将+疾驰+巧变+陷阵+洞察+反计</t>
  </si>
  <si>
    <t>神龙</t>
  </si>
  <si>
    <t>C</t>
  </si>
  <si>
    <t>青龙=兵圣+斗神+恫吓+怒发</t>
  </si>
  <si>
    <t>白龙</t>
  </si>
  <si>
    <t>白龙=鬼门+火神+鬼谋+奏乐</t>
  </si>
  <si>
    <t>黑龙</t>
  </si>
  <si>
    <t>黑龙=战神+飞将+百战+猛者</t>
  </si>
  <si>
    <t>葛尔钦陵</t>
  </si>
  <si>
    <t>南蛮</t>
  </si>
  <si>
    <t>南蛮=百战+治军+明镜+强行+遁走+天命+奏乐</t>
  </si>
  <si>
    <t>松赞干布</t>
  </si>
  <si>
    <t>司马错包</t>
  </si>
  <si>
    <t>乌骓</t>
  </si>
  <si>
    <t>名马</t>
  </si>
  <si>
    <t>强行</t>
  </si>
  <si>
    <t>刘基包</t>
  </si>
  <si>
    <t>周亚夫包</t>
  </si>
  <si>
    <t>李陵包</t>
  </si>
  <si>
    <t>蛇矛</t>
  </si>
  <si>
    <t>长柄</t>
  </si>
  <si>
    <t>毕再遇包</t>
  </si>
  <si>
    <t>礼记</t>
  </si>
  <si>
    <t>书籍</t>
  </si>
  <si>
    <t>刘备包</t>
  </si>
  <si>
    <t>六骏</t>
  </si>
  <si>
    <t>李斯包</t>
  </si>
  <si>
    <t>竹节钢鞭</t>
  </si>
  <si>
    <t>短兵</t>
  </si>
  <si>
    <t>裴邃包</t>
  </si>
  <si>
    <t>孙子兵法</t>
  </si>
  <si>
    <t>裴行俭包</t>
  </si>
  <si>
    <t>狄青包</t>
  </si>
  <si>
    <t>赵奢包</t>
  </si>
  <si>
    <t>赤兔</t>
  </si>
  <si>
    <t>杨坚包</t>
  </si>
  <si>
    <t>金刀</t>
  </si>
  <si>
    <t>刘询包</t>
  </si>
  <si>
    <t>墨子</t>
  </si>
  <si>
    <t>吴汉包</t>
  </si>
  <si>
    <t>桑弘羊包</t>
  </si>
  <si>
    <t>李泌包</t>
  </si>
  <si>
    <t>李悝包</t>
  </si>
  <si>
    <t>方天画戟</t>
  </si>
  <si>
    <t>马芳包</t>
  </si>
  <si>
    <t>曹仁包</t>
  </si>
  <si>
    <t>道德经</t>
  </si>
  <si>
    <t>鬼谋</t>
  </si>
  <si>
    <t>智+5</t>
  </si>
  <si>
    <t>杨忠包</t>
  </si>
  <si>
    <t>李卫公问对</t>
  </si>
  <si>
    <t>周德威包</t>
  </si>
  <si>
    <t>战国策</t>
  </si>
  <si>
    <t>魏无忌包</t>
  </si>
  <si>
    <t>柳叶弓</t>
  </si>
  <si>
    <t>弓</t>
  </si>
  <si>
    <t>尉缭子</t>
  </si>
  <si>
    <t>夏侯渊包</t>
  </si>
  <si>
    <t>笔燕挝</t>
  </si>
  <si>
    <t>符存审包</t>
  </si>
  <si>
    <t>王镇恶包</t>
  </si>
  <si>
    <t>李特包</t>
  </si>
  <si>
    <t>俞大猷包</t>
  </si>
  <si>
    <t>三略</t>
  </si>
  <si>
    <t>智+3</t>
  </si>
  <si>
    <t>李文忠包</t>
  </si>
  <si>
    <t>姚广孝包</t>
  </si>
  <si>
    <t>落雕弓</t>
  </si>
  <si>
    <t>杨廷和包</t>
  </si>
  <si>
    <t>李克用包</t>
  </si>
  <si>
    <t>葛从周包</t>
  </si>
  <si>
    <t>一轮秀</t>
  </si>
  <si>
    <t>二轮秀</t>
  </si>
  <si>
    <t>三轮秀</t>
  </si>
  <si>
    <t>四轮秀</t>
  </si>
  <si>
    <t>吴子兵法</t>
  </si>
  <si>
    <t>春秋</t>
  </si>
  <si>
    <t>九鼎</t>
  </si>
  <si>
    <t>魅+10</t>
  </si>
  <si>
    <t>玉玺</t>
  </si>
  <si>
    <t>魅+20</t>
  </si>
  <si>
    <t>轩辕剑</t>
  </si>
  <si>
    <t>军魂</t>
  </si>
  <si>
    <t>统+5</t>
  </si>
  <si>
    <t>泰阿剑</t>
  </si>
  <si>
    <t>统+2</t>
  </si>
  <si>
    <t>梅花亮银锤</t>
  </si>
  <si>
    <t>暗器</t>
  </si>
  <si>
    <t>武+10</t>
  </si>
  <si>
    <t>周易</t>
  </si>
  <si>
    <t>鬼门</t>
  </si>
  <si>
    <t>赤宵剑</t>
  </si>
  <si>
    <t>统+3</t>
  </si>
  <si>
    <t>湛卢剑</t>
  </si>
  <si>
    <t>诗经</t>
  </si>
  <si>
    <t>沥泉枪</t>
  </si>
  <si>
    <t>武+2</t>
  </si>
  <si>
    <t>流星锤</t>
  </si>
  <si>
    <t>武+5</t>
  </si>
  <si>
    <t>司马法</t>
  </si>
  <si>
    <t>尚书</t>
  </si>
  <si>
    <t>朱龙宝马</t>
  </si>
  <si>
    <t>青龙刀</t>
  </si>
  <si>
    <t>昌义之包</t>
  </si>
  <si>
    <t>史记</t>
  </si>
  <si>
    <t>政+3</t>
  </si>
  <si>
    <t>寇准包</t>
  </si>
  <si>
    <t>蒙骜包</t>
  </si>
  <si>
    <t>纪效新书</t>
  </si>
  <si>
    <t>祖逖包</t>
  </si>
  <si>
    <t>六韬</t>
  </si>
  <si>
    <t>独孤信包</t>
  </si>
  <si>
    <t>李如松包</t>
  </si>
  <si>
    <t>韩非子</t>
  </si>
  <si>
    <t>冯奉世包</t>
  </si>
  <si>
    <t>曹参包</t>
  </si>
  <si>
    <t>穿石弓</t>
  </si>
  <si>
    <t>薛文包</t>
  </si>
  <si>
    <t>资治通鉴</t>
  </si>
  <si>
    <t>政+5</t>
  </si>
  <si>
    <t>高仙芝包</t>
  </si>
  <si>
    <t>的卢包</t>
  </si>
  <si>
    <t>的卢</t>
  </si>
  <si>
    <t>熟铜简</t>
  </si>
  <si>
    <t>崔延伯包</t>
  </si>
  <si>
    <t>徐晃包</t>
  </si>
  <si>
    <t>温峤包</t>
  </si>
  <si>
    <t>阿九包</t>
  </si>
  <si>
    <t>王导包</t>
  </si>
  <si>
    <t>罗士信包</t>
  </si>
  <si>
    <t>孔丘包</t>
  </si>
  <si>
    <t>朱文正包</t>
  </si>
  <si>
    <t>韩琦包</t>
  </si>
  <si>
    <t>名哥包</t>
  </si>
  <si>
    <t>杨存中包</t>
  </si>
  <si>
    <t>小刀包</t>
  </si>
  <si>
    <t>王彦章包</t>
  </si>
  <si>
    <t>黄歇包</t>
  </si>
  <si>
    <t>慕容白曜包</t>
  </si>
  <si>
    <t>英布包</t>
  </si>
  <si>
    <t>林仁肇包</t>
  </si>
  <si>
    <t>奚康生包</t>
  </si>
  <si>
    <t>吴阖闾包</t>
  </si>
  <si>
    <t>邓愈包</t>
  </si>
  <si>
    <t>秦良玉包</t>
  </si>
  <si>
    <t>NPＣ</t>
  </si>
  <si>
    <t>名称</t>
  </si>
  <si>
    <t>价值</t>
  </si>
  <si>
    <t>种类</t>
  </si>
  <si>
    <t>属性</t>
  </si>
  <si>
    <r>
      <rPr>
        <b/>
        <sz val="11"/>
        <color rgb="FF000000"/>
        <rFont val="等线"/>
        <charset val="134"/>
      </rPr>
      <t>1.国策顺序自定，</t>
    </r>
    <r>
      <rPr>
        <b/>
        <sz val="11"/>
        <color rgb="FFFF0000"/>
        <rFont val="等线"/>
        <charset val="134"/>
      </rPr>
      <t>条件均为基础属性，除非另有说明</t>
    </r>
  </si>
  <si>
    <t>4. 初始适性为神或圣的武将可算作两个S</t>
  </si>
  <si>
    <t>5.如效果写为“国策武将获得xxx”，则只有作为条件的国策武将可以享受效果。如未写则可以自由分配。</t>
  </si>
  <si>
    <t>6. 被锁定的数据/特技/隐藏等不可再受到己方正面或负面国策影响，可能被对手的正面或负面国策影响（例：己方树袋熊将特技给蚩尤，自己锁定为白板，对方负面交换我方树袋熊与蚩尤的特技，则最终上场时蚩尤变为白板，树袋熊获得蚩尤特技）</t>
  </si>
  <si>
    <t>7.国策花费为x的可以重复做，例：花费为5x的国策可以重复做，每做一次花费5空间，如未标明上限的话（x的最大数）即为无限次。其余国策只可做一次。</t>
  </si>
  <si>
    <t>8. 宝物附加的特技和数据可以使携带者符合条件要求（例：91智力树袋熊携带道德经（+5智力）可以符合国策留侯现世的要求）</t>
  </si>
  <si>
    <t>国策</t>
  </si>
  <si>
    <t>花费</t>
  </si>
  <si>
    <t>黄帝</t>
  </si>
  <si>
    <t>土德曰黄</t>
  </si>
  <si>
    <t>无</t>
  </si>
  <si>
    <t>购买粮收入花费减半 粮收入上限变成3次</t>
  </si>
  <si>
    <t>指南破阵</t>
  </si>
  <si>
    <t>拥有一个发明特技的武将</t>
  </si>
  <si>
    <t>该武将变成任意单特技</t>
  </si>
  <si>
    <t>受命于天</t>
  </si>
  <si>
    <t>君主每拥有一件宝物 君主费用-10</t>
  </si>
  <si>
    <t>轩辕弓</t>
  </si>
  <si>
    <t>可使任意宝物的类型变成弓箭，本势力所有弓箭宝物统武+3，两个弓箭宝物不占用首发阵容人数</t>
  </si>
  <si>
    <t>人祖</t>
  </si>
  <si>
    <t>君主五维中其中的两项提升至95，可免费改变隐藏相性，获得两个S或一个适性+1</t>
  </si>
  <si>
    <t>百战立族</t>
  </si>
  <si>
    <t>拥有3名统帅大于等于85的武将</t>
  </si>
  <si>
    <r>
      <rPr>
        <b/>
        <sz val="11"/>
        <rFont val="等线"/>
        <charset val="134"/>
      </rPr>
      <t>本势力所有统帅大于等于85的武将武力不足85的提升至85，且特技</t>
    </r>
    <r>
      <rPr>
        <b/>
        <sz val="11"/>
        <color rgb="FFFF0000"/>
        <rFont val="等线"/>
        <charset val="134"/>
      </rPr>
      <t>可以</t>
    </r>
    <r>
      <rPr>
        <b/>
        <sz val="11"/>
        <rFont val="等线"/>
        <charset val="134"/>
      </rPr>
      <t>变成百战</t>
    </r>
  </si>
  <si>
    <t>炎帝</t>
  </si>
  <si>
    <t>刀耕</t>
  </si>
  <si>
    <t>获得一个特技米道</t>
  </si>
  <si>
    <t>文明之始</t>
  </si>
  <si>
    <t>尝百草</t>
  </si>
  <si>
    <t>拥有一个特技为风水或仙君的武将</t>
  </si>
  <si>
    <t>使国策武将特技变成仙君，获得1w可分配功绩 若该武将原特技为仙君则获得自由功绩为1.5W</t>
  </si>
  <si>
    <t>火种</t>
  </si>
  <si>
    <t>火科技花费减半</t>
  </si>
  <si>
    <t>火德曰炎</t>
  </si>
  <si>
    <t>君主智力大于等于90</t>
  </si>
  <si>
    <t>君主特技变成炎神（奏乐+火神+运筹+鬼谋+军魂）</t>
  </si>
  <si>
    <t>燧人后裔</t>
  </si>
  <si>
    <t>本势力两名智力等于或高于90的武将特技变成火神，且这些武将和特技为火神或炎神的武将弓适性+1 智力+10</t>
  </si>
  <si>
    <t>九黎</t>
  </si>
  <si>
    <t>召唤蚩尤</t>
  </si>
  <si>
    <r>
      <rPr>
        <b/>
        <sz val="11"/>
        <rFont val="等线"/>
        <charset val="134"/>
      </rPr>
      <t>献祭总薪资为55且人数不超过3的武将，使其中一名成为蚩尤。蚩尤继承其附身武将的id和隐藏。可使最多其他</t>
    </r>
    <r>
      <rPr>
        <b/>
        <sz val="11"/>
        <color rgb="FFFF0000"/>
        <rFont val="等线"/>
        <charset val="134"/>
      </rPr>
      <t>四</t>
    </r>
    <r>
      <rPr>
        <b/>
        <sz val="11"/>
        <rFont val="等线"/>
        <charset val="134"/>
      </rPr>
      <t>名武将特技锁定为白板，将他们的初始特技增加进蚩尤的复合特技中。若该初始特技为复合特技，则选复合特技中的某一个单特技加入蚩尤特技组合（例：使药元福朱元璋朱珍锁定为白板，可将蚩尤特技改为驱逐+连击+战神）。蚩尤薪资帽为55，所占位数根据献祭所用武将数决定。</t>
    </r>
  </si>
  <si>
    <t>兵祖</t>
  </si>
  <si>
    <t xml:space="preserve"> 君主花费-10</t>
  </si>
  <si>
    <t>首创刑法</t>
  </si>
  <si>
    <t>获得一个特技法治</t>
  </si>
  <si>
    <t>兵矢</t>
  </si>
  <si>
    <t>获得两个任意适性+1（不可给同一人的同一适性，例如可以使诸葛亮枪弩各自+1，不可使诸葛亮弩+2）</t>
  </si>
  <si>
    <t>食铁兽</t>
  </si>
  <si>
    <t>拥有一个名马宝物</t>
  </si>
  <si>
    <t>该宝物特技变成藤甲</t>
  </si>
  <si>
    <t>呼风唤雨</t>
  </si>
  <si>
    <t>拥有三个智力大于等于90的武将</t>
  </si>
  <si>
    <t>使三名武将特技改为虚实，智力+5</t>
  </si>
  <si>
    <t>西周</t>
  </si>
  <si>
    <t>文王演周易</t>
  </si>
  <si>
    <t>拥有一本书籍宝物</t>
  </si>
  <si>
    <t>可使该书籍宝物所附加特技变为任意计略类型单特技，若拥有周易则可使周易额外获得+5智力</t>
  </si>
  <si>
    <t>井田制</t>
  </si>
  <si>
    <t>获得一个屯田特技</t>
  </si>
  <si>
    <t>周礼</t>
  </si>
  <si>
    <t>拥有X个初始后三维大于245的武将</t>
  </si>
  <si>
    <t>获得X个2000兵，5000粮</t>
  </si>
  <si>
    <t>武王伐纣</t>
  </si>
  <si>
    <t>君主统智魅均大于等于80</t>
  </si>
  <si>
    <t>君主统智魅不足90的可提升至90，任意适性+1，特技可变成戎马</t>
  </si>
  <si>
    <t>渭水垂钓</t>
  </si>
  <si>
    <t>本势力三名特技为落雷的武将特技变成雷神（鬼门+百出+运筹+鬼谋+武干），且统帅可提升为90（若拥有姜子牙，则姜子牙任意适性+1）</t>
  </si>
  <si>
    <t>周公吐哺</t>
  </si>
  <si>
    <t>本势力所有武将增加20忠诚，对方所有武将减少20初始忠诚</t>
  </si>
  <si>
    <t>诸子百家</t>
  </si>
  <si>
    <t>道家</t>
  </si>
  <si>
    <t>10x</t>
  </si>
  <si>
    <t>使敌方X个武将变成未发现（指定ID 若该武将最终为君主或死亡则指令无效 若被献祭且id被召唤武将继承则影响召唤武将 最高可做3次）</t>
  </si>
  <si>
    <t>农家</t>
  </si>
  <si>
    <t>兵家</t>
  </si>
  <si>
    <t>拥有一本兵书，或拥有一名著有兵书的历史武将（该武将的兵书必须在游戏中）</t>
  </si>
  <si>
    <t>若拥有兵书，使兵书变成统+5；若拥有一名作者，获得任意一个总表中存在的特技可分配给任何人（若该武将为孙武，则孙武获得任意三个S适性）；若都有，两个都可以触发，不要求作者和著作对应</t>
  </si>
  <si>
    <t>墨家</t>
  </si>
  <si>
    <t>拥有X个特技为搬运、造船、筑城、发明、贤哲的武将</t>
  </si>
  <si>
    <t>获得5X科技点</t>
  </si>
  <si>
    <t>法家</t>
  </si>
  <si>
    <t>选择法家或儒家一个为主系一个为副系</t>
  </si>
  <si>
    <r>
      <rPr>
        <b/>
        <sz val="11"/>
        <rFont val="等线"/>
        <charset val="134"/>
      </rPr>
      <t>法家为主系：本势力任意3个将领统帅变成初始政治-5，获得两个适性S，特技</t>
    </r>
    <r>
      <rPr>
        <b/>
        <sz val="11"/>
        <color rgb="FFFF0000"/>
        <rFont val="等线"/>
        <charset val="134"/>
      </rPr>
      <t>可以</t>
    </r>
    <r>
      <rPr>
        <b/>
        <sz val="11"/>
        <rFont val="等线"/>
        <charset val="134"/>
      </rPr>
      <t>改为威风；儒家为副系：获得一个能吏</t>
    </r>
  </si>
  <si>
    <t>儒家</t>
  </si>
  <si>
    <r>
      <rPr>
        <b/>
        <sz val="11"/>
        <rFont val="等线"/>
        <charset val="134"/>
      </rPr>
      <t>儒家为主系：本势力任意3个将领统帅变成初始魅力-5，获得两个适性S，特技</t>
    </r>
    <r>
      <rPr>
        <b/>
        <sz val="11"/>
        <color rgb="FFFF0000"/>
        <rFont val="等线"/>
        <charset val="134"/>
      </rPr>
      <t>可以</t>
    </r>
    <r>
      <rPr>
        <b/>
        <sz val="11"/>
        <rFont val="等线"/>
        <charset val="134"/>
      </rPr>
      <t>改为拱戍；法家为副系：获得一个法治</t>
    </r>
  </si>
  <si>
    <t>韩</t>
  </si>
  <si>
    <t>锻造专精</t>
  </si>
  <si>
    <t>获得一个特技能吏，获得30000弩兵装</t>
  </si>
  <si>
    <t>帝国中心</t>
  </si>
  <si>
    <t>可以将城市变成任意特产</t>
  </si>
  <si>
    <t>变法强国</t>
  </si>
  <si>
    <t>该武将特技变成变法</t>
  </si>
  <si>
    <t>以弱御强</t>
  </si>
  <si>
    <t>购买兵力翻倍</t>
  </si>
  <si>
    <t>留侯现世</t>
  </si>
  <si>
    <t>拥有一个智力大于等于95的武将</t>
  </si>
  <si>
    <t>该武将统帅或武力变成基础智力-10，特技变成留候（神算+百出+运筹+鬼谋+待伏）</t>
  </si>
  <si>
    <t>韩弩</t>
  </si>
  <si>
    <r>
      <rPr>
        <b/>
        <sz val="11"/>
        <rFont val="等线"/>
        <charset val="134"/>
      </rPr>
      <t>本势力所有武将特技</t>
    </r>
    <r>
      <rPr>
        <b/>
        <sz val="11"/>
        <color rgb="FFFF0000"/>
        <rFont val="等线"/>
        <charset val="134"/>
      </rPr>
      <t>可以</t>
    </r>
    <r>
      <rPr>
        <b/>
        <sz val="11"/>
        <rFont val="等线"/>
        <charset val="134"/>
      </rPr>
      <t>变成韩弩（狙击+神臂+射手）且弩适性提升为S；初始弩为S或以上的武将可使弩适性+1且统+4</t>
    </r>
  </si>
  <si>
    <t>赵</t>
  </si>
  <si>
    <t>燕赵之风</t>
  </si>
  <si>
    <t>本势力所有结算时武力大于85的武将武力+5</t>
  </si>
  <si>
    <t>战国公子</t>
  </si>
  <si>
    <t>获得一个名声特技</t>
  </si>
  <si>
    <t>尚能饭否</t>
  </si>
  <si>
    <t>拥有一名统武和大于175的武将</t>
  </si>
  <si>
    <r>
      <rPr>
        <b/>
        <sz val="11"/>
        <rFont val="等线"/>
        <charset val="134"/>
      </rPr>
      <t>使国策武将特技变为百战，获得一个适性+1（最高为神）；若该武将初始特技为百战，则获得一个适性+1，特技</t>
    </r>
    <r>
      <rPr>
        <b/>
        <sz val="11"/>
        <color rgb="FFFF0000"/>
        <rFont val="等线"/>
        <charset val="134"/>
      </rPr>
      <t>可以</t>
    </r>
    <r>
      <rPr>
        <b/>
        <sz val="11"/>
        <rFont val="等线"/>
        <charset val="134"/>
      </rPr>
      <t>改为该适性的x神</t>
    </r>
  </si>
  <si>
    <t>将相和</t>
  </si>
  <si>
    <t>获得一个结义权，其中一名结义武将魅力+5，另一个武将武力+5，君主不可参与该国策</t>
  </si>
  <si>
    <t>赵国长城</t>
  </si>
  <si>
    <t>拥有一个武力低于50的武将</t>
  </si>
  <si>
    <t>该武将的武力变成统帅-5（优先结算） ，任意适性+1</t>
  </si>
  <si>
    <t>胡服骑射</t>
  </si>
  <si>
    <t>拥有一个白马 一个连击特技的武将</t>
  </si>
  <si>
    <r>
      <rPr>
        <b/>
        <sz val="11"/>
        <rFont val="等线"/>
        <charset val="134"/>
      </rPr>
      <t>获得1-2级骑科技，所有结算时骑适性为s或以上的武将特技</t>
    </r>
    <r>
      <rPr>
        <b/>
        <sz val="11"/>
        <color rgb="FFFF0000"/>
        <rFont val="等线"/>
        <charset val="134"/>
      </rPr>
      <t>可以</t>
    </r>
    <r>
      <rPr>
        <b/>
        <sz val="11"/>
        <rFont val="等线"/>
        <charset val="134"/>
      </rPr>
      <t>变成骑射（白马+辅助+连击）</t>
    </r>
  </si>
  <si>
    <t>齐</t>
  </si>
  <si>
    <t>管子之谋</t>
  </si>
  <si>
    <t>拥有政治大于等于95的武将</t>
  </si>
  <si>
    <r>
      <rPr>
        <b/>
        <sz val="11"/>
        <rFont val="等线"/>
        <charset val="134"/>
      </rPr>
      <t>金收入+</t>
    </r>
    <r>
      <rPr>
        <b/>
        <sz val="11"/>
        <color rgb="FFFF0000"/>
        <rFont val="等线"/>
        <charset val="134"/>
      </rPr>
      <t>500</t>
    </r>
  </si>
  <si>
    <t>食客三千</t>
  </si>
  <si>
    <t>可使三名武将不计入首发阵容的人数限制</t>
  </si>
  <si>
    <t>孙膑兵法</t>
  </si>
  <si>
    <t>本势力所有特技为计谋类型的武将智力+10或变为100</t>
  </si>
  <si>
    <t>火牛阵</t>
  </si>
  <si>
    <t>本势力四个武将特技变成火牛（火神+奏乐+料敌+治军）特技且其中一个适性+1（若田单获得该特技 则其额外五维+5）</t>
  </si>
  <si>
    <t>管鲍之交</t>
  </si>
  <si>
    <t>拥有一个政治大于90的非君主武将</t>
  </si>
  <si>
    <t>使一个特技为辅助的非君主武将（若该武将为鲍叔牙 则额外获得1w功绩）（特技非辅佐的武将带辅佐宝物不复合条件）和该武将结义并复制其五维中的两项和适性中的两项(若该武将为管仲 则管仲优先额外五维+3 任意适性+1)</t>
  </si>
  <si>
    <t>稷下学宫</t>
  </si>
  <si>
    <t>你用空间购买的科技点会额外多50%</t>
  </si>
  <si>
    <t>楚</t>
  </si>
  <si>
    <t>屈原投江</t>
  </si>
  <si>
    <t>拥有一个魅力大于94的武将</t>
  </si>
  <si>
    <t>使国策武将锁定为白板，并指定敌对势力任意一个武将最终结算时功绩锁定为0，且最终统帅和武力-8（指定ID）（不影响对方国策结算）</t>
  </si>
  <si>
    <t>吴起变法</t>
  </si>
  <si>
    <t>获得一个变法</t>
  </si>
  <si>
    <t>亡秦必楚</t>
  </si>
  <si>
    <t>己方武将阵亡不停赛（若拥有项籍则霸王特技额外附带怒发）</t>
  </si>
  <si>
    <t>楚辞离骚</t>
  </si>
  <si>
    <t>拥有任意一个宝物</t>
  </si>
  <si>
    <t>该宝物类型改为书，不计入名单，特技变成奏乐，附加数据改为魅力+5</t>
  </si>
  <si>
    <t>西楚霸王</t>
  </si>
  <si>
    <t>获得一个可分配的霸王特技，获得特技的武将统武+8且任意适性+1</t>
  </si>
  <si>
    <t>一鸣惊人</t>
  </si>
  <si>
    <t>君主为血色楚或西楚的武将</t>
  </si>
  <si>
    <r>
      <rPr>
        <b/>
        <sz val="11"/>
        <rFont val="等线"/>
        <charset val="134"/>
      </rPr>
      <t>君主五维中的两项提升至95，可免费改变隐藏相性，获得两个S或一个适性+1（若该武将为熊侣则特技</t>
    </r>
    <r>
      <rPr>
        <b/>
        <sz val="11"/>
        <color rgb="FFFF0000"/>
        <rFont val="等线"/>
        <charset val="134"/>
      </rPr>
      <t>可以</t>
    </r>
    <r>
      <rPr>
        <b/>
        <sz val="11"/>
        <rFont val="等线"/>
        <charset val="134"/>
      </rPr>
      <t>变成戎马）</t>
    </r>
  </si>
  <si>
    <t>燕</t>
  </si>
  <si>
    <t>励精图治</t>
  </si>
  <si>
    <t>君主魅力+5，特技变成名声</t>
  </si>
  <si>
    <t>黄金台</t>
  </si>
  <si>
    <t>使一个武将后三维中的一项变成与其五维中最高的一项相等</t>
  </si>
  <si>
    <t>萧萧易水</t>
  </si>
  <si>
    <t>拥有一个武器宝物（长柄，短兵，弓，暗器）</t>
  </si>
  <si>
    <t>该武器不计入首发，宝物特技变成任意单特技且附加数据改为武力+10</t>
  </si>
  <si>
    <t>甘棠遗爱</t>
  </si>
  <si>
    <t>本势力所有武将亲爱君主，获得四级内政，开局治安士气+50</t>
  </si>
  <si>
    <t>千金买骨</t>
  </si>
  <si>
    <t>献祭一个武将</t>
  </si>
  <si>
    <t>可以从总表召唤一个薪资低于30且与献祭武将初始五维和相近（正负3）的武将（薪资为召唤的武将），该武将可以做国策</t>
  </si>
  <si>
    <t>荆轲刺秦</t>
  </si>
  <si>
    <t>5X</t>
  </si>
  <si>
    <t>敌方势力2*X个武将开局濒危</t>
  </si>
  <si>
    <t>魏</t>
  </si>
  <si>
    <t>文侯从谏</t>
  </si>
  <si>
    <t>君主魅力大于90</t>
  </si>
  <si>
    <t>君主魅力工资免费，初始忠诚+10</t>
  </si>
  <si>
    <t>窃符救赵</t>
  </si>
  <si>
    <t>拥有一个名声特技</t>
  </si>
  <si>
    <t>使一个初始特技为名声的武将统武不足90变成90，戟适性变成神，特技变为武卒</t>
  </si>
  <si>
    <t>李悝变法</t>
  </si>
  <si>
    <t>一个武将特技变成征收</t>
  </si>
  <si>
    <t>首倡合纵</t>
  </si>
  <si>
    <t>拥有x个初始特技为清谈、论客、亲和的武将</t>
  </si>
  <si>
    <t>获得10X科技点</t>
  </si>
  <si>
    <t>魏武卒</t>
  </si>
  <si>
    <t>戟科技花费减半，获得四个武卒=不屈+扫荡+攻心（若拥有吴起则兵神特技额外附带一个扫荡）</t>
  </si>
  <si>
    <t>戟兵大阵</t>
  </si>
  <si>
    <t>八名武将戟适性+1（最高为仙）</t>
  </si>
  <si>
    <t>秦</t>
  </si>
  <si>
    <t>焚书坑儒</t>
  </si>
  <si>
    <t>使对手最终结算时所有类型为书籍的宝物变成破弃状态</t>
  </si>
  <si>
    <t>法制立国</t>
  </si>
  <si>
    <t>拥有一个政治大于等于90的武将</t>
  </si>
  <si>
    <t>攻灭巴蜀</t>
  </si>
  <si>
    <r>
      <rPr>
        <b/>
        <sz val="11"/>
        <rFont val="等线"/>
        <charset val="134"/>
      </rPr>
      <t>拥有x个属于血色秦且</t>
    </r>
    <r>
      <rPr>
        <b/>
        <sz val="11"/>
        <color rgb="FFFF0000"/>
        <rFont val="等线"/>
        <charset val="134"/>
      </rPr>
      <t>结算时</t>
    </r>
    <r>
      <rPr>
        <b/>
        <sz val="11"/>
        <rFont val="等线"/>
        <charset val="134"/>
      </rPr>
      <t>弩或工适性为S的武将，获得x（4000兵，8000粮，2个井栏-投石或冲车-木兽）</t>
    </r>
  </si>
  <si>
    <t>统一战国</t>
  </si>
  <si>
    <t>获得四个特技破国=攻城+射程+强行+遁走，获得该特技的武将兵适性+1或变成s</t>
  </si>
  <si>
    <t>锐士</t>
  </si>
  <si>
    <t>获得1-3级发明科技</t>
  </si>
  <si>
    <t>赳赳老秦</t>
  </si>
  <si>
    <t>本势力所有血色秦的武将其中一个适性+1 且统武+4（若拥有白起则白起额外加6武力）</t>
  </si>
  <si>
    <t>西汉</t>
  </si>
  <si>
    <t>文景之治</t>
  </si>
  <si>
    <t>获得一个富豪特技</t>
  </si>
  <si>
    <t>汉族之始</t>
  </si>
  <si>
    <t>获得任意四个一级科技</t>
  </si>
  <si>
    <t>汉初三杰</t>
  </si>
  <si>
    <t>本势力一个统帅大于90的武将统武+3（若该武将为韩信则额外适性+1）；一个智力大于90的武将智力+10；一个政治大于90的武将特技变成名声</t>
  </si>
  <si>
    <t>良平之谋</t>
  </si>
  <si>
    <t>拥有一个智力大于95的武将</t>
  </si>
  <si>
    <t>可指定对方两名武将的最终五维互换（指定id，如指定武将其中一人未上场或死亡则无效，若被献祭且id被召唤武将继承则影响召唤武将）（不影响对方国策）</t>
  </si>
  <si>
    <t>帝国双壁</t>
  </si>
  <si>
    <t>拥有两个统帅大于90且骑兵为S的武将</t>
  </si>
  <si>
    <t>这两个武将骑适性+1且统武+5（若该武将为卫青或霍去病则功绩额外+16000）</t>
  </si>
  <si>
    <t>人才辈出</t>
  </si>
  <si>
    <t>拥有x个拥有100+基础属性的武将</t>
  </si>
  <si>
    <t>君主工资-5x，免费改变君主隐藏</t>
  </si>
  <si>
    <t>东汉</t>
  </si>
  <si>
    <t>汉室正统</t>
  </si>
  <si>
    <t>若君主五维和大于或等于400</t>
  </si>
  <si>
    <t>君主适性费用为0，且可修改隐藏</t>
  </si>
  <si>
    <t>光武中兴</t>
  </si>
  <si>
    <t>君主初始统帅魅力均大于89</t>
  </si>
  <si>
    <t>君主获得特技光武=枪神+激励+攻心+天命，武力+5（若君主为刘秀则额外获得枪适性+1）</t>
  </si>
  <si>
    <t>投笔从戎</t>
  </si>
  <si>
    <t>拥有一个统智均大于85的武将</t>
  </si>
  <si>
    <t>该武将特技变成戎马，且五维+2</t>
  </si>
  <si>
    <t>羌族合流</t>
  </si>
  <si>
    <r>
      <rPr>
        <b/>
        <sz val="11"/>
        <rFont val="等线"/>
        <charset val="134"/>
      </rPr>
      <t>本势力特技为亲羌和和戎的武将，统武</t>
    </r>
    <r>
      <rPr>
        <b/>
        <sz val="11"/>
        <color rgb="FFFF0000"/>
        <rFont val="等线"/>
        <charset val="134"/>
      </rPr>
      <t>可以</t>
    </r>
    <r>
      <rPr>
        <b/>
        <sz val="11"/>
        <rFont val="等线"/>
        <charset val="134"/>
      </rPr>
      <t>提升至85，枪骑适性变成S，特技变成羌将=骑将+枪将+突袭</t>
    </r>
  </si>
  <si>
    <t>云台二十八将</t>
  </si>
  <si>
    <t>本势力所有血色东汉的武将其中一个适性+1 且统武+2或后三维+3</t>
  </si>
  <si>
    <t>明章之治</t>
  </si>
  <si>
    <t>获得一个征收特技</t>
  </si>
  <si>
    <t>曹魏</t>
  </si>
  <si>
    <t>群雄并起</t>
  </si>
  <si>
    <t>敌方势力所有武将最终结算时变成高野心</t>
  </si>
  <si>
    <t>建安风骨</t>
  </si>
  <si>
    <t>拥有一名特技为诗想、精妙的武将</t>
  </si>
  <si>
    <t>该武将特技变为任意单特技</t>
  </si>
  <si>
    <t>虎豹骑</t>
  </si>
  <si>
    <t>拥有四个骑适性为S且统帅大于79的武将</t>
  </si>
  <si>
    <t>这些武将特技变成虎豹=要击+疾驰+巧变，骑适性可提升至神</t>
  </si>
  <si>
    <t>魏武挥鞭</t>
  </si>
  <si>
    <t>君主初始统帅智力均大于89</t>
  </si>
  <si>
    <t>君主特技变成军神（神算+待伏+鬼谋+连击+要击+百出），智力+10</t>
  </si>
  <si>
    <t>五子良将</t>
  </si>
  <si>
    <t>拥有五名统武都大于80或血色曹魏的非君主武将</t>
  </si>
  <si>
    <t>这些武将亲爱君主且统武+3，获得1w可分配的功绩</t>
  </si>
  <si>
    <t>青州兵</t>
  </si>
  <si>
    <t>君主初始统帅为本势力最高</t>
  </si>
  <si>
    <t>获得2W兵</t>
  </si>
  <si>
    <t>司马晋</t>
  </si>
  <si>
    <t>文化蓬勃</t>
  </si>
  <si>
    <t>拥有x个特技为风水、眼力、清谈、商才的武将</t>
  </si>
  <si>
    <t>汉式衣冠</t>
  </si>
  <si>
    <t>本势力所有血色司马晋的武将其中一个适性+1 且统武+2或后三维+3</t>
  </si>
  <si>
    <t>淝水之战</t>
  </si>
  <si>
    <t>拥有一个统大于94的武将和一名武力大于89的武将</t>
  </si>
  <si>
    <t>前者统帅+6；后者武力+10（若这两个武将血色司马晋的武将则额外功绩+12000）</t>
  </si>
  <si>
    <t>北府兵</t>
  </si>
  <si>
    <t>获得四个府兵=金刚+昂扬+踏破，获得特技的武将戟适性+1</t>
  </si>
  <si>
    <t>桓温北伐</t>
  </si>
  <si>
    <t>所有结算时特技为激励或昂扬（复合特技包含也符合）的武将统武+3</t>
  </si>
  <si>
    <t>王谢世家</t>
  </si>
  <si>
    <t>获得一个名声，一个能吏</t>
  </si>
  <si>
    <t>北朝</t>
  </si>
  <si>
    <t>东西并立</t>
  </si>
  <si>
    <t>敌方对你使用负面时，视为你对其使用等量的负面（若对方的负面国策针对某些武将，则北朝玩家需要提前指定对方武将id）</t>
  </si>
  <si>
    <t>灭佛运动</t>
  </si>
  <si>
    <t>拥有一个特技为祈愿的武将</t>
  </si>
  <si>
    <t>该武将变成白板，获得2000金，一个征收特技</t>
  </si>
  <si>
    <t>六镇起义</t>
  </si>
  <si>
    <r>
      <rPr>
        <b/>
        <sz val="11"/>
        <rFont val="等线"/>
        <charset val="134"/>
      </rPr>
      <t>本势力所有初始武力大于90的武将特技</t>
    </r>
    <r>
      <rPr>
        <b/>
        <sz val="11"/>
        <color rgb="FFFF0000"/>
        <rFont val="等线"/>
        <charset val="134"/>
      </rPr>
      <t>可以</t>
    </r>
    <r>
      <rPr>
        <b/>
        <sz val="11"/>
        <rFont val="等线"/>
        <charset val="134"/>
      </rPr>
      <t>变成恫吓</t>
    </r>
    <r>
      <rPr>
        <b/>
        <sz val="11"/>
        <color rgb="FFFF0000"/>
        <rFont val="等线"/>
        <charset val="134"/>
      </rPr>
      <t>并</t>
    </r>
    <r>
      <rPr>
        <b/>
        <sz val="11"/>
        <rFont val="等线"/>
        <charset val="134"/>
      </rPr>
      <t>武力+10</t>
    </r>
  </si>
  <si>
    <t>北齐三杰</t>
  </si>
  <si>
    <t>拥有3个统武和大于170且骑适性为S的非君主武将</t>
  </si>
  <si>
    <t>国策武将统武+5（若该武将是血色北齐的武将，则额外获得适性+1）</t>
  </si>
  <si>
    <t>佛狸祠下</t>
  </si>
  <si>
    <t>获得一个太武=骑神+遁走+疾驰+昂扬+攻城+军魂，获得该特技的武将骑适性+1</t>
  </si>
  <si>
    <t>汉化与胡化</t>
  </si>
  <si>
    <t>若城市最终为大城市，一个与君主同血缘的武将特技变成变法并获得1级枪戟弩骑科技；若城市最终为马城，则获得1-3级骑科技</t>
  </si>
  <si>
    <t>南朝</t>
  </si>
  <si>
    <t>土断</t>
  </si>
  <si>
    <t>获得一个征税特技</t>
  </si>
  <si>
    <t>雄武英略</t>
  </si>
  <si>
    <t>拥有一个初始3个s适性或以上的武将</t>
  </si>
  <si>
    <t>该武将若为君主时则君主统帅花费减半，适性花费免费（若该武将为刘裕则斗神特技附带军魂）</t>
  </si>
  <si>
    <t>攻灭五国</t>
  </si>
  <si>
    <t>获得3个兵S，购买兵器花费减半</t>
  </si>
  <si>
    <t>钟离之战</t>
  </si>
  <si>
    <t>拥有一个初始水为s或以上的武将</t>
  </si>
  <si>
    <r>
      <rPr>
        <b/>
        <sz val="11"/>
        <rFont val="等线"/>
        <charset val="134"/>
      </rPr>
      <t>该武将特技变为炎神智力</t>
    </r>
    <r>
      <rPr>
        <b/>
        <sz val="11"/>
        <color theme="1"/>
        <rFont val="等线"/>
        <charset val="134"/>
      </rPr>
      <t>+15</t>
    </r>
    <r>
      <rPr>
        <b/>
        <sz val="11"/>
        <rFont val="等线"/>
        <charset val="134"/>
      </rPr>
      <t>且武力可变成统帅-5</t>
    </r>
  </si>
  <si>
    <t>岭南之势</t>
  </si>
  <si>
    <t>拥有一个特技为亲越或和戎的武将</t>
  </si>
  <si>
    <r>
      <rPr>
        <b/>
        <sz val="11"/>
        <rFont val="等线"/>
        <charset val="134"/>
      </rPr>
      <t>本势力所有</t>
    </r>
    <r>
      <rPr>
        <b/>
        <sz val="11"/>
        <color rgb="FFFF0000"/>
        <rFont val="等线"/>
        <charset val="134"/>
      </rPr>
      <t>初始</t>
    </r>
    <r>
      <rPr>
        <b/>
        <sz val="11"/>
        <rFont val="等线"/>
        <charset val="134"/>
      </rPr>
      <t>水适性为s的武将武力+5；水适性为s以上的武力+10</t>
    </r>
  </si>
  <si>
    <t>却月阵</t>
  </si>
  <si>
    <t>拥有四名统武都大于80或血色刘宋的武将</t>
  </si>
  <si>
    <t>国策武将枪戟适性可以变成S，特技可以变成却月=戟将+枪将+布阵+治军（若拥有刘裕则斗神特技额外附加天命）</t>
  </si>
  <si>
    <t>隋</t>
  </si>
  <si>
    <t>圣人可汗</t>
  </si>
  <si>
    <t>君主魅力变成政治-5，魅力花费减半</t>
  </si>
  <si>
    <t>开创科举</t>
  </si>
  <si>
    <t>拥有三个智力大于90的武将</t>
  </si>
  <si>
    <t>该国策武将后三维+5</t>
  </si>
  <si>
    <t>开皇之治</t>
  </si>
  <si>
    <t>获得一个名声特技，获得该特技的武将魅+10。若君主获得该特技，则额外获得一个征收特技</t>
  </si>
  <si>
    <t>统一天下</t>
  </si>
  <si>
    <t>拥有一个后三维大于等于240的武将</t>
  </si>
  <si>
    <t>使国策武将统变成基础政治-10（优先结算），特技变成王佐</t>
  </si>
  <si>
    <t>群雄起义</t>
  </si>
  <si>
    <r>
      <rPr>
        <b/>
        <sz val="11"/>
        <rFont val="等线"/>
        <charset val="134"/>
      </rPr>
      <t>本势力所有初始武力大于90的武将获得一个适性s或适性+1，</t>
    </r>
    <r>
      <rPr>
        <b/>
        <sz val="11"/>
        <color rgb="FFFF0000"/>
        <rFont val="等线"/>
        <charset val="134"/>
      </rPr>
      <t>可以</t>
    </r>
    <r>
      <rPr>
        <b/>
        <sz val="11"/>
        <rFont val="等线"/>
        <charset val="134"/>
      </rPr>
      <t>使其中三个武将特技改为猛将且统帅不足80的提升到80</t>
    </r>
  </si>
  <si>
    <t>三省六部</t>
  </si>
  <si>
    <t>获得1-4级内政科技，可将任意数量的武将特技改为循吏</t>
  </si>
  <si>
    <t>唐</t>
  </si>
  <si>
    <t>开创武举</t>
  </si>
  <si>
    <t>拥有三个武力大于90的武将</t>
  </si>
  <si>
    <t>该国策武将武力+8</t>
  </si>
  <si>
    <t>房谋杜断</t>
  </si>
  <si>
    <t>拥有一个百出或运筹</t>
  </si>
  <si>
    <t>威加四海</t>
  </si>
  <si>
    <t>练兵科技花费减半</t>
  </si>
  <si>
    <t>平定安史</t>
  </si>
  <si>
    <t>献祭一个容易背叛和高野心的武将</t>
  </si>
  <si>
    <t>将献祭武将初始属性/10（向下取整）附加给任意武将</t>
  </si>
  <si>
    <t>出将入相</t>
  </si>
  <si>
    <t>可使两个武将将自己的初始智力复制到统帅或武力（若该武将为李世民或李靖则额外获得一个适性+1）</t>
  </si>
  <si>
    <t>贞观之治</t>
  </si>
  <si>
    <t>君主五维和大于等于420</t>
  </si>
  <si>
    <t>君主花费减半，免费改隐藏</t>
  </si>
  <si>
    <t>吐蕃</t>
  </si>
  <si>
    <t>唐蕃和亲</t>
  </si>
  <si>
    <t>可将一名武将性别改为女，统武-30且特技变为内助，获得一个免费的结婚权</t>
  </si>
  <si>
    <t>高原天堑</t>
  </si>
  <si>
    <t>可以将敌方城市最终特产变得与己方一致</t>
  </si>
  <si>
    <t>冰原解封</t>
  </si>
  <si>
    <t>城市耐久+3000</t>
  </si>
  <si>
    <t>雪域战场</t>
  </si>
  <si>
    <t>拥有4个枪戟双S的武将（包含召唤武将）</t>
  </si>
  <si>
    <t>本势力所有结算时枪戟适性均为S或以上的武将枪戟适性+1</t>
  </si>
  <si>
    <t>三大法王</t>
  </si>
  <si>
    <t>任意三个武将特技变成机智特技且智力+5</t>
  </si>
  <si>
    <t>吐蕃之魂</t>
  </si>
  <si>
    <t>拥有2个特技为亲蛮或和戎特技的武将</t>
  </si>
  <si>
    <t>其中一个国策武将变成松赞干布且当君主时费用减半（松赞干布薪资为15），另一个国策武将变成噶尔钦陵（嘎尔钦陵薪资为25）</t>
  </si>
  <si>
    <t>五代十国</t>
  </si>
  <si>
    <t>帝国落日</t>
  </si>
  <si>
    <t>敌方初始士气-100</t>
  </si>
  <si>
    <t>百战灭梁</t>
  </si>
  <si>
    <t>君主为血色后唐的武将</t>
  </si>
  <si>
    <t>君主后三维变成95且数据花费变成0，免费改隐藏 且本势力所有血色后唐的武将统武+3</t>
  </si>
  <si>
    <t>南方十国</t>
  </si>
  <si>
    <t>拥有两个特技为亲越或和戎的武将</t>
  </si>
  <si>
    <t>这两个武将统武提升至85，戟弓适性变成S，特技变成越将=威风+陷阵+弓将+戟将</t>
  </si>
  <si>
    <t>十三太保</t>
  </si>
  <si>
    <r>
      <rPr>
        <b/>
        <sz val="11"/>
        <rFont val="等线"/>
        <charset val="134"/>
      </rPr>
      <t>本势力所有武力大于89统帅低于86的武将，武力+10并获得两个S适性，特技</t>
    </r>
    <r>
      <rPr>
        <b/>
        <sz val="11"/>
        <color rgb="FFFF0000"/>
        <rFont val="等线"/>
        <charset val="134"/>
      </rPr>
      <t>可以</t>
    </r>
    <r>
      <rPr>
        <b/>
        <sz val="11"/>
        <rFont val="等线"/>
        <charset val="134"/>
      </rPr>
      <t>变成猛者</t>
    </r>
  </si>
  <si>
    <t>黑云长剑</t>
  </si>
  <si>
    <t>枪科技花费减半</t>
  </si>
  <si>
    <t>乱世之雄</t>
  </si>
  <si>
    <t>获得20000兵力</t>
  </si>
  <si>
    <t>赵宋</t>
  </si>
  <si>
    <t>占城稻</t>
  </si>
  <si>
    <t>获得一个米道特技</t>
  </si>
  <si>
    <t>庆历新政</t>
  </si>
  <si>
    <t>君主魅力大于统帅</t>
  </si>
  <si>
    <t>君主后三维+10，魅力花费免费</t>
  </si>
  <si>
    <t>熙宁变法</t>
  </si>
  <si>
    <t>本势力一个武将特技变成变法</t>
  </si>
  <si>
    <t>四大发明</t>
  </si>
  <si>
    <t>拥有一个发明</t>
  </si>
  <si>
    <t>获得60可分配的科技点</t>
  </si>
  <si>
    <t>武穆北伐</t>
  </si>
  <si>
    <r>
      <rPr>
        <b/>
        <sz val="11"/>
        <rFont val="等线"/>
        <charset val="134"/>
      </rPr>
      <t>一个统武和大于179的武将统武+8，任意适性+1（若该武将为岳飞则武穆特技附带连击）；一个武力大于95的武将武力+10，特技</t>
    </r>
    <r>
      <rPr>
        <b/>
        <sz val="11"/>
        <color rgb="FFFF0000"/>
        <rFont val="等线"/>
        <charset val="134"/>
      </rPr>
      <t>可以</t>
    </r>
    <r>
      <rPr>
        <b/>
        <sz val="11"/>
        <rFont val="等线"/>
        <charset val="134"/>
      </rPr>
      <t>变成猛将</t>
    </r>
    <r>
      <rPr>
        <b/>
        <sz val="11"/>
        <color rgb="FFFF0000"/>
        <rFont val="等线"/>
        <charset val="134"/>
      </rPr>
      <t>并</t>
    </r>
    <r>
      <rPr>
        <b/>
        <sz val="11"/>
        <rFont val="等线"/>
        <charset val="134"/>
      </rPr>
      <t>获得两个适性S</t>
    </r>
  </si>
  <si>
    <t>澶渊之盟</t>
  </si>
  <si>
    <t>可以开局和对面停战1年</t>
  </si>
  <si>
    <t>大理</t>
  </si>
  <si>
    <t>六诏合一</t>
  </si>
  <si>
    <t>拥有一个乱战</t>
  </si>
  <si>
    <t>本势力所有特技为乱战的武将枪适性改为S</t>
  </si>
  <si>
    <t>唐诏战争</t>
  </si>
  <si>
    <t>拥有一个枪适性为神或圣的武将</t>
  </si>
  <si>
    <t>该武将枪适性+1，特技变成南诏=枪神+攻心+突袭+巧变+强行+军魂（若该武将为君主适性工资免费）</t>
  </si>
  <si>
    <t>浪人剑</t>
  </si>
  <si>
    <t>拥有一个宝物</t>
  </si>
  <si>
    <t>可使一件宝物的类型改为短兵，且所有结算时类型为短兵的宝物所附加的数据翻倍（玉玺不可做该国策）</t>
  </si>
  <si>
    <t>拥有3个特技为枪将的武将</t>
  </si>
  <si>
    <t>本势力所有特技为枪将和乱战的武将统帅和武力不足80者提升为80，特技变成神剑</t>
  </si>
  <si>
    <t>茶马互市</t>
  </si>
  <si>
    <t>获得一个米道</t>
  </si>
  <si>
    <t>大理佛教</t>
  </si>
  <si>
    <t>拥有一个祈愿</t>
  </si>
  <si>
    <t>可以将本势力所有非君主武将野心改为低，情义改为高，并获得一个仁政特技</t>
  </si>
  <si>
    <t>西夏</t>
  </si>
  <si>
    <t>元昊立国</t>
  </si>
  <si>
    <t>君主骑适性为S</t>
  </si>
  <si>
    <r>
      <rPr>
        <b/>
        <sz val="11"/>
        <color rgb="FF000000"/>
        <rFont val="等线"/>
        <charset val="134"/>
      </rPr>
      <t>君主变成李元昊，</t>
    </r>
    <r>
      <rPr>
        <b/>
        <sz val="11"/>
        <rFont val="等线"/>
        <charset val="134"/>
      </rPr>
      <t>工资免费且免费修改隐藏（武将薪资为20）</t>
    </r>
  </si>
  <si>
    <t>西夏兵制</t>
  </si>
  <si>
    <t>拥有三名统武均大于80的武将</t>
  </si>
  <si>
    <t>这些武将统武+5 获得特技铁鹞=昂扬+遁走+长驱 步跋=要击+突袭+扫荡 泼喜=飞将+狙击+恫吓 可自由分配给国策武将</t>
  </si>
  <si>
    <t>萨满</t>
  </si>
  <si>
    <t>敌对势力开局瘟疫蝗灾，预定瘟疫蝗灾</t>
  </si>
  <si>
    <t>模仿汉制</t>
  </si>
  <si>
    <t>拥有一名特技为指导的武将</t>
  </si>
  <si>
    <t>复制对手阵容中一名薪资低于30的武将的初始数据和适性给己方任意非君主武将（召唤武将不可复制，对手阵容中的武将最终未上场依然可以复制）</t>
  </si>
  <si>
    <t>青盐贸易</t>
  </si>
  <si>
    <t>宋夏榷场</t>
  </si>
  <si>
    <t>购买金收入花费减半 金收入上限变成3次</t>
  </si>
  <si>
    <t>辽</t>
  </si>
  <si>
    <t>契丹崛起</t>
  </si>
  <si>
    <t>结算时拥有X个弓骑双S或以上的武将</t>
  </si>
  <si>
    <t>获得X*（5000骑兵装 5000弓兵装）</t>
  </si>
  <si>
    <t>青牛白马</t>
  </si>
  <si>
    <t>拥有一个女武将</t>
  </si>
  <si>
    <t>获得一个免费的结婚权 结婚双方可以互相复制一项五维</t>
  </si>
  <si>
    <t>两院制</t>
  </si>
  <si>
    <t>首发阵容的薪资限制+20</t>
  </si>
  <si>
    <t>摄政太后</t>
  </si>
  <si>
    <t>君主为女将，魅力变为100，特技变成任意单特技，可修改隐藏，且君主魅力工资免费</t>
  </si>
  <si>
    <t>西辽复兴</t>
  </si>
  <si>
    <t>拥有一个神行</t>
  </si>
  <si>
    <t>该武将改名为耶律大石，特技变成复辽=强行+遁走+治军+布阵+洞察+战将+血路，获得一个任意适性神，五维+10</t>
  </si>
  <si>
    <t>一箭定上京</t>
  </si>
  <si>
    <t>八名武将弓适性+1（最高为仙）</t>
  </si>
  <si>
    <t>金</t>
  </si>
  <si>
    <t>猛安谋克</t>
  </si>
  <si>
    <t>获得熟练兵，1空间可换800功绩</t>
  </si>
  <si>
    <t>渔猎传统</t>
  </si>
  <si>
    <t>城市每拥有一个港口，获得1000粮收入；若城市不拥有港口则增加20科技点</t>
  </si>
  <si>
    <t>铁浮屠</t>
  </si>
  <si>
    <t>拥有一名特技为反甲的武将</t>
  </si>
  <si>
    <r>
      <rPr>
        <b/>
        <sz val="11"/>
        <color rgb="FF000000"/>
        <rFont val="等线"/>
        <charset val="134"/>
      </rPr>
      <t>本势力所有初始特技为反甲的武将特技可变成为浮屠=勇将+攻城+反计+洞察+料敌+陷阵，获得两个s，统帅可变为85</t>
    </r>
    <r>
      <rPr>
        <b/>
        <sz val="11"/>
        <color rgb="FFFF0000"/>
        <rFont val="等线"/>
        <charset val="134"/>
      </rPr>
      <t>且武力+5</t>
    </r>
  </si>
  <si>
    <t>熙宗改制</t>
  </si>
  <si>
    <t>15X</t>
  </si>
  <si>
    <r>
      <rPr>
        <b/>
        <sz val="11"/>
        <color indexed="8"/>
        <rFont val="等线"/>
        <charset val="134"/>
      </rPr>
      <t>拥有威压，规律，指导，反计，辅佐中的</t>
    </r>
    <r>
      <rPr>
        <b/>
        <sz val="11"/>
        <color theme="8"/>
        <rFont val="等线"/>
        <charset val="134"/>
      </rPr>
      <t>三</t>
    </r>
    <r>
      <rPr>
        <b/>
        <sz val="11"/>
        <color indexed="8"/>
        <rFont val="等线"/>
        <charset val="134"/>
      </rPr>
      <t>个特技</t>
    </r>
  </si>
  <si>
    <r>
      <rPr>
        <b/>
        <sz val="11"/>
        <color rgb="FF000000"/>
        <rFont val="等线"/>
        <charset val="134"/>
      </rPr>
      <t>每拥有一组特技（国策条件中</t>
    </r>
    <r>
      <rPr>
        <b/>
        <sz val="11"/>
        <color rgb="FFFF0000"/>
        <rFont val="等线"/>
        <charset val="134"/>
      </rPr>
      <t>三</t>
    </r>
    <r>
      <rPr>
        <b/>
        <sz val="11"/>
        <color rgb="FF000000"/>
        <rFont val="等线"/>
        <charset val="134"/>
      </rPr>
      <t>个不相同的特技），即可复制对手总阵容中任意一个初始特技（包含复合特技，包含未上场武将，不包含召唤武将特技，</t>
    </r>
    <r>
      <rPr>
        <b/>
        <sz val="11"/>
        <rFont val="等线"/>
        <charset val="134"/>
      </rPr>
      <t>可以多次复制同一个特技</t>
    </r>
    <r>
      <rPr>
        <b/>
        <sz val="11"/>
        <color rgb="FF000000"/>
        <rFont val="等线"/>
        <charset val="134"/>
      </rPr>
      <t>）</t>
    </r>
  </si>
  <si>
    <t>明昌之治</t>
  </si>
  <si>
    <t>拥有一个亲乌</t>
  </si>
  <si>
    <t>该武将可以变为米道或富豪特技</t>
  </si>
  <si>
    <t>靖康之变</t>
  </si>
  <si>
    <t>使敌方开局耐久只有上限的一半 治安-50</t>
  </si>
  <si>
    <t>元</t>
  </si>
  <si>
    <t>献祭一个工资为45或两个工资共50的武将，召唤成吉思汗。根据召唤方法，成吉思汗的薪资及所占人头数可为45-1或50-2，继承某个被献祭武将的id和隐藏</t>
  </si>
  <si>
    <t>横征暴敛</t>
  </si>
  <si>
    <t>开局治安-30 获得一个征税和征收特技</t>
  </si>
  <si>
    <t>屠城威吓</t>
  </si>
  <si>
    <t>拥有一个恫吓</t>
  </si>
  <si>
    <t>可使敌方耐久上限-1000 训练-50</t>
  </si>
  <si>
    <t>骁勇善战</t>
  </si>
  <si>
    <t>拥有两个统武和175的武将</t>
  </si>
  <si>
    <t>开启骑兵科技消耗减半</t>
  </si>
  <si>
    <t>回回炮</t>
  </si>
  <si>
    <t>八名武将工适性+1</t>
  </si>
  <si>
    <t>蒙古四獒</t>
  </si>
  <si>
    <t>拥有四名结算时骑工双s的武将</t>
  </si>
  <si>
    <r>
      <rPr>
        <b/>
        <sz val="11"/>
        <rFont val="等线"/>
        <charset val="134"/>
      </rPr>
      <t>国策武将统武不足85的提升至85，特技</t>
    </r>
    <r>
      <rPr>
        <b/>
        <sz val="11"/>
        <color rgb="FFFF0000"/>
        <rFont val="等线"/>
        <charset val="134"/>
      </rPr>
      <t>可以</t>
    </r>
    <r>
      <rPr>
        <b/>
        <sz val="11"/>
        <rFont val="等线"/>
        <charset val="134"/>
      </rPr>
      <t>变成四獒=白马+破竹+突袭+攻城+掠夺</t>
    </r>
  </si>
  <si>
    <t>明</t>
  </si>
  <si>
    <t>洪武盛世</t>
  </si>
  <si>
    <t>君主魅力变成政治-5，魅力花费减半并免费修改隐藏</t>
  </si>
  <si>
    <t>一条鞭法</t>
  </si>
  <si>
    <t>获得一个可分配的变法</t>
  </si>
  <si>
    <t>改土归流</t>
  </si>
  <si>
    <t>拥有两个特技为亲蛮的武将</t>
  </si>
  <si>
    <t>国策武将统武变成85，戟适性变成S，特技变成蛮将=藤甲+不屈+怒发</t>
  </si>
  <si>
    <t>锦衣卫</t>
  </si>
  <si>
    <t>5x</t>
  </si>
  <si>
    <t>使X个武将特技变成锦衣=捕俘+犄角+反计</t>
  </si>
  <si>
    <t>大明天下</t>
  </si>
  <si>
    <t>本势力所有血色明的武将其中一个适性+1 且统武+2或后三维+3</t>
  </si>
  <si>
    <t>永乐大典</t>
  </si>
  <si>
    <r>
      <rPr>
        <b/>
        <sz val="11"/>
        <rFont val="等线"/>
        <charset val="134"/>
      </rPr>
      <t>该宝物改成五维+8，</t>
    </r>
    <r>
      <rPr>
        <b/>
        <sz val="11"/>
        <color rgb="FFFF0000"/>
        <rFont val="等线"/>
        <charset val="134"/>
      </rPr>
      <t>可以</t>
    </r>
    <r>
      <rPr>
        <b/>
        <sz val="11"/>
        <rFont val="等线"/>
        <charset val="134"/>
      </rPr>
      <t>变成任意单特技，不占用首发阵容人数</t>
    </r>
  </si>
  <si>
    <t>朝鲜</t>
  </si>
  <si>
    <t>射术传统</t>
  </si>
  <si>
    <r>
      <rPr>
        <b/>
        <sz val="11"/>
        <rFont val="等线"/>
        <charset val="134"/>
      </rPr>
      <t>本势力所有武将特技</t>
    </r>
    <r>
      <rPr>
        <b/>
        <sz val="11"/>
        <color rgb="FFFF0000"/>
        <rFont val="等线"/>
        <charset val="134"/>
      </rPr>
      <t>可以</t>
    </r>
    <r>
      <rPr>
        <b/>
        <sz val="11"/>
        <rFont val="等线"/>
        <charset val="134"/>
      </rPr>
      <t>变成长弓=弓将+神臂+辅佐且弩适性提升为S；初始弩为S或以上的武将可使弩适性+1且武+8</t>
    </r>
  </si>
  <si>
    <t>固守安市</t>
  </si>
  <si>
    <t>本势力一个武将特技变成固守=威风+坚城+拱戍+护卫且统武+6，获得防卫科技1-3级</t>
  </si>
  <si>
    <t>汉唐儒学</t>
  </si>
  <si>
    <t>拥有指导，亲和，搬运</t>
  </si>
  <si>
    <r>
      <rPr>
        <b/>
        <sz val="11"/>
        <color rgb="FF000000"/>
        <rFont val="等线"/>
        <charset val="134"/>
      </rPr>
      <t>可以获得</t>
    </r>
    <r>
      <rPr>
        <b/>
        <sz val="11"/>
        <color rgb="FFFF0000"/>
        <rFont val="等线"/>
        <charset val="134"/>
      </rPr>
      <t>三</t>
    </r>
    <r>
      <rPr>
        <b/>
        <sz val="11"/>
        <color rgb="FF000000"/>
        <rFont val="等线"/>
        <charset val="134"/>
      </rPr>
      <t>个1级科技</t>
    </r>
  </si>
  <si>
    <t>隐士王国</t>
  </si>
  <si>
    <t>获得一个能吏 一个繁殖</t>
  </si>
  <si>
    <t>世宗大王</t>
  </si>
  <si>
    <t>君主魅力+10（君主魅力花费免费）</t>
  </si>
  <si>
    <t>壬辰倭乱</t>
  </si>
  <si>
    <t>将一个水适性为S或以上的武将变成李舜臣（李舜臣继承该武将id和隐藏，薪资与该武将一样），然后本势力所有武将的一个适性可以变得与自己的水适性一致</t>
  </si>
  <si>
    <t>起义</t>
  </si>
  <si>
    <t>鸿鹄之志</t>
  </si>
  <si>
    <t>该武将若为君主时则君主统帅花费减半，适性花费免费</t>
  </si>
  <si>
    <t>奇艺人士</t>
  </si>
  <si>
    <t>本势力所有玩家武将其中一个适性+1 且统武+2或后三维+3</t>
  </si>
  <si>
    <t>黄天当立</t>
  </si>
  <si>
    <t>本势力任意三个武将特技变成落雷特技且智力+5</t>
  </si>
  <si>
    <t>均贫富</t>
  </si>
  <si>
    <t>结算时不拥有征收，征税，米道，富豪，屯田</t>
  </si>
  <si>
    <t>敌方特技为征收，征税，米道，富豪，屯田的武将变成白板</t>
  </si>
  <si>
    <t>梁山好汉</t>
  </si>
  <si>
    <r>
      <rPr>
        <b/>
        <sz val="11"/>
        <color rgb="FF000000"/>
        <rFont val="等线"/>
        <charset val="134"/>
      </rPr>
      <t>本势力所有武将</t>
    </r>
    <r>
      <rPr>
        <b/>
        <sz val="11"/>
        <rFont val="等线"/>
        <charset val="134"/>
      </rPr>
      <t>统和武不足80的可以提升到80</t>
    </r>
    <r>
      <rPr>
        <b/>
        <sz val="11"/>
        <color rgb="FF000000"/>
        <rFont val="等线"/>
        <charset val="134"/>
      </rPr>
      <t>，获得两个A适性，特技可变为起义=昂扬+突袭+乱战+游侠</t>
    </r>
  </si>
  <si>
    <t>迎闯王</t>
  </si>
  <si>
    <t>拥有x个初始特技为白板的武将</t>
  </si>
  <si>
    <t>获得4000x兵，8000x粮</t>
  </si>
  <si>
    <t>清</t>
  </si>
  <si>
    <t>土豆盛世</t>
  </si>
  <si>
    <t>粮收入+4500</t>
  </si>
  <si>
    <t>后金国</t>
  </si>
  <si>
    <t>可使任意四名武将特技变为反甲，骑或工变为S，武力不足90的提升为90</t>
  </si>
  <si>
    <t>洋务运动</t>
  </si>
  <si>
    <t>发明科技花费减半</t>
  </si>
  <si>
    <t>平定外疆</t>
  </si>
  <si>
    <t>拥有一个统魅和170的武将</t>
  </si>
  <si>
    <r>
      <rPr>
        <b/>
        <sz val="11"/>
        <rFont val="等线"/>
        <charset val="134"/>
      </rPr>
      <t>该武将五维+5，特技</t>
    </r>
    <r>
      <rPr>
        <b/>
        <sz val="11"/>
        <color rgb="FFFF0000"/>
        <rFont val="等线"/>
        <charset val="134"/>
      </rPr>
      <t>可以</t>
    </r>
    <r>
      <rPr>
        <b/>
        <sz val="11"/>
        <rFont val="等线"/>
        <charset val="134"/>
      </rPr>
      <t>变成驱逐，任意适性+1</t>
    </r>
  </si>
  <si>
    <t>八旗子弟</t>
  </si>
  <si>
    <t>八名武将骑适性+1（最高为仙）</t>
  </si>
  <si>
    <t>文字狱</t>
  </si>
  <si>
    <t>15x</t>
  </si>
  <si>
    <t>可使己方君主厌恶对方x名武将（需指定ID，若指定武将是对手君主则指令无效，若被献祭且id被召唤武将继承则影响召唤武将，被指定武将本局无论以何种方式死亡都不会停赛）（最高为3）</t>
  </si>
  <si>
    <t>最大士兵</t>
  </si>
  <si>
    <t>金收入</t>
  </si>
  <si>
    <t>粮收入</t>
  </si>
  <si>
    <t>地块</t>
  </si>
  <si>
    <t>城市1</t>
  </si>
  <si>
    <t>城市2</t>
  </si>
  <si>
    <t>襄平</t>
  </si>
  <si>
    <t>通用战场</t>
  </si>
  <si>
    <t>许昌</t>
  </si>
  <si>
    <t>新野</t>
  </si>
  <si>
    <t>不开水军</t>
  </si>
  <si>
    <t>北平</t>
  </si>
  <si>
    <t>会稽</t>
  </si>
  <si>
    <t>吴</t>
  </si>
  <si>
    <t>蓟</t>
  </si>
  <si>
    <t>寿春</t>
  </si>
  <si>
    <t>小沛</t>
  </si>
  <si>
    <t>南皮</t>
  </si>
  <si>
    <t>彭城</t>
  </si>
  <si>
    <t>临淄</t>
  </si>
  <si>
    <t>平原</t>
  </si>
  <si>
    <t>上庸</t>
  </si>
  <si>
    <t>汉中</t>
  </si>
  <si>
    <t>晋阳</t>
  </si>
  <si>
    <t>长沙</t>
  </si>
  <si>
    <t>桂阳</t>
  </si>
  <si>
    <t>邺</t>
  </si>
  <si>
    <t>邺城</t>
  </si>
  <si>
    <t>马</t>
  </si>
  <si>
    <t>陇西</t>
  </si>
  <si>
    <t>成都</t>
  </si>
  <si>
    <t>梓潼</t>
  </si>
  <si>
    <t>关卡移走</t>
  </si>
  <si>
    <t>洛阳</t>
  </si>
  <si>
    <t>大</t>
  </si>
  <si>
    <t>长安</t>
  </si>
  <si>
    <t>陈留</t>
  </si>
  <si>
    <t>开封</t>
  </si>
  <si>
    <t>安定</t>
  </si>
  <si>
    <t>金陵</t>
  </si>
  <si>
    <t>庐江</t>
  </si>
  <si>
    <t>汝南</t>
  </si>
  <si>
    <t>襄阳</t>
  </si>
  <si>
    <t>内政用地位置会有所调整，大多会后移，尽量让双方城市暴露在前方的内政用地数量一致</t>
  </si>
  <si>
    <t>宛</t>
  </si>
  <si>
    <t>武威</t>
  </si>
  <si>
    <t>柴桑</t>
  </si>
  <si>
    <t>江夏</t>
  </si>
  <si>
    <t>江陵</t>
  </si>
  <si>
    <t>武陵</t>
  </si>
  <si>
    <t>零陵</t>
  </si>
  <si>
    <t>永安</t>
  </si>
  <si>
    <t>江州</t>
  </si>
  <si>
    <t>建寧</t>
  </si>
  <si>
    <t>雲南</t>
  </si>
  <si>
    <t>修改</t>
  </si>
  <si>
    <t>设施</t>
  </si>
  <si>
    <t>火种，火焰种，火球，火焰球</t>
  </si>
  <si>
    <r>
      <rPr>
        <sz val="10"/>
        <color rgb="FF000000"/>
        <rFont val="宋体"/>
        <charset val="134"/>
      </rPr>
      <t>花费提升为</t>
    </r>
    <r>
      <rPr>
        <sz val="10"/>
        <color rgb="FF000000"/>
        <rFont val="Helvetica Neue"/>
        <charset val="134"/>
      </rPr>
      <t>65534</t>
    </r>
  </si>
  <si>
    <t>一</t>
  </si>
  <si>
    <t>二</t>
  </si>
  <si>
    <t>三</t>
  </si>
  <si>
    <t>四</t>
  </si>
  <si>
    <t>總計</t>
  </si>
  <si>
    <t>砦</t>
  </si>
  <si>
    <r>
      <rPr>
        <sz val="10"/>
        <color rgb="FF000000"/>
        <rFont val="宋体"/>
        <charset val="134"/>
      </rPr>
      <t>费用</t>
    </r>
    <r>
      <rPr>
        <sz val="10"/>
        <color rgb="FF000000"/>
        <rFont val="Helvetica Neue"/>
        <charset val="134"/>
      </rPr>
      <t>900→700</t>
    </r>
  </si>
  <si>
    <t>城塞</t>
  </si>
  <si>
    <t>费用1200→800</t>
  </si>
  <si>
    <t>附加设施</t>
  </si>
  <si>
    <t>费用200→65534</t>
  </si>
  <si>
    <t>兵种</t>
  </si>
  <si>
    <t>攻击95→100，防御85→90，移动18→22</t>
  </si>
  <si>
    <t>攻击75→80，移动18→22</t>
  </si>
  <si>
    <t>练兵</t>
  </si>
  <si>
    <t>防御75→80，移动18→22，造价1200→1000</t>
  </si>
  <si>
    <t>移动30→28</t>
  </si>
  <si>
    <t>防卫</t>
  </si>
  <si>
    <t>冲车</t>
  </si>
  <si>
    <t>攻击70→85，防御90→85，费用2000→1000</t>
  </si>
  <si>
    <t>火</t>
  </si>
  <si>
    <t>井栏</t>
  </si>
  <si>
    <t>攻击80→90，费用2400→1000</t>
  </si>
  <si>
    <t>内政</t>
  </si>
  <si>
    <t>投石</t>
  </si>
  <si>
    <t>移动16→22，防御80→85，费用2500→1000</t>
  </si>
  <si>
    <t>木兽</t>
  </si>
  <si>
    <t>移动16→22，费用2400→1000</t>
  </si>
  <si>
    <t>走柯</t>
  </si>
  <si>
    <t>攻击70→70，防御80→80</t>
  </si>
  <si>
    <t>楼船</t>
  </si>
  <si>
    <t>攻击80→95，防御100→90，费用2000→600</t>
  </si>
  <si>
    <t>斗舰</t>
  </si>
  <si>
    <t>攻击90→105，防御120→100，费用2500→600</t>
  </si>
  <si>
    <t>箭盾概率30%→20%，大盾概率30%→25%</t>
  </si>
  <si>
    <t>防御</t>
  </si>
  <si>
    <t>所需技巧：1000/2000/3000/5000</t>
  </si>
  <si>
    <t>战法</t>
  </si>
  <si>
    <t>突刺</t>
  </si>
  <si>
    <t>攻击30→40</t>
  </si>
  <si>
    <t>螺旋突刺</t>
  </si>
  <si>
    <t>二段突刺</t>
  </si>
  <si>
    <t>攻击40→50</t>
  </si>
  <si>
    <t>熊手</t>
  </si>
  <si>
    <t>攻击35→40</t>
  </si>
  <si>
    <t>横扫</t>
  </si>
  <si>
    <t>耗气15→20</t>
  </si>
  <si>
    <t>旋风</t>
  </si>
  <si>
    <t>耗气20→25</t>
  </si>
  <si>
    <t>火矢</t>
  </si>
  <si>
    <t>耗气15→10</t>
  </si>
  <si>
    <t>贯射</t>
  </si>
  <si>
    <t>不变</t>
  </si>
  <si>
    <t>乱射</t>
  </si>
  <si>
    <t>攻击60→40</t>
  </si>
  <si>
    <t>突破</t>
  </si>
  <si>
    <t>突进</t>
  </si>
  <si>
    <t>攻击75→50</t>
  </si>
  <si>
    <t>工</t>
  </si>
  <si>
    <t>破碎</t>
  </si>
  <si>
    <t>放射</t>
  </si>
  <si>
    <t>耗气20→10</t>
  </si>
  <si>
    <t>船</t>
  </si>
  <si>
    <t>猛撞</t>
  </si>
  <si>
    <t>攻击25→50</t>
  </si>
  <si>
    <t>武将部队</t>
  </si>
  <si>
    <t>适性上限</t>
  </si>
  <si>
    <t>神→圣→仙</t>
  </si>
  <si>
    <t>能力上限</t>
  </si>
  <si>
    <t>120→150</t>
  </si>
  <si>
    <t>能力成长</t>
  </si>
  <si>
    <t>0→10</t>
  </si>
  <si>
    <t>战斗规则</t>
  </si>
  <si>
    <t>攻防规则(统定防御100%，武定攻击100%）</t>
  </si>
  <si>
    <t>马匹</t>
  </si>
  <si>
    <t>不消耗粮草</t>
  </si>
  <si>
    <t>运输队</t>
  </si>
  <si>
    <t>不额外耗粮</t>
  </si>
  <si>
    <t>兵种与战法</t>
  </si>
  <si>
    <t>战法成功率</t>
  </si>
  <si>
    <t>工、船100%，其他70%</t>
  </si>
  <si>
    <t>成功率上限</t>
  </si>
  <si>
    <t>齐攻伤害</t>
  </si>
  <si>
    <t>120%→140%</t>
  </si>
  <si>
    <t>克制参数</t>
  </si>
  <si>
    <t>骑攻击据点</t>
  </si>
  <si>
    <t>兵力80%，耐久80%</t>
  </si>
  <si>
    <t>井栏攻击据点</t>
  </si>
  <si>
    <t>80%→100%</t>
  </si>
  <si>
    <t>投石攻击据点</t>
  </si>
  <si>
    <t>木牛流马</t>
  </si>
  <si>
    <t>增加移动3→6</t>
  </si>
  <si>
    <t>戟兵大盾</t>
  </si>
  <si>
    <t>50%→30%</t>
  </si>
  <si>
    <t>骑兵冲锋</t>
  </si>
  <si>
    <r>
      <rPr>
        <sz val="10"/>
        <color indexed="8"/>
        <rFont val="Helvetica Neue"/>
        <charset val="134"/>
      </rPr>
      <t>8%→</t>
    </r>
    <r>
      <rPr>
        <sz val="10"/>
        <color rgb="FFFF0000"/>
        <rFont val="Helvetica Neue"/>
        <charset val="134"/>
      </rPr>
      <t>4%</t>
    </r>
  </si>
  <si>
    <t>计略与陷阱</t>
  </si>
  <si>
    <t>计略</t>
  </si>
  <si>
    <t>暴击下限20%</t>
  </si>
  <si>
    <t>伏兵</t>
  </si>
  <si>
    <t>全地形有效，伤害倍率200%</t>
  </si>
  <si>
    <t>火计</t>
  </si>
  <si>
    <t>对火陷阱必定成功</t>
  </si>
  <si>
    <t>内讧</t>
  </si>
  <si>
    <t>妖术</t>
  </si>
  <si>
    <t>耗气5→15</t>
  </si>
  <si>
    <t>3格耗气30</t>
  </si>
  <si>
    <t>落雷伤害</t>
  </si>
  <si>
    <t>部队1000，建筑400</t>
  </si>
  <si>
    <t>镇静，灭火</t>
  </si>
  <si>
    <t>耗气下降为0</t>
  </si>
  <si>
    <t>统率对所受火伤害衰减比例50%→30%</t>
  </si>
  <si>
    <t>炸伤概率</t>
  </si>
  <si>
    <t>2%→10%</t>
  </si>
  <si>
    <t>工事与光环</t>
  </si>
  <si>
    <t>兵力上限</t>
  </si>
  <si>
    <t>普通20W,大都市30W</t>
  </si>
  <si>
    <t>攻具舰船</t>
  </si>
  <si>
    <t>上限100→15</t>
  </si>
  <si>
    <t>港关兵力兵装</t>
  </si>
  <si>
    <t>基础5W→3W,扩展5W→6W</t>
  </si>
  <si>
    <t>据点耐久防御倍率</t>
  </si>
  <si>
    <t>城市60%→50%</t>
  </si>
  <si>
    <t>据点攻击伤害倍率</t>
  </si>
  <si>
    <t>100%→80%</t>
  </si>
  <si>
    <t>对攻具的伤害衰减</t>
  </si>
  <si>
    <t>40%→20%</t>
  </si>
  <si>
    <t>兵临城下回复耐久</t>
  </si>
  <si>
    <t>关闭</t>
  </si>
  <si>
    <t>兵临城下征兵正常</t>
  </si>
  <si>
    <t>兵临城下守兵不溃逃</t>
  </si>
  <si>
    <t>据点自动攻击</t>
  </si>
  <si>
    <t>强化防卫</t>
  </si>
  <si>
    <t>伤害倍率150%→170%</t>
  </si>
  <si>
    <t>据点耐久恢复参数</t>
  </si>
  <si>
    <t>8→10</t>
  </si>
  <si>
    <t>据点耐久恢复上限</t>
  </si>
  <si>
    <t>400→600</t>
  </si>
  <si>
    <t>军乐团</t>
  </si>
  <si>
    <t>增加气力10→15</t>
  </si>
  <si>
    <t>石兵八阵</t>
  </si>
  <si>
    <t>范围1→2</t>
  </si>
  <si>
    <t>内政设施</t>
  </si>
  <si>
    <t>征兵倍率</t>
  </si>
  <si>
    <t>大都市120%→140%，普通城市80%→100%</t>
  </si>
  <si>
    <t>特产100%→150%，非特产100%→100%</t>
  </si>
  <si>
    <t>特产80%→150%，非特产20%→100%</t>
  </si>
  <si>
    <t>生产耗时</t>
  </si>
  <si>
    <t>工房、船厂最大耗时为2</t>
  </si>
  <si>
    <t>整备政令</t>
  </si>
  <si>
    <t>治安下降概率40%</t>
  </si>
  <si>
    <t>掌握人心</t>
  </si>
  <si>
    <t>忠诚下降概率40%</t>
  </si>
  <si>
    <t>减气20→30</t>
  </si>
  <si>
    <t>加气10→15</t>
  </si>
  <si>
    <t>50%→100%</t>
  </si>
  <si>
    <t>妖术1→5，鬼门1→15</t>
  </si>
  <si>
    <t>适应兵种改为全兵种</t>
  </si>
  <si>
    <t>掠夺概率50%，掠夺击破获得所有钱粮</t>
  </si>
  <si>
    <t>减少战法成功率100%</t>
  </si>
  <si>
    <t>暴击伤害加成50%，特技契合枪、兵器</t>
  </si>
  <si>
    <t>武力判定，1格范围</t>
  </si>
  <si>
    <t>3格30气力</t>
  </si>
  <si>
    <t>激励运筹</t>
  </si>
  <si>
    <t>激励运筹100%</t>
  </si>
  <si>
    <t>增加100%捕缚概率</t>
  </si>
  <si>
    <t>内助</t>
  </si>
  <si>
    <t>1→3</t>
  </si>
  <si>
    <t>增加强挑率5%</t>
  </si>
  <si>
    <t>其他</t>
  </si>
  <si>
    <t>事件武将</t>
  </si>
  <si>
    <t>701-767→714-767</t>
  </si>
  <si>
    <t>暴动兵力</t>
  </si>
  <si>
    <t>1w8</t>
  </si>
  <si>
    <t>出阵部队</t>
  </si>
  <si>
    <t>不勾选</t>
  </si>
  <si>
    <t>出兵方式</t>
  </si>
  <si>
    <t>兵种与特技契合，主将自适应攻防</t>
  </si>
  <si>
    <t>带粮数</t>
  </si>
  <si>
    <t>240天</t>
  </si>
  <si>
    <t>部队出击</t>
  </si>
  <si>
    <t>不需达到内政最小值，不再勾选</t>
  </si>
  <si>
    <t>君主ID强度</t>
  </si>
  <si>
    <t>全部为7，中华统一</t>
  </si>
  <si>
    <t>资源增加</t>
  </si>
  <si>
    <t>钱100，粮1000</t>
  </si>
  <si>
    <t>封官规则</t>
  </si>
  <si>
    <t>统帅</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</si>
</sst>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80">
    <font>
      <sz val="10"/>
      <color indexed="8"/>
      <name val="Helvetica Neue"/>
      <charset val="134"/>
    </font>
    <font>
      <sz val="10"/>
      <color rgb="FF000000"/>
      <name val="宋体"/>
      <charset val="134"/>
    </font>
    <font>
      <sz val="10"/>
      <color rgb="FFFF0000"/>
      <name val="Helvetica Neue"/>
      <charset val="134"/>
    </font>
    <font>
      <sz val="11"/>
      <color indexed="8"/>
      <name val="黑体"/>
      <charset val="134"/>
    </font>
    <font>
      <sz val="10"/>
      <color theme="1"/>
      <name val="Helvetica Neue"/>
      <charset val="134"/>
    </font>
    <font>
      <b/>
      <sz val="12"/>
      <color indexed="8"/>
      <name val="仿宋"/>
      <charset val="134"/>
    </font>
    <font>
      <sz val="11"/>
      <color indexed="8"/>
      <name val="等线"/>
      <charset val="134"/>
    </font>
    <font>
      <sz val="12"/>
      <color indexed="8"/>
      <name val="SimSun"/>
      <charset val="134"/>
    </font>
    <font>
      <sz val="12"/>
      <name val="SimSun"/>
      <charset val="134"/>
    </font>
    <font>
      <b/>
      <sz val="11"/>
      <name val="等线"/>
      <charset val="134"/>
    </font>
    <font>
      <b/>
      <sz val="11"/>
      <color indexed="8"/>
      <name val="等线"/>
      <charset val="134"/>
    </font>
    <font>
      <b/>
      <sz val="11"/>
      <color rgb="FF000000"/>
      <name val="等线"/>
      <charset val="134"/>
    </font>
    <font>
      <b/>
      <sz val="11"/>
      <color indexed="13"/>
      <name val="等线"/>
      <charset val="134"/>
    </font>
    <font>
      <b/>
      <sz val="11"/>
      <color theme="1"/>
      <name val="等线"/>
      <charset val="134"/>
    </font>
    <font>
      <b/>
      <sz val="11"/>
      <name val="Helvetica Neue"/>
      <charset val="134"/>
    </font>
    <font>
      <b/>
      <sz val="11"/>
      <color rgb="FFFF0000"/>
      <name val="等线"/>
      <charset val="134"/>
    </font>
    <font>
      <b/>
      <sz val="14"/>
      <color indexed="9"/>
      <name val="华文新魏"/>
      <charset val="134"/>
    </font>
    <font>
      <sz val="12"/>
      <color indexed="8"/>
      <name val="华文楷体"/>
      <charset val="134"/>
    </font>
    <font>
      <sz val="11"/>
      <color indexed="8"/>
      <name val="华文楷体"/>
      <charset val="134"/>
    </font>
    <font>
      <sz val="10"/>
      <color indexed="8"/>
      <name val="STZhongsong"/>
      <charset val="134"/>
    </font>
    <font>
      <sz val="10"/>
      <color indexed="8"/>
      <name val="Microsoft Sans Serif"/>
      <charset val="134"/>
    </font>
    <font>
      <sz val="9"/>
      <color indexed="8"/>
      <name val="Microsoft Sans Serif"/>
      <charset val="134"/>
    </font>
    <font>
      <sz val="9"/>
      <color indexed="8"/>
      <name val="微软雅黑"/>
      <charset val="134"/>
    </font>
    <font>
      <sz val="9"/>
      <color indexed="8"/>
      <name val="STZhongsong"/>
      <charset val="134"/>
    </font>
    <font>
      <sz val="12"/>
      <color indexed="8"/>
      <name val="华文新魏"/>
      <charset val="134"/>
    </font>
    <font>
      <sz val="10"/>
      <color indexed="8"/>
      <name val="楷体"/>
      <charset val="134"/>
    </font>
    <font>
      <sz val="10"/>
      <color theme="8"/>
      <name val="Microsoft Sans Serif"/>
      <charset val="134"/>
    </font>
    <font>
      <b/>
      <sz val="9"/>
      <color indexed="8"/>
      <name val="微软雅黑"/>
      <charset val="134"/>
    </font>
    <font>
      <sz val="9"/>
      <color indexed="18"/>
      <name val="Microsoft Sans Serif"/>
      <charset val="134"/>
    </font>
    <font>
      <sz val="9"/>
      <color rgb="FFFF0000"/>
      <name val="Microsoft Sans Serif"/>
      <charset val="134"/>
    </font>
    <font>
      <sz val="9"/>
      <color rgb="FFFF0000"/>
      <name val="宋体"/>
      <charset val="134"/>
    </font>
    <font>
      <sz val="9"/>
      <color rgb="FF000000"/>
      <name val="宋体"/>
      <charset val="134"/>
    </font>
    <font>
      <sz val="9"/>
      <name val="Microsoft Sans Serif"/>
      <charset val="134"/>
    </font>
    <font>
      <sz val="9"/>
      <color rgb="FF002060"/>
      <name val="Microsoft Sans Serif"/>
      <charset val="134"/>
    </font>
    <font>
      <sz val="9"/>
      <color rgb="FFFF0000"/>
      <name val="STZhongsong"/>
      <charset val="134"/>
    </font>
    <font>
      <sz val="9"/>
      <color rgb="FF000000"/>
      <name val="STZhongsong"/>
      <charset val="134"/>
    </font>
    <font>
      <sz val="11"/>
      <color theme="1"/>
      <name val="宋体"/>
      <charset val="134"/>
    </font>
    <font>
      <sz val="10"/>
      <color indexed="8"/>
      <name val="等线 Bold"/>
      <charset val="134"/>
    </font>
    <font>
      <sz val="11"/>
      <color theme="1"/>
      <name val="等线 Bold"/>
      <charset val="134"/>
    </font>
    <font>
      <sz val="11"/>
      <color indexed="8"/>
      <name val="等线 Bold"/>
      <charset val="134"/>
    </font>
    <font>
      <sz val="11"/>
      <color rgb="FFFF0000"/>
      <name val="等线 Bold"/>
      <charset val="134"/>
    </font>
    <font>
      <sz val="12"/>
      <color indexed="8"/>
      <name val="等线 Bold"/>
      <charset val="134"/>
    </font>
    <font>
      <sz val="12"/>
      <color theme="1"/>
      <name val="等线 Bold"/>
      <charset val="134"/>
    </font>
    <font>
      <sz val="12"/>
      <color rgb="FF000000"/>
      <name val="等线 Bold"/>
      <charset val="134"/>
    </font>
    <font>
      <b/>
      <sz val="12"/>
      <color indexed="9"/>
      <name val="华文新魏"/>
      <charset val="134"/>
    </font>
    <font>
      <b/>
      <sz val="10"/>
      <color rgb="FFFF0000"/>
      <name val="Helvetica Neue"/>
      <charset val="134"/>
    </font>
    <font>
      <b/>
      <sz val="12"/>
      <color indexed="8"/>
      <name val="等线"/>
      <charset val="134"/>
    </font>
    <font>
      <sz val="11"/>
      <color theme="1"/>
      <name val="Helvetica Neue"/>
      <charset val="134"/>
      <scheme val="minor"/>
    </font>
    <font>
      <u/>
      <sz val="11"/>
      <color rgb="FF0000FF"/>
      <name val="Helvetica Neue"/>
      <charset val="0"/>
      <scheme val="minor"/>
    </font>
    <font>
      <u/>
      <sz val="11"/>
      <color rgb="FF800080"/>
      <name val="Helvetica Neue"/>
      <charset val="0"/>
      <scheme val="minor"/>
    </font>
    <font>
      <sz val="11"/>
      <color rgb="FFFF0000"/>
      <name val="Helvetica Neue"/>
      <charset val="0"/>
      <scheme val="minor"/>
    </font>
    <font>
      <b/>
      <sz val="18"/>
      <color theme="3"/>
      <name val="Helvetica Neue"/>
      <charset val="134"/>
      <scheme val="minor"/>
    </font>
    <font>
      <i/>
      <sz val="11"/>
      <color rgb="FF7F7F7F"/>
      <name val="Helvetica Neue"/>
      <charset val="0"/>
      <scheme val="minor"/>
    </font>
    <font>
      <b/>
      <sz val="15"/>
      <color theme="3"/>
      <name val="Helvetica Neue"/>
      <charset val="134"/>
      <scheme val="minor"/>
    </font>
    <font>
      <b/>
      <sz val="13"/>
      <color theme="3"/>
      <name val="Helvetica Neue"/>
      <charset val="134"/>
      <scheme val="minor"/>
    </font>
    <font>
      <b/>
      <sz val="11"/>
      <color theme="3"/>
      <name val="Helvetica Neue"/>
      <charset val="134"/>
      <scheme val="minor"/>
    </font>
    <font>
      <sz val="11"/>
      <color rgb="FF3F3F76"/>
      <name val="Helvetica Neue"/>
      <charset val="0"/>
      <scheme val="minor"/>
    </font>
    <font>
      <b/>
      <sz val="11"/>
      <color rgb="FF3F3F3F"/>
      <name val="Helvetica Neue"/>
      <charset val="0"/>
      <scheme val="minor"/>
    </font>
    <font>
      <b/>
      <sz val="11"/>
      <color rgb="FFFA7D00"/>
      <name val="Helvetica Neue"/>
      <charset val="0"/>
      <scheme val="minor"/>
    </font>
    <font>
      <b/>
      <sz val="11"/>
      <color rgb="FFFFFFFF"/>
      <name val="Helvetica Neue"/>
      <charset val="0"/>
      <scheme val="minor"/>
    </font>
    <font>
      <sz val="11"/>
      <color rgb="FFFA7D00"/>
      <name val="Helvetica Neue"/>
      <charset val="0"/>
      <scheme val="minor"/>
    </font>
    <font>
      <b/>
      <sz val="11"/>
      <color theme="1"/>
      <name val="Helvetica Neue"/>
      <charset val="0"/>
      <scheme val="minor"/>
    </font>
    <font>
      <sz val="11"/>
      <color rgb="FF006100"/>
      <name val="Helvetica Neue"/>
      <charset val="0"/>
      <scheme val="minor"/>
    </font>
    <font>
      <sz val="11"/>
      <color rgb="FF9C0006"/>
      <name val="Helvetica Neue"/>
      <charset val="0"/>
      <scheme val="minor"/>
    </font>
    <font>
      <sz val="11"/>
      <color rgb="FF9C6500"/>
      <name val="Helvetica Neue"/>
      <charset val="0"/>
      <scheme val="minor"/>
    </font>
    <font>
      <sz val="11"/>
      <color theme="0"/>
      <name val="Helvetica Neue"/>
      <charset val="0"/>
      <scheme val="minor"/>
    </font>
    <font>
      <sz val="11"/>
      <color theme="1"/>
      <name val="Helvetica Neue"/>
      <charset val="0"/>
      <scheme val="minor"/>
    </font>
    <font>
      <sz val="10"/>
      <color rgb="FF000000"/>
      <name val="Helvetica Neue"/>
      <charset val="134"/>
    </font>
    <font>
      <sz val="9"/>
      <color theme="8"/>
      <name val="宋体"/>
      <charset val="134"/>
    </font>
    <font>
      <sz val="9"/>
      <color theme="8"/>
      <name val="STZhongsong"/>
      <charset val="134"/>
    </font>
    <font>
      <b/>
      <sz val="12"/>
      <color indexed="8"/>
      <name val="Helvetica"/>
      <charset val="134"/>
    </font>
    <font>
      <sz val="12"/>
      <color indexed="8"/>
      <name val="Times New Roman"/>
      <charset val="134"/>
    </font>
    <font>
      <sz val="11"/>
      <color rgb="FFFF0000"/>
      <name val="宋体"/>
      <charset val="134"/>
    </font>
    <font>
      <sz val="12"/>
      <color indexed="9"/>
      <name val="华文新魏"/>
      <charset val="134"/>
    </font>
    <font>
      <sz val="9"/>
      <color theme="1"/>
      <name val="STZhongsong"/>
      <charset val="134"/>
    </font>
    <font>
      <sz val="9"/>
      <color theme="1"/>
      <name val="宋体"/>
      <charset val="134"/>
    </font>
    <font>
      <b/>
      <sz val="11"/>
      <color theme="8"/>
      <name val="等线"/>
      <charset val="134"/>
    </font>
    <font>
      <sz val="9"/>
      <color rgb="FFFF644E"/>
      <name val="STZhongsong"/>
      <charset val="134"/>
    </font>
    <font>
      <sz val="9"/>
      <color rgb="FFFF644E"/>
      <name val="宋体"/>
      <charset val="134"/>
    </font>
    <font>
      <b/>
      <sz val="11"/>
      <color rgb="FFFF4015"/>
      <name val="等线"/>
      <charset val="134"/>
    </font>
  </fonts>
  <fills count="42">
    <fill>
      <patternFill patternType="none"/>
    </fill>
    <fill>
      <patternFill patternType="gray125"/>
    </fill>
    <fill>
      <patternFill patternType="solid">
        <fgColor indexed="9"/>
        <bgColor indexed="64"/>
      </patternFill>
    </fill>
    <fill>
      <patternFill patternType="solid">
        <fgColor rgb="FFFFFF00"/>
        <bgColor indexed="64"/>
      </patternFill>
    </fill>
    <fill>
      <patternFill patternType="solid">
        <fgColor indexed="15"/>
        <bgColor indexed="64"/>
      </patternFill>
    </fill>
    <fill>
      <patternFill patternType="solid">
        <fgColor indexed="11"/>
        <bgColor indexed="64"/>
      </patternFill>
    </fill>
    <fill>
      <patternFill patternType="solid">
        <fgColor indexed="17"/>
        <bgColor indexed="64"/>
      </patternFill>
    </fill>
    <fill>
      <patternFill patternType="solid">
        <fgColor indexed="12"/>
        <bgColor indexed="64"/>
      </patternFill>
    </fill>
    <fill>
      <patternFill patternType="solid">
        <fgColor theme="0"/>
        <bgColor indexed="64"/>
      </patternFill>
    </fill>
    <fill>
      <patternFill patternType="solid">
        <fgColor indexed="19"/>
        <bgColor indexed="64"/>
      </patternFill>
    </fill>
    <fill>
      <patternFill patternType="solid">
        <fgColor rgb="FFFFFFFF"/>
        <bgColor rgb="FF0000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67">
    <border>
      <left/>
      <right/>
      <top/>
      <bottom/>
      <diagonal/>
    </border>
    <border>
      <left style="thin">
        <color indexed="10"/>
      </left>
      <right style="thin">
        <color indexed="10"/>
      </right>
      <top style="thin">
        <color indexed="10"/>
      </top>
      <bottom style="thin">
        <color indexed="10"/>
      </bottom>
      <diagonal/>
    </border>
    <border>
      <left style="thin">
        <color indexed="10"/>
      </left>
      <right style="thin">
        <color indexed="10"/>
      </right>
      <top style="thin">
        <color indexed="10"/>
      </top>
      <bottom/>
      <diagonal/>
    </border>
    <border>
      <left style="thin">
        <color indexed="10"/>
      </left>
      <right/>
      <top style="thin">
        <color indexed="10"/>
      </top>
      <bottom style="thin">
        <color indexed="10"/>
      </bottom>
      <diagonal/>
    </border>
    <border>
      <left style="thin">
        <color indexed="10"/>
      </left>
      <right style="thin">
        <color indexed="10"/>
      </right>
      <top/>
      <bottom style="thin">
        <color indexed="10"/>
      </bottom>
      <diagonal/>
    </border>
    <border>
      <left/>
      <right/>
      <top style="thin">
        <color indexed="10"/>
      </top>
      <bottom/>
      <diagonal/>
    </border>
    <border>
      <left/>
      <right style="thin">
        <color indexed="10"/>
      </right>
      <top style="thin">
        <color indexed="10"/>
      </top>
      <bottom/>
      <diagonal/>
    </border>
    <border>
      <left/>
      <right style="thin">
        <color indexed="10"/>
      </right>
      <top/>
      <bottom/>
      <diagonal/>
    </border>
    <border>
      <left/>
      <right/>
      <top/>
      <bottom style="thin">
        <color indexed="10"/>
      </bottom>
      <diagonal/>
    </border>
    <border>
      <left/>
      <right style="thin">
        <color indexed="10"/>
      </right>
      <top/>
      <bottom style="thin">
        <color indexed="10"/>
      </bottom>
      <diagonal/>
    </border>
    <border>
      <left style="thin">
        <color indexed="10"/>
      </left>
      <right/>
      <top style="thin">
        <color indexed="10"/>
      </top>
      <bottom/>
      <diagonal/>
    </border>
    <border>
      <left style="thin">
        <color indexed="10"/>
      </left>
      <right/>
      <top/>
      <bottom/>
      <diagonal/>
    </border>
    <border>
      <left style="thin">
        <color indexed="10"/>
      </left>
      <right/>
      <top/>
      <bottom style="thin">
        <color indexed="10"/>
      </bottom>
      <diagonal/>
    </border>
    <border>
      <left style="thin">
        <color indexed="10"/>
      </left>
      <right style="thin">
        <color indexed="10"/>
      </right>
      <top/>
      <bottom/>
      <diagonal/>
    </border>
    <border>
      <left/>
      <right/>
      <top style="thin">
        <color indexed="10"/>
      </top>
      <bottom style="thin">
        <color indexed="10"/>
      </bottom>
      <diagonal/>
    </border>
    <border>
      <left style="thin">
        <color indexed="10"/>
      </left>
      <right style="thin">
        <color indexed="10"/>
      </right>
      <top style="thin">
        <color indexed="10"/>
      </top>
      <bottom style="thin">
        <color indexed="8"/>
      </bottom>
      <diagonal/>
    </border>
    <border>
      <left style="thin">
        <color indexed="10"/>
      </left>
      <right style="thin">
        <color indexed="8"/>
      </right>
      <top style="thin">
        <color indexed="10"/>
      </top>
      <bottom style="thin">
        <color indexed="10"/>
      </bottom>
      <diagonal/>
    </border>
    <border>
      <left style="thin">
        <color indexed="8"/>
      </left>
      <right style="thin">
        <color indexed="8"/>
      </right>
      <top style="thin">
        <color indexed="8"/>
      </top>
      <bottom style="thin">
        <color indexed="8"/>
      </bottom>
      <diagonal/>
    </border>
    <border>
      <left/>
      <right style="thin">
        <color indexed="8"/>
      </right>
      <top style="thin">
        <color indexed="10"/>
      </top>
      <bottom style="thin">
        <color indexed="10"/>
      </bottom>
      <diagonal/>
    </border>
    <border>
      <left/>
      <right style="thin">
        <color indexed="10"/>
      </right>
      <top style="thin">
        <color indexed="10"/>
      </top>
      <bottom style="thin">
        <color indexed="10"/>
      </bottom>
      <diagonal/>
    </border>
    <border>
      <left style="thin">
        <color indexed="10"/>
      </left>
      <right style="thin">
        <color indexed="10"/>
      </right>
      <top style="thin">
        <color indexed="8"/>
      </top>
      <bottom style="thin">
        <color indexed="10"/>
      </bottom>
      <diagonal/>
    </border>
    <border>
      <left style="thin">
        <color indexed="8"/>
      </left>
      <right style="thin">
        <color indexed="8"/>
      </right>
      <top style="thin">
        <color indexed="8"/>
      </top>
      <bottom style="thin">
        <color auto="1"/>
      </bottom>
      <diagonal/>
    </border>
    <border>
      <left style="thin">
        <color indexed="8"/>
      </left>
      <right style="thin">
        <color indexed="8"/>
      </right>
      <top style="thin">
        <color auto="1"/>
      </top>
      <bottom style="thin">
        <color auto="1"/>
      </bottom>
      <diagonal/>
    </border>
    <border>
      <left style="thin">
        <color indexed="8"/>
      </left>
      <right style="thin">
        <color indexed="8"/>
      </right>
      <top style="thin">
        <color auto="1"/>
      </top>
      <bottom/>
      <diagonal/>
    </border>
    <border>
      <left style="thin">
        <color indexed="8"/>
      </left>
      <right style="thin">
        <color indexed="8"/>
      </right>
      <top style="thin">
        <color indexed="8"/>
      </top>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auto="1"/>
      </top>
      <bottom style="thin">
        <color indexed="8"/>
      </bottom>
      <diagonal/>
    </border>
    <border>
      <left style="thin">
        <color indexed="8"/>
      </left>
      <right/>
      <top style="thin">
        <color indexed="8"/>
      </top>
      <bottom/>
      <diagonal/>
    </border>
    <border>
      <left/>
      <right style="thin">
        <color indexed="8"/>
      </right>
      <top style="thin">
        <color indexed="8"/>
      </top>
      <bottom/>
      <diagonal/>
    </border>
    <border>
      <left style="thin">
        <color indexed="8"/>
      </left>
      <right/>
      <top/>
      <bottom style="thin">
        <color indexed="8"/>
      </bottom>
      <diagonal/>
    </border>
    <border>
      <left/>
      <right style="thin">
        <color indexed="8"/>
      </right>
      <top/>
      <bottom style="thin">
        <color indexed="8"/>
      </bottom>
      <diagonal/>
    </border>
    <border>
      <left/>
      <right/>
      <top style="thin">
        <color auto="1"/>
      </top>
      <bottom/>
      <diagonal/>
    </border>
    <border>
      <left style="thin">
        <color auto="1"/>
      </left>
      <right style="thin">
        <color auto="1"/>
      </right>
      <top style="thin">
        <color auto="1"/>
      </top>
      <bottom style="thin">
        <color auto="1"/>
      </bottom>
      <diagonal/>
    </border>
    <border>
      <left style="thin">
        <color indexed="10"/>
      </left>
      <right style="thin">
        <color indexed="23"/>
      </right>
      <top/>
      <bottom/>
      <diagonal/>
    </border>
    <border>
      <left style="thin">
        <color indexed="23"/>
      </left>
      <right style="thin">
        <color indexed="23"/>
      </right>
      <top/>
      <bottom/>
      <diagonal/>
    </border>
    <border>
      <left style="thin">
        <color indexed="23"/>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thin">
        <color indexed="8"/>
      </left>
      <right style="thin">
        <color indexed="8"/>
      </right>
      <top style="thin">
        <color indexed="10"/>
      </top>
      <bottom style="thin">
        <color indexed="10"/>
      </bottom>
      <diagonal/>
    </border>
    <border>
      <left style="thin">
        <color indexed="8"/>
      </left>
      <right style="thin">
        <color indexed="8"/>
      </right>
      <top/>
      <bottom/>
      <diagonal/>
    </border>
    <border>
      <left style="thin">
        <color indexed="8"/>
      </left>
      <right style="thin">
        <color indexed="8"/>
      </right>
      <top/>
      <bottom style="thin">
        <color indexed="8"/>
      </bottom>
      <diagonal/>
    </border>
    <border>
      <left style="thin">
        <color indexed="8"/>
      </left>
      <right style="thin">
        <color indexed="10"/>
      </right>
      <top style="thin">
        <color indexed="10"/>
      </top>
      <bottom style="thin">
        <color indexed="10"/>
      </bottom>
      <diagonal/>
    </border>
    <border>
      <left style="thin">
        <color auto="1"/>
      </left>
      <right style="thin">
        <color auto="1"/>
      </right>
      <top style="thin">
        <color indexed="8"/>
      </top>
      <bottom style="thin">
        <color indexed="8"/>
      </bottom>
      <diagonal/>
    </border>
    <border>
      <left style="thin">
        <color indexed="10"/>
      </left>
      <right style="thin">
        <color indexed="10"/>
      </right>
      <top style="thin">
        <color indexed="8"/>
      </top>
      <bottom style="thin">
        <color indexed="8"/>
      </bottom>
      <diagonal/>
    </border>
    <border>
      <left style="thin">
        <color indexed="8"/>
      </left>
      <right style="thin">
        <color indexed="10"/>
      </right>
      <top style="thin">
        <color indexed="8"/>
      </top>
      <bottom style="thin">
        <color indexed="10"/>
      </bottom>
      <diagonal/>
    </border>
    <border>
      <left style="thin">
        <color indexed="10"/>
      </left>
      <right style="thin">
        <color indexed="8"/>
      </right>
      <top style="thin">
        <color indexed="8"/>
      </top>
      <bottom style="thin">
        <color indexed="10"/>
      </bottom>
      <diagonal/>
    </border>
    <border>
      <left style="thin">
        <color indexed="8"/>
      </left>
      <right style="thin">
        <color indexed="10"/>
      </right>
      <top style="thin">
        <color indexed="10"/>
      </top>
      <bottom style="thin">
        <color indexed="8"/>
      </bottom>
      <diagonal/>
    </border>
    <border>
      <left style="thin">
        <color indexed="10"/>
      </left>
      <right style="thin">
        <color indexed="8"/>
      </right>
      <top style="thin">
        <color indexed="10"/>
      </top>
      <bottom style="thin">
        <color indexed="8"/>
      </bottom>
      <diagonal/>
    </border>
    <border>
      <left style="thin">
        <color auto="1"/>
      </left>
      <right style="thin">
        <color indexed="10"/>
      </right>
      <top style="thin">
        <color auto="1"/>
      </top>
      <bottom style="thin">
        <color indexed="8"/>
      </bottom>
      <diagonal/>
    </border>
    <border>
      <left style="thin">
        <color indexed="10"/>
      </left>
      <right style="thin">
        <color auto="1"/>
      </right>
      <top style="thin">
        <color auto="1"/>
      </top>
      <bottom style="thin">
        <color indexed="8"/>
      </bottom>
      <diagonal/>
    </border>
    <border>
      <left style="thin">
        <color auto="1"/>
      </left>
      <right style="thin">
        <color indexed="10"/>
      </right>
      <top style="thin">
        <color indexed="10"/>
      </top>
      <bottom style="thin">
        <color auto="1"/>
      </bottom>
      <diagonal/>
    </border>
    <border>
      <left style="thin">
        <color indexed="10"/>
      </left>
      <right style="thin">
        <color indexed="10"/>
      </right>
      <top style="thin">
        <color indexed="10"/>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pplyNumberFormat="0" applyFill="0" applyBorder="0" applyProtection="0">
      <alignment vertical="top" wrapText="1"/>
    </xf>
    <xf numFmtId="43" fontId="47" fillId="0" borderId="0" applyFont="0" applyFill="0" applyBorder="0" applyAlignment="0" applyProtection="0">
      <alignment vertical="center"/>
    </xf>
    <xf numFmtId="44" fontId="47" fillId="0" borderId="0" applyFont="0" applyFill="0" applyBorder="0" applyAlignment="0" applyProtection="0">
      <alignment vertical="center"/>
    </xf>
    <xf numFmtId="9" fontId="47" fillId="0" borderId="0" applyFont="0" applyFill="0" applyBorder="0" applyAlignment="0" applyProtection="0">
      <alignment vertical="center"/>
    </xf>
    <xf numFmtId="41" fontId="47" fillId="0" borderId="0" applyFont="0" applyFill="0" applyBorder="0" applyAlignment="0" applyProtection="0">
      <alignment vertical="center"/>
    </xf>
    <xf numFmtId="42" fontId="47" fillId="0" borderId="0" applyFont="0" applyFill="0" applyBorder="0" applyAlignment="0" applyProtection="0">
      <alignment vertical="center"/>
    </xf>
    <xf numFmtId="0" fontId="48" fillId="0" borderId="0" applyNumberFormat="0" applyFill="0" applyBorder="0" applyAlignment="0" applyProtection="0">
      <alignment vertical="center"/>
    </xf>
    <xf numFmtId="0" fontId="49" fillId="0" borderId="0" applyNumberFormat="0" applyFill="0" applyBorder="0" applyAlignment="0" applyProtection="0">
      <alignment vertical="center"/>
    </xf>
    <xf numFmtId="0" fontId="47" fillId="11" borderId="59" applyNumberFormat="0" applyFont="0" applyAlignment="0" applyProtection="0">
      <alignment vertical="center"/>
    </xf>
    <xf numFmtId="0" fontId="50"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2" fillId="0" borderId="0" applyNumberFormat="0" applyFill="0" applyBorder="0" applyAlignment="0" applyProtection="0">
      <alignment vertical="center"/>
    </xf>
    <xf numFmtId="0" fontId="53" fillId="0" borderId="60" applyNumberFormat="0" applyFill="0" applyAlignment="0" applyProtection="0">
      <alignment vertical="center"/>
    </xf>
    <xf numFmtId="0" fontId="54" fillId="0" borderId="60" applyNumberFormat="0" applyFill="0" applyAlignment="0" applyProtection="0">
      <alignment vertical="center"/>
    </xf>
    <xf numFmtId="0" fontId="55" fillId="0" borderId="61" applyNumberFormat="0" applyFill="0" applyAlignment="0" applyProtection="0">
      <alignment vertical="center"/>
    </xf>
    <xf numFmtId="0" fontId="55" fillId="0" borderId="0" applyNumberFormat="0" applyFill="0" applyBorder="0" applyAlignment="0" applyProtection="0">
      <alignment vertical="center"/>
    </xf>
    <xf numFmtId="0" fontId="56" fillId="12" borderId="62" applyNumberFormat="0" applyAlignment="0" applyProtection="0">
      <alignment vertical="center"/>
    </xf>
    <xf numFmtId="0" fontId="57" fillId="13" borderId="63" applyNumberFormat="0" applyAlignment="0" applyProtection="0">
      <alignment vertical="center"/>
    </xf>
    <xf numFmtId="0" fontId="58" fillId="13" borderId="62" applyNumberFormat="0" applyAlignment="0" applyProtection="0">
      <alignment vertical="center"/>
    </xf>
    <xf numFmtId="0" fontId="59" fillId="14" borderId="64" applyNumberFormat="0" applyAlignment="0" applyProtection="0">
      <alignment vertical="center"/>
    </xf>
    <xf numFmtId="0" fontId="60" fillId="0" borderId="65" applyNumberFormat="0" applyFill="0" applyAlignment="0" applyProtection="0">
      <alignment vertical="center"/>
    </xf>
    <xf numFmtId="0" fontId="61" fillId="0" borderId="66" applyNumberFormat="0" applyFill="0" applyAlignment="0" applyProtection="0">
      <alignment vertical="center"/>
    </xf>
    <xf numFmtId="0" fontId="62" fillId="15" borderId="0" applyNumberFormat="0" applyBorder="0" applyAlignment="0" applyProtection="0">
      <alignment vertical="center"/>
    </xf>
    <xf numFmtId="0" fontId="63" fillId="16" borderId="0" applyNumberFormat="0" applyBorder="0" applyAlignment="0" applyProtection="0">
      <alignment vertical="center"/>
    </xf>
    <xf numFmtId="0" fontId="64" fillId="17" borderId="0" applyNumberFormat="0" applyBorder="0" applyAlignment="0" applyProtection="0">
      <alignment vertical="center"/>
    </xf>
    <xf numFmtId="0" fontId="65" fillId="18" borderId="0" applyNumberFormat="0" applyBorder="0" applyAlignment="0" applyProtection="0">
      <alignment vertical="center"/>
    </xf>
    <xf numFmtId="0" fontId="66" fillId="19" borderId="0" applyNumberFormat="0" applyBorder="0" applyAlignment="0" applyProtection="0">
      <alignment vertical="center"/>
    </xf>
    <xf numFmtId="0" fontId="66" fillId="20" borderId="0" applyNumberFormat="0" applyBorder="0" applyAlignment="0" applyProtection="0">
      <alignment vertical="center"/>
    </xf>
    <xf numFmtId="0" fontId="65" fillId="21" borderId="0" applyNumberFormat="0" applyBorder="0" applyAlignment="0" applyProtection="0">
      <alignment vertical="center"/>
    </xf>
    <xf numFmtId="0" fontId="65" fillId="22" borderId="0" applyNumberFormat="0" applyBorder="0" applyAlignment="0" applyProtection="0">
      <alignment vertical="center"/>
    </xf>
    <xf numFmtId="0" fontId="66" fillId="23" borderId="0" applyNumberFormat="0" applyBorder="0" applyAlignment="0" applyProtection="0">
      <alignment vertical="center"/>
    </xf>
    <xf numFmtId="0" fontId="66" fillId="24" borderId="0" applyNumberFormat="0" applyBorder="0" applyAlignment="0" applyProtection="0">
      <alignment vertical="center"/>
    </xf>
    <xf numFmtId="0" fontId="65" fillId="25" borderId="0" applyNumberFormat="0" applyBorder="0" applyAlignment="0" applyProtection="0">
      <alignment vertical="center"/>
    </xf>
    <xf numFmtId="0" fontId="65" fillId="26" borderId="0" applyNumberFormat="0" applyBorder="0" applyAlignment="0" applyProtection="0">
      <alignment vertical="center"/>
    </xf>
    <xf numFmtId="0" fontId="66" fillId="27" borderId="0" applyNumberFormat="0" applyBorder="0" applyAlignment="0" applyProtection="0">
      <alignment vertical="center"/>
    </xf>
    <xf numFmtId="0" fontId="66" fillId="28" borderId="0" applyNumberFormat="0" applyBorder="0" applyAlignment="0" applyProtection="0">
      <alignment vertical="center"/>
    </xf>
    <xf numFmtId="0" fontId="65" fillId="29" borderId="0" applyNumberFormat="0" applyBorder="0" applyAlignment="0" applyProtection="0">
      <alignment vertical="center"/>
    </xf>
    <xf numFmtId="0" fontId="65" fillId="30" borderId="0" applyNumberFormat="0" applyBorder="0" applyAlignment="0" applyProtection="0">
      <alignment vertical="center"/>
    </xf>
    <xf numFmtId="0" fontId="66" fillId="31" borderId="0" applyNumberFormat="0" applyBorder="0" applyAlignment="0" applyProtection="0">
      <alignment vertical="center"/>
    </xf>
    <xf numFmtId="0" fontId="66" fillId="32" borderId="0" applyNumberFormat="0" applyBorder="0" applyAlignment="0" applyProtection="0">
      <alignment vertical="center"/>
    </xf>
    <xf numFmtId="0" fontId="65" fillId="33" borderId="0" applyNumberFormat="0" applyBorder="0" applyAlignment="0" applyProtection="0">
      <alignment vertical="center"/>
    </xf>
    <xf numFmtId="0" fontId="65" fillId="34" borderId="0" applyNumberFormat="0" applyBorder="0" applyAlignment="0" applyProtection="0">
      <alignment vertical="center"/>
    </xf>
    <xf numFmtId="0" fontId="66" fillId="35" borderId="0" applyNumberFormat="0" applyBorder="0" applyAlignment="0" applyProtection="0">
      <alignment vertical="center"/>
    </xf>
    <xf numFmtId="0" fontId="66" fillId="36" borderId="0" applyNumberFormat="0" applyBorder="0" applyAlignment="0" applyProtection="0">
      <alignment vertical="center"/>
    </xf>
    <xf numFmtId="0" fontId="65" fillId="37" borderId="0" applyNumberFormat="0" applyBorder="0" applyAlignment="0" applyProtection="0">
      <alignment vertical="center"/>
    </xf>
    <xf numFmtId="0" fontId="65" fillId="38" borderId="0" applyNumberFormat="0" applyBorder="0" applyAlignment="0" applyProtection="0">
      <alignment vertical="center"/>
    </xf>
    <xf numFmtId="0" fontId="66" fillId="39" borderId="0" applyNumberFormat="0" applyBorder="0" applyAlignment="0" applyProtection="0">
      <alignment vertical="center"/>
    </xf>
    <xf numFmtId="0" fontId="66" fillId="40" borderId="0" applyNumberFormat="0" applyBorder="0" applyAlignment="0" applyProtection="0">
      <alignment vertical="center"/>
    </xf>
    <xf numFmtId="0" fontId="65" fillId="41" borderId="0" applyNumberFormat="0" applyBorder="0" applyAlignment="0" applyProtection="0">
      <alignment vertical="center"/>
    </xf>
    <xf numFmtId="0" fontId="47" fillId="0" borderId="0">
      <alignment vertical="center"/>
    </xf>
    <xf numFmtId="0" fontId="47" fillId="0" borderId="0">
      <alignment vertical="center"/>
    </xf>
  </cellStyleXfs>
  <cellXfs count="294">
    <xf numFmtId="0" fontId="0" fillId="0" borderId="0" xfId="0">
      <alignment vertical="top" wrapText="1"/>
    </xf>
    <xf numFmtId="0" fontId="0" fillId="0" borderId="0" xfId="0" applyNumberFormat="1">
      <alignment vertical="top" wrapText="1"/>
    </xf>
    <xf numFmtId="0" fontId="0" fillId="2" borderId="1" xfId="0" applyFill="1" applyBorder="1" applyAlignment="1">
      <alignment vertical="center" wrapText="1"/>
    </xf>
    <xf numFmtId="49" fontId="0" fillId="2" borderId="1" xfId="0" applyNumberFormat="1" applyFill="1" applyBorder="1" applyAlignment="1">
      <alignment vertical="center"/>
    </xf>
    <xf numFmtId="49" fontId="0" fillId="2" borderId="1" xfId="0" applyNumberFormat="1" applyFill="1" applyBorder="1" applyAlignment="1">
      <alignment horizontal="center" vertical="center" wrapText="1"/>
    </xf>
    <xf numFmtId="49" fontId="1" fillId="3" borderId="1" xfId="0" applyNumberFormat="1" applyFont="1" applyFill="1" applyBorder="1" applyAlignment="1">
      <alignment vertical="center"/>
    </xf>
    <xf numFmtId="49" fontId="1" fillId="3" borderId="1" xfId="0" applyNumberFormat="1" applyFont="1" applyFill="1" applyBorder="1" applyAlignment="1">
      <alignment horizontal="left" vertical="center"/>
    </xf>
    <xf numFmtId="49" fontId="1" fillId="2" borderId="1" xfId="0" applyNumberFormat="1" applyFont="1" applyFill="1" applyBorder="1" applyAlignment="1">
      <alignment vertical="center"/>
    </xf>
    <xf numFmtId="0" fontId="0" fillId="2" borderId="1" xfId="0" applyFill="1" applyBorder="1" applyAlignment="1">
      <alignment horizontal="center" vertical="center" wrapText="1"/>
    </xf>
    <xf numFmtId="49" fontId="0" fillId="2" borderId="2" xfId="0" applyNumberFormat="1" applyFill="1" applyBorder="1" applyAlignment="1">
      <alignment vertical="center"/>
    </xf>
    <xf numFmtId="49" fontId="0" fillId="2" borderId="3" xfId="0" applyNumberFormat="1" applyFill="1" applyBorder="1" applyAlignment="1">
      <alignment vertical="center"/>
    </xf>
    <xf numFmtId="49" fontId="0" fillId="4" borderId="0" xfId="0" applyNumberFormat="1" applyFont="1" applyFill="1" applyBorder="1" applyAlignment="1">
      <alignment vertical="center"/>
    </xf>
    <xf numFmtId="49" fontId="0" fillId="4" borderId="0" xfId="0" applyNumberFormat="1" applyFill="1" applyBorder="1" applyAlignment="1">
      <alignment vertical="center"/>
    </xf>
    <xf numFmtId="49" fontId="0" fillId="2" borderId="4" xfId="0" applyNumberFormat="1" applyFill="1" applyBorder="1" applyAlignment="1">
      <alignment vertical="center"/>
    </xf>
    <xf numFmtId="49" fontId="0" fillId="2" borderId="5" xfId="0" applyNumberFormat="1" applyFill="1" applyBorder="1" applyAlignment="1">
      <alignment horizontal="center" vertical="center" wrapText="1"/>
    </xf>
    <xf numFmtId="49" fontId="0" fillId="2" borderId="6" xfId="0" applyNumberFormat="1" applyFill="1" applyBorder="1" applyAlignment="1">
      <alignment horizontal="center" vertical="center" wrapText="1"/>
    </xf>
    <xf numFmtId="49" fontId="0" fillId="2" borderId="1" xfId="0" applyNumberFormat="1" applyFont="1" applyFill="1" applyBorder="1" applyAlignment="1">
      <alignment vertical="center"/>
    </xf>
    <xf numFmtId="49" fontId="2" fillId="2" borderId="3" xfId="0" applyNumberFormat="1" applyFont="1" applyFill="1" applyBorder="1" applyAlignment="1">
      <alignment horizontal="left" vertical="center"/>
    </xf>
    <xf numFmtId="49" fontId="0" fillId="2" borderId="0" xfId="0" applyNumberFormat="1" applyFill="1" applyBorder="1" applyAlignment="1">
      <alignment horizontal="center" vertical="center" wrapText="1"/>
    </xf>
    <xf numFmtId="49" fontId="0" fillId="2" borderId="7" xfId="0" applyNumberFormat="1" applyFill="1" applyBorder="1" applyAlignment="1">
      <alignment horizontal="center" vertical="center" wrapText="1"/>
    </xf>
    <xf numFmtId="49" fontId="0" fillId="2" borderId="8" xfId="0" applyNumberFormat="1" applyFill="1" applyBorder="1" applyAlignment="1">
      <alignment horizontal="center" vertical="center" wrapText="1"/>
    </xf>
    <xf numFmtId="49" fontId="0" fillId="2" borderId="9" xfId="0" applyNumberFormat="1" applyFill="1" applyBorder="1" applyAlignment="1">
      <alignment horizontal="center" vertical="center" wrapText="1"/>
    </xf>
    <xf numFmtId="49" fontId="0" fillId="2" borderId="1" xfId="0" applyNumberFormat="1" applyFill="1" applyBorder="1" applyAlignment="1">
      <alignment vertical="center" wrapText="1"/>
    </xf>
    <xf numFmtId="49" fontId="0" fillId="2" borderId="10" xfId="0" applyNumberFormat="1" applyFill="1" applyBorder="1" applyAlignment="1">
      <alignment horizontal="center" vertical="center" wrapText="1"/>
    </xf>
    <xf numFmtId="49" fontId="0" fillId="2" borderId="11" xfId="0" applyNumberFormat="1" applyFill="1" applyBorder="1" applyAlignment="1">
      <alignment horizontal="center" vertical="center" wrapText="1"/>
    </xf>
    <xf numFmtId="49" fontId="3" fillId="2" borderId="3" xfId="0" applyNumberFormat="1" applyFont="1" applyFill="1" applyBorder="1" applyAlignment="1">
      <alignment horizontal="left" vertical="center"/>
    </xf>
    <xf numFmtId="49" fontId="0" fillId="2" borderId="12" xfId="0" applyNumberFormat="1" applyFill="1" applyBorder="1" applyAlignment="1">
      <alignment horizontal="center" vertical="center" wrapText="1"/>
    </xf>
    <xf numFmtId="9" fontId="0" fillId="2" borderId="1" xfId="0" applyNumberFormat="1" applyFill="1" applyBorder="1" applyAlignment="1">
      <alignment vertical="center"/>
    </xf>
    <xf numFmtId="0" fontId="0" fillId="2" borderId="1" xfId="0" applyNumberFormat="1" applyFill="1" applyBorder="1" applyAlignment="1">
      <alignment horizontal="center" vertical="center"/>
    </xf>
    <xf numFmtId="49" fontId="0" fillId="2" borderId="2" xfId="0" applyNumberFormat="1" applyFill="1" applyBorder="1" applyAlignment="1">
      <alignment horizontal="center" vertical="center" wrapText="1"/>
    </xf>
    <xf numFmtId="49" fontId="0" fillId="2" borderId="13" xfId="0" applyNumberFormat="1" applyFill="1" applyBorder="1" applyAlignment="1">
      <alignment vertical="center"/>
    </xf>
    <xf numFmtId="0" fontId="0" fillId="2" borderId="1" xfId="0" applyFill="1" applyBorder="1" applyAlignment="1">
      <alignment vertical="center"/>
    </xf>
    <xf numFmtId="49" fontId="0" fillId="3" borderId="1" xfId="0" applyNumberFormat="1" applyFill="1" applyBorder="1" applyAlignment="1">
      <alignment horizontal="left" vertical="center"/>
    </xf>
    <xf numFmtId="0" fontId="0" fillId="2" borderId="2" xfId="0" applyFill="1" applyBorder="1" applyAlignment="1">
      <alignment vertical="center"/>
    </xf>
    <xf numFmtId="0" fontId="0" fillId="4" borderId="0" xfId="0" applyFill="1" applyBorder="1" applyAlignment="1">
      <alignment vertical="center"/>
    </xf>
    <xf numFmtId="0" fontId="0" fillId="2" borderId="4" xfId="0" applyFill="1" applyBorder="1" applyAlignment="1">
      <alignment vertical="center"/>
    </xf>
    <xf numFmtId="49" fontId="2" fillId="2" borderId="14" xfId="0" applyNumberFormat="1" applyFont="1" applyFill="1" applyBorder="1" applyAlignment="1">
      <alignment horizontal="left" vertical="center"/>
    </xf>
    <xf numFmtId="0" fontId="0" fillId="3" borderId="1" xfId="0" applyNumberFormat="1" applyFill="1" applyBorder="1" applyAlignment="1">
      <alignment horizontal="center" vertical="center"/>
    </xf>
    <xf numFmtId="9" fontId="0" fillId="2" borderId="2" xfId="0" applyNumberFormat="1" applyFill="1" applyBorder="1" applyAlignment="1">
      <alignment vertical="center"/>
    </xf>
    <xf numFmtId="0" fontId="0" fillId="2" borderId="13" xfId="0" applyFill="1" applyBorder="1" applyAlignment="1">
      <alignment vertical="center"/>
    </xf>
    <xf numFmtId="0" fontId="0" fillId="2" borderId="15" xfId="0" applyFill="1" applyBorder="1" applyAlignment="1">
      <alignment vertical="center"/>
    </xf>
    <xf numFmtId="0" fontId="0" fillId="2" borderId="16" xfId="0" applyFill="1" applyBorder="1" applyAlignment="1">
      <alignment vertical="center"/>
    </xf>
    <xf numFmtId="0" fontId="0" fillId="2" borderId="17" xfId="0" applyFill="1" applyBorder="1" applyAlignment="1">
      <alignment vertical="center"/>
    </xf>
    <xf numFmtId="49" fontId="0" fillId="2" borderId="17" xfId="0" applyNumberFormat="1" applyFill="1" applyBorder="1" applyAlignment="1">
      <alignment vertical="center"/>
    </xf>
    <xf numFmtId="49" fontId="0" fillId="2" borderId="17" xfId="0" applyNumberFormat="1" applyFill="1" applyBorder="1" applyAlignment="1">
      <alignment vertical="center" wrapText="1"/>
    </xf>
    <xf numFmtId="0" fontId="0" fillId="2" borderId="17" xfId="0" applyNumberFormat="1" applyFill="1" applyBorder="1" applyAlignment="1">
      <alignment vertical="center" wrapText="1"/>
    </xf>
    <xf numFmtId="0" fontId="0" fillId="2" borderId="18" xfId="0" applyFill="1" applyBorder="1" applyAlignment="1">
      <alignment vertical="center"/>
    </xf>
    <xf numFmtId="0" fontId="0" fillId="2" borderId="19" xfId="0" applyFill="1" applyBorder="1" applyAlignment="1">
      <alignment vertical="center"/>
    </xf>
    <xf numFmtId="0" fontId="0" fillId="2" borderId="20" xfId="0" applyFill="1" applyBorder="1" applyAlignment="1">
      <alignment vertical="center"/>
    </xf>
    <xf numFmtId="49" fontId="2" fillId="2" borderId="19" xfId="0" applyNumberFormat="1" applyFont="1" applyFill="1" applyBorder="1" applyAlignment="1">
      <alignment horizontal="left" vertical="center"/>
    </xf>
    <xf numFmtId="0" fontId="0" fillId="3" borderId="17" xfId="0" applyNumberFormat="1" applyFill="1" applyBorder="1" applyAlignment="1">
      <alignment vertical="center" wrapText="1"/>
    </xf>
    <xf numFmtId="49" fontId="0" fillId="2" borderId="13" xfId="0" applyNumberFormat="1" applyFill="1" applyBorder="1" applyAlignment="1">
      <alignment horizontal="center" vertical="center" wrapText="1"/>
    </xf>
    <xf numFmtId="49" fontId="2" fillId="3" borderId="3" xfId="0" applyNumberFormat="1" applyFont="1" applyFill="1" applyBorder="1" applyAlignment="1">
      <alignment vertical="center"/>
    </xf>
    <xf numFmtId="49" fontId="2" fillId="3" borderId="0" xfId="0" applyNumberFormat="1" applyFont="1" applyFill="1" applyBorder="1" applyAlignment="1">
      <alignment vertical="center"/>
    </xf>
    <xf numFmtId="49" fontId="0" fillId="2" borderId="4" xfId="0" applyNumberFormat="1" applyFill="1" applyBorder="1" applyAlignment="1">
      <alignment horizontal="center" vertical="center" wrapText="1"/>
    </xf>
    <xf numFmtId="49" fontId="0" fillId="5" borderId="1" xfId="0" applyNumberFormat="1" applyFill="1" applyBorder="1" applyAlignment="1">
      <alignment vertical="center"/>
    </xf>
    <xf numFmtId="49" fontId="3" fillId="2" borderId="1" xfId="0" applyNumberFormat="1" applyFont="1" applyFill="1" applyBorder="1" applyAlignment="1">
      <alignment horizontal="left" vertical="center"/>
    </xf>
    <xf numFmtId="49" fontId="0" fillId="3" borderId="4" xfId="0" applyNumberFormat="1" applyFill="1" applyBorder="1" applyAlignment="1">
      <alignment vertical="center"/>
    </xf>
    <xf numFmtId="49" fontId="4" fillId="3" borderId="3" xfId="0" applyNumberFormat="1" applyFont="1" applyFill="1" applyBorder="1" applyAlignment="1">
      <alignment horizontal="left" vertical="center"/>
    </xf>
    <xf numFmtId="14" fontId="0" fillId="3" borderId="4" xfId="0" applyNumberFormat="1" applyFill="1" applyBorder="1" applyAlignment="1">
      <alignment vertical="center"/>
    </xf>
    <xf numFmtId="49" fontId="4" fillId="3" borderId="19" xfId="0" applyNumberFormat="1" applyFont="1" applyFill="1" applyBorder="1" applyAlignment="1">
      <alignment horizontal="left" vertical="center"/>
    </xf>
    <xf numFmtId="14" fontId="0" fillId="2" borderId="4" xfId="0" applyNumberFormat="1" applyFill="1" applyBorder="1" applyAlignment="1">
      <alignment vertical="center"/>
    </xf>
    <xf numFmtId="14" fontId="0" fillId="2" borderId="1" xfId="0" applyNumberFormat="1" applyFill="1" applyBorder="1" applyAlignment="1">
      <alignment vertical="center"/>
    </xf>
    <xf numFmtId="49" fontId="5" fillId="2" borderId="1" xfId="0" applyNumberFormat="1" applyFont="1" applyFill="1" applyBorder="1" applyAlignment="1">
      <alignment horizontal="center" vertical="center"/>
    </xf>
    <xf numFmtId="0" fontId="5" fillId="2" borderId="1" xfId="0" applyNumberFormat="1" applyFont="1" applyFill="1" applyBorder="1" applyAlignment="1">
      <alignment horizontal="center" vertical="center"/>
    </xf>
    <xf numFmtId="0" fontId="5" fillId="0" borderId="1" xfId="0" applyNumberFormat="1" applyFont="1" applyFill="1" applyBorder="1" applyAlignment="1">
      <alignment horizontal="center" vertical="center"/>
    </xf>
    <xf numFmtId="49" fontId="5" fillId="0" borderId="1" xfId="0" applyNumberFormat="1" applyFont="1" applyFill="1" applyBorder="1" applyAlignment="1">
      <alignment horizontal="center" vertical="center"/>
    </xf>
    <xf numFmtId="0" fontId="5" fillId="3" borderId="1" xfId="0" applyNumberFormat="1" applyFont="1" applyFill="1" applyBorder="1" applyAlignment="1">
      <alignment horizontal="center" vertical="center"/>
    </xf>
    <xf numFmtId="0" fontId="6" fillId="3" borderId="11" xfId="0" applyFont="1" applyFill="1" applyBorder="1" applyAlignment="1">
      <alignment horizontal="center" vertical="center"/>
    </xf>
    <xf numFmtId="0" fontId="6" fillId="2" borderId="17" xfId="0" applyFont="1" applyFill="1" applyBorder="1" applyAlignment="1">
      <alignment horizontal="center" vertical="center"/>
    </xf>
    <xf numFmtId="49" fontId="7" fillId="2" borderId="17" xfId="0" applyNumberFormat="1" applyFont="1" applyFill="1" applyBorder="1" applyAlignment="1">
      <alignment horizontal="center" vertical="center"/>
    </xf>
    <xf numFmtId="49" fontId="7" fillId="2" borderId="21" xfId="0" applyNumberFormat="1" applyFont="1" applyFill="1" applyBorder="1" applyAlignment="1">
      <alignment horizontal="center" vertical="center"/>
    </xf>
    <xf numFmtId="0" fontId="7" fillId="2" borderId="17" xfId="0" applyNumberFormat="1" applyFont="1" applyFill="1" applyBorder="1" applyAlignment="1">
      <alignment horizontal="center" vertical="center"/>
    </xf>
    <xf numFmtId="49" fontId="8" fillId="2" borderId="17" xfId="0" applyNumberFormat="1" applyFont="1" applyFill="1" applyBorder="1" applyAlignment="1">
      <alignment horizontal="center" vertical="center"/>
    </xf>
    <xf numFmtId="49" fontId="7" fillId="2" borderId="22" xfId="0" applyNumberFormat="1" applyFont="1" applyFill="1" applyBorder="1" applyAlignment="1">
      <alignment horizontal="center" vertical="center"/>
    </xf>
    <xf numFmtId="0" fontId="6" fillId="2" borderId="17" xfId="0" applyNumberFormat="1" applyFont="1" applyFill="1" applyBorder="1" applyAlignment="1">
      <alignment horizontal="center" vertical="center"/>
    </xf>
    <xf numFmtId="49" fontId="7" fillId="2" borderId="23" xfId="0" applyNumberFormat="1" applyFont="1" applyFill="1" applyBorder="1" applyAlignment="1">
      <alignment horizontal="center" vertical="center"/>
    </xf>
    <xf numFmtId="0" fontId="6" fillId="2" borderId="24" xfId="0" applyNumberFormat="1" applyFont="1" applyFill="1" applyBorder="1" applyAlignment="1">
      <alignment horizontal="center" vertical="center"/>
    </xf>
    <xf numFmtId="49" fontId="8" fillId="2" borderId="24" xfId="0" applyNumberFormat="1" applyFont="1" applyFill="1" applyBorder="1" applyAlignment="1">
      <alignment horizontal="center" vertical="center"/>
    </xf>
    <xf numFmtId="0" fontId="6" fillId="3" borderId="0" xfId="0" applyFont="1" applyFill="1" applyBorder="1" applyAlignment="1">
      <alignment horizontal="center" vertical="center"/>
    </xf>
    <xf numFmtId="0" fontId="7" fillId="2" borderId="17" xfId="0" applyFont="1" applyFill="1" applyBorder="1" applyAlignment="1">
      <alignment horizontal="center" vertical="center"/>
    </xf>
    <xf numFmtId="49" fontId="8" fillId="2" borderId="25" xfId="0" applyNumberFormat="1" applyFont="1" applyFill="1" applyBorder="1" applyAlignment="1">
      <alignment horizontal="center" vertical="center"/>
    </xf>
    <xf numFmtId="0" fontId="7" fillId="3" borderId="25" xfId="0" applyFont="1" applyFill="1" applyBorder="1" applyAlignment="1">
      <alignment horizontal="center" vertical="center"/>
    </xf>
    <xf numFmtId="0" fontId="7" fillId="3" borderId="26" xfId="0" applyFont="1" applyFill="1" applyBorder="1" applyAlignment="1">
      <alignment horizontal="center" vertical="center"/>
    </xf>
    <xf numFmtId="49" fontId="8" fillId="2" borderId="27" xfId="0" applyNumberFormat="1" applyFont="1" applyFill="1" applyBorder="1" applyAlignment="1">
      <alignment horizontal="center" vertical="center"/>
    </xf>
    <xf numFmtId="0" fontId="7" fillId="3" borderId="28" xfId="0" applyNumberFormat="1" applyFont="1" applyFill="1" applyBorder="1" applyAlignment="1">
      <alignment horizontal="center" vertical="center" wrapText="1"/>
    </xf>
    <xf numFmtId="0" fontId="7" fillId="3" borderId="29" xfId="0" applyNumberFormat="1" applyFont="1" applyFill="1" applyBorder="1" applyAlignment="1">
      <alignment horizontal="center" vertical="center" wrapText="1"/>
    </xf>
    <xf numFmtId="0" fontId="7" fillId="3" borderId="30" xfId="0" applyNumberFormat="1" applyFont="1" applyFill="1" applyBorder="1" applyAlignment="1">
      <alignment horizontal="center" vertical="center" wrapText="1"/>
    </xf>
    <xf numFmtId="0" fontId="7" fillId="3" borderId="31" xfId="0" applyNumberFormat="1" applyFont="1" applyFill="1" applyBorder="1" applyAlignment="1">
      <alignment horizontal="center" vertical="center" wrapText="1"/>
    </xf>
    <xf numFmtId="0" fontId="7" fillId="3" borderId="25" xfId="0" applyNumberFormat="1" applyFont="1" applyFill="1" applyBorder="1" applyAlignment="1">
      <alignment horizontal="center" vertical="center" wrapText="1"/>
    </xf>
    <xf numFmtId="0" fontId="7" fillId="3" borderId="26" xfId="0" applyNumberFormat="1" applyFont="1" applyFill="1" applyBorder="1" applyAlignment="1">
      <alignment horizontal="center" vertical="center" wrapText="1"/>
    </xf>
    <xf numFmtId="0" fontId="7" fillId="2" borderId="24" xfId="0" applyFont="1" applyFill="1" applyBorder="1" applyAlignment="1">
      <alignment horizontal="center" vertical="center"/>
    </xf>
    <xf numFmtId="0" fontId="6" fillId="3" borderId="7" xfId="0" applyFont="1" applyFill="1" applyBorder="1" applyAlignment="1">
      <alignment horizontal="center" vertical="center"/>
    </xf>
    <xf numFmtId="0" fontId="9" fillId="0" borderId="0" xfId="0" applyFont="1" applyFill="1" applyAlignment="1">
      <alignment horizontal="center" vertical="center" wrapText="1"/>
    </xf>
    <xf numFmtId="0" fontId="10" fillId="0" borderId="0" xfId="0" applyFont="1" applyFill="1" applyAlignment="1">
      <alignment horizontal="center" vertical="center" wrapText="1"/>
    </xf>
    <xf numFmtId="49" fontId="10" fillId="0" borderId="32" xfId="0" applyNumberFormat="1" applyFont="1" applyFill="1" applyBorder="1" applyAlignment="1">
      <alignment horizontal="center" vertical="center"/>
    </xf>
    <xf numFmtId="49" fontId="11" fillId="0" borderId="33" xfId="0" applyNumberFormat="1" applyFont="1" applyFill="1" applyBorder="1" applyAlignment="1">
      <alignment horizontal="left" vertical="center"/>
    </xf>
    <xf numFmtId="49" fontId="10" fillId="0" borderId="33" xfId="0" applyNumberFormat="1" applyFont="1" applyFill="1" applyBorder="1" applyAlignment="1">
      <alignment horizontal="left" vertical="center"/>
    </xf>
    <xf numFmtId="49" fontId="10" fillId="0" borderId="0" xfId="0" applyNumberFormat="1" applyFont="1" applyFill="1" applyBorder="1" applyAlignment="1">
      <alignment horizontal="center" vertical="center"/>
    </xf>
    <xf numFmtId="49" fontId="12" fillId="0" borderId="33" xfId="0" applyNumberFormat="1" applyFont="1" applyFill="1" applyBorder="1" applyAlignment="1">
      <alignment horizontal="left" vertical="center"/>
    </xf>
    <xf numFmtId="49" fontId="13" fillId="0" borderId="33" xfId="0" applyNumberFormat="1" applyFont="1" applyFill="1" applyBorder="1" applyAlignment="1">
      <alignment horizontal="left" vertical="center"/>
    </xf>
    <xf numFmtId="0" fontId="9" fillId="0" borderId="0" xfId="0" applyNumberFormat="1" applyFont="1" applyFill="1" applyBorder="1" applyAlignment="1" applyProtection="1">
      <alignment horizontal="center" vertical="center"/>
    </xf>
    <xf numFmtId="0" fontId="9" fillId="0" borderId="0" xfId="0" applyNumberFormat="1" applyFont="1" applyFill="1" applyBorder="1" applyAlignment="1" applyProtection="1">
      <alignment horizontal="center" vertical="center" wrapText="1"/>
    </xf>
    <xf numFmtId="0" fontId="9" fillId="0" borderId="0" xfId="0" applyFont="1" applyFill="1" applyAlignment="1">
      <alignment vertical="center" wrapText="1"/>
    </xf>
    <xf numFmtId="49" fontId="9" fillId="0" borderId="0" xfId="0" applyNumberFormat="1" applyFont="1" applyFill="1" applyBorder="1" applyAlignment="1">
      <alignment horizontal="center" vertical="center"/>
    </xf>
    <xf numFmtId="0" fontId="9" fillId="0" borderId="0" xfId="0" applyNumberFormat="1" applyFont="1" applyFill="1" applyBorder="1" applyAlignment="1" applyProtection="1">
      <alignment horizontal="center"/>
    </xf>
    <xf numFmtId="0" fontId="9" fillId="0" borderId="0" xfId="50" applyFont="1" applyAlignment="1">
      <alignment horizontal="center" vertical="center" wrapText="1"/>
    </xf>
    <xf numFmtId="0" fontId="9" fillId="0" borderId="0" xfId="0" applyFont="1" applyFill="1" applyBorder="1" applyAlignment="1">
      <alignment horizontal="center" vertical="center" wrapText="1"/>
    </xf>
    <xf numFmtId="0" fontId="9" fillId="0" borderId="0" xfId="0" applyFont="1" applyFill="1" applyBorder="1" applyAlignment="1">
      <alignment horizontal="center" vertical="center"/>
    </xf>
    <xf numFmtId="0" fontId="14" fillId="0" borderId="0" xfId="0" applyFont="1" applyFill="1" applyBorder="1" applyAlignment="1">
      <alignment horizontal="center" vertical="center" wrapText="1"/>
    </xf>
    <xf numFmtId="0" fontId="13" fillId="0" borderId="0" xfId="0" applyNumberFormat="1" applyFont="1" applyFill="1" applyBorder="1" applyAlignment="1" applyProtection="1">
      <alignment horizontal="center" vertical="center"/>
    </xf>
    <xf numFmtId="0" fontId="10" fillId="0" borderId="0" xfId="0" applyFont="1" applyFill="1" applyBorder="1" applyAlignment="1">
      <alignment horizontal="center" vertical="center" wrapText="1"/>
    </xf>
    <xf numFmtId="0" fontId="13" fillId="0" borderId="0" xfId="0" applyNumberFormat="1" applyFont="1" applyFill="1" applyBorder="1" applyAlignment="1" applyProtection="1">
      <alignment horizontal="center" vertical="center" wrapText="1"/>
    </xf>
    <xf numFmtId="0" fontId="11" fillId="0" borderId="0" xfId="0" applyFont="1" applyFill="1" applyBorder="1" applyAlignment="1">
      <alignment horizontal="center" vertical="center" wrapText="1"/>
    </xf>
    <xf numFmtId="0" fontId="15" fillId="0" borderId="0" xfId="0" applyNumberFormat="1" applyFont="1" applyFill="1" applyBorder="1" applyAlignment="1" applyProtection="1">
      <alignment horizontal="center" vertical="center"/>
    </xf>
    <xf numFmtId="49" fontId="11" fillId="0" borderId="0" xfId="0" applyNumberFormat="1" applyFont="1" applyFill="1" applyBorder="1" applyAlignment="1">
      <alignment horizontal="center" vertical="center"/>
    </xf>
    <xf numFmtId="49" fontId="16" fillId="6" borderId="34" xfId="0" applyNumberFormat="1" applyFont="1" applyFill="1" applyBorder="1" applyAlignment="1">
      <alignment horizontal="center"/>
    </xf>
    <xf numFmtId="49" fontId="16" fillId="6" borderId="35" xfId="0" applyNumberFormat="1" applyFont="1" applyFill="1" applyBorder="1" applyAlignment="1">
      <alignment horizontal="center"/>
    </xf>
    <xf numFmtId="0" fontId="17" fillId="2" borderId="10" xfId="0" applyNumberFormat="1" applyFont="1" applyFill="1" applyBorder="1" applyAlignment="1">
      <alignment horizontal="center" vertical="center"/>
    </xf>
    <xf numFmtId="49" fontId="17" fillId="2" borderId="5" xfId="0" applyNumberFormat="1" applyFont="1" applyFill="1" applyBorder="1" applyAlignment="1">
      <alignment vertical="center"/>
    </xf>
    <xf numFmtId="0" fontId="17" fillId="2" borderId="5" xfId="0" applyNumberFormat="1" applyFont="1" applyFill="1" applyBorder="1" applyAlignment="1">
      <alignment horizontal="center" vertical="center"/>
    </xf>
    <xf numFmtId="49" fontId="17" fillId="2" borderId="0" xfId="0" applyNumberFormat="1" applyFont="1" applyFill="1" applyBorder="1" applyAlignment="1">
      <alignment horizontal="center" vertical="center"/>
    </xf>
    <xf numFmtId="0" fontId="17" fillId="2" borderId="11" xfId="0" applyNumberFormat="1" applyFont="1" applyFill="1" applyBorder="1" applyAlignment="1">
      <alignment horizontal="center" vertical="center"/>
    </xf>
    <xf numFmtId="49" fontId="17" fillId="2" borderId="0" xfId="0" applyNumberFormat="1" applyFont="1" applyFill="1" applyBorder="1" applyAlignment="1">
      <alignment vertical="center"/>
    </xf>
    <xf numFmtId="0" fontId="17" fillId="2" borderId="0" xfId="0" applyNumberFormat="1" applyFont="1" applyFill="1" applyBorder="1" applyAlignment="1">
      <alignment horizontal="center" vertical="center"/>
    </xf>
    <xf numFmtId="0" fontId="17" fillId="2" borderId="12" xfId="0" applyNumberFormat="1" applyFont="1" applyFill="1" applyBorder="1" applyAlignment="1">
      <alignment horizontal="center" vertical="center"/>
    </xf>
    <xf numFmtId="49" fontId="17" fillId="2" borderId="8" xfId="0" applyNumberFormat="1" applyFont="1" applyFill="1" applyBorder="1" applyAlignment="1">
      <alignment vertical="center"/>
    </xf>
    <xf numFmtId="0" fontId="17" fillId="2" borderId="8" xfId="0" applyNumberFormat="1" applyFont="1" applyFill="1" applyBorder="1" applyAlignment="1">
      <alignment horizontal="center" vertical="center"/>
    </xf>
    <xf numFmtId="49" fontId="17" fillId="2" borderId="8" xfId="0" applyNumberFormat="1" applyFont="1" applyFill="1" applyBorder="1" applyAlignment="1">
      <alignment horizontal="center" vertical="center"/>
    </xf>
    <xf numFmtId="0" fontId="0" fillId="2" borderId="36" xfId="0" applyFill="1" applyBorder="1" applyAlignment="1"/>
    <xf numFmtId="0" fontId="0" fillId="2" borderId="0" xfId="0" applyFill="1" applyBorder="1" applyAlignment="1"/>
    <xf numFmtId="49" fontId="17" fillId="2" borderId="5" xfId="0" applyNumberFormat="1" applyFont="1" applyFill="1" applyBorder="1" applyAlignment="1">
      <alignment horizontal="center" vertical="center"/>
    </xf>
    <xf numFmtId="0" fontId="18" fillId="2" borderId="5" xfId="0" applyFont="1" applyFill="1" applyBorder="1" applyAlignment="1"/>
    <xf numFmtId="0" fontId="0" fillId="2" borderId="5" xfId="0" applyFill="1" applyBorder="1" applyAlignment="1"/>
    <xf numFmtId="49" fontId="0" fillId="2" borderId="5" xfId="0" applyNumberFormat="1" applyFill="1" applyBorder="1" applyAlignment="1"/>
    <xf numFmtId="0" fontId="18" fillId="2" borderId="0" xfId="0" applyFont="1" applyFill="1" applyBorder="1" applyAlignment="1"/>
    <xf numFmtId="49" fontId="0" fillId="2" borderId="0" xfId="0" applyNumberFormat="1" applyFill="1" applyBorder="1" applyAlignment="1"/>
    <xf numFmtId="0" fontId="17" fillId="2" borderId="0" xfId="0" applyFont="1" applyFill="1" applyBorder="1" applyAlignment="1">
      <alignment horizontal="center" vertical="center"/>
    </xf>
    <xf numFmtId="0" fontId="17" fillId="2" borderId="8" xfId="0" applyFont="1" applyFill="1" applyBorder="1" applyAlignment="1">
      <alignment horizontal="center" vertical="center"/>
    </xf>
    <xf numFmtId="0" fontId="0" fillId="2" borderId="8" xfId="0" applyFill="1" applyBorder="1" applyAlignment="1"/>
    <xf numFmtId="0" fontId="0" fillId="2" borderId="7" xfId="0" applyFill="1" applyBorder="1" applyAlignment="1"/>
    <xf numFmtId="0" fontId="0" fillId="2" borderId="6" xfId="0" applyFill="1" applyBorder="1" applyAlignment="1"/>
    <xf numFmtId="0" fontId="0" fillId="2" borderId="9" xfId="0" applyFill="1" applyBorder="1" applyAlignment="1"/>
    <xf numFmtId="49" fontId="19" fillId="7" borderId="0" xfId="0" applyNumberFormat="1" applyFont="1" applyFill="1" applyBorder="1" applyAlignment="1">
      <alignment horizontal="center" vertical="center"/>
    </xf>
    <xf numFmtId="0" fontId="20" fillId="2" borderId="0" xfId="0" applyNumberFormat="1" applyFont="1" applyFill="1" applyBorder="1" applyAlignment="1">
      <alignment horizontal="center" vertical="center"/>
    </xf>
    <xf numFmtId="0" fontId="21" fillId="2" borderId="0" xfId="0" applyNumberFormat="1" applyFont="1" applyFill="1" applyBorder="1" applyAlignment="1">
      <alignment horizontal="center" vertical="center"/>
    </xf>
    <xf numFmtId="0" fontId="21" fillId="2" borderId="0" xfId="0" applyFont="1" applyFill="1" applyBorder="1" applyAlignment="1">
      <alignment horizontal="center" vertical="center"/>
    </xf>
    <xf numFmtId="49" fontId="22" fillId="2" borderId="0" xfId="0" applyNumberFormat="1" applyFont="1" applyFill="1" applyBorder="1" applyAlignment="1">
      <alignment horizontal="center" vertical="center"/>
    </xf>
    <xf numFmtId="49" fontId="23" fillId="2" borderId="0" xfId="0" applyNumberFormat="1" applyFont="1" applyFill="1" applyBorder="1" applyAlignment="1">
      <alignment horizontal="center" vertical="center"/>
    </xf>
    <xf numFmtId="0" fontId="23" fillId="2" borderId="0" xfId="0" applyFont="1" applyFill="1" applyBorder="1" applyAlignment="1">
      <alignment horizontal="center" vertical="center"/>
    </xf>
    <xf numFmtId="49" fontId="24" fillId="2" borderId="0" xfId="0" applyNumberFormat="1" applyFont="1" applyFill="1" applyBorder="1" applyAlignment="1">
      <alignment horizontal="center" vertical="center"/>
    </xf>
    <xf numFmtId="0" fontId="0" fillId="0" borderId="0" xfId="0" applyAlignment="1">
      <alignment horizontal="center" vertical="top" wrapText="1"/>
    </xf>
    <xf numFmtId="0" fontId="0" fillId="0" borderId="0" xfId="0" applyFont="1" applyAlignment="1">
      <alignment horizontal="center" vertical="center" wrapText="1"/>
    </xf>
    <xf numFmtId="0" fontId="25" fillId="2" borderId="0" xfId="0" applyNumberFormat="1" applyFont="1" applyFill="1" applyBorder="1" applyAlignment="1">
      <alignment horizontal="center" vertical="center"/>
    </xf>
    <xf numFmtId="49" fontId="19" fillId="2" borderId="0" xfId="0" applyNumberFormat="1" applyFont="1" applyFill="1" applyBorder="1" applyAlignment="1">
      <alignment horizontal="center" vertical="center"/>
    </xf>
    <xf numFmtId="0" fontId="0" fillId="0" borderId="0" xfId="0" applyAlignment="1">
      <alignment horizontal="center" vertical="center" wrapText="1"/>
    </xf>
    <xf numFmtId="49" fontId="19" fillId="4" borderId="0" xfId="0" applyNumberFormat="1" applyFont="1" applyFill="1" applyBorder="1" applyAlignment="1">
      <alignment horizontal="center" vertical="center"/>
    </xf>
    <xf numFmtId="0" fontId="26" fillId="2" borderId="0" xfId="0" applyNumberFormat="1" applyFont="1" applyFill="1" applyBorder="1" applyAlignment="1">
      <alignment horizontal="center" vertical="center"/>
    </xf>
    <xf numFmtId="49" fontId="23" fillId="4" borderId="0" xfId="0" applyNumberFormat="1" applyFont="1" applyFill="1" applyBorder="1" applyAlignment="1">
      <alignment horizontal="center" vertical="center"/>
    </xf>
    <xf numFmtId="49" fontId="23" fillId="8" borderId="0" xfId="0" applyNumberFormat="1" applyFont="1" applyFill="1" applyBorder="1" applyAlignment="1">
      <alignment horizontal="center" vertical="center"/>
    </xf>
    <xf numFmtId="49" fontId="27" fillId="2" borderId="0" xfId="0" applyNumberFormat="1" applyFont="1" applyFill="1" applyBorder="1" applyAlignment="1">
      <alignment horizontal="center" vertical="center"/>
    </xf>
    <xf numFmtId="0" fontId="0" fillId="0" borderId="0" xfId="0" applyAlignment="1">
      <alignment vertical="center" wrapText="1"/>
    </xf>
    <xf numFmtId="0" fontId="21" fillId="0" borderId="0" xfId="0" applyNumberFormat="1" applyFont="1" applyFill="1" applyBorder="1" applyAlignment="1">
      <alignment horizontal="center" vertical="center"/>
    </xf>
    <xf numFmtId="49" fontId="22" fillId="0" borderId="0" xfId="0" applyNumberFormat="1" applyFont="1" applyFill="1" applyBorder="1" applyAlignment="1">
      <alignment horizontal="center" vertical="center"/>
    </xf>
    <xf numFmtId="0" fontId="23" fillId="0" borderId="0" xfId="0" applyFont="1" applyFill="1" applyBorder="1" applyAlignment="1">
      <alignment horizontal="center" vertical="center"/>
    </xf>
    <xf numFmtId="49" fontId="23" fillId="0" borderId="0" xfId="0" applyNumberFormat="1" applyFont="1" applyFill="1" applyBorder="1" applyAlignment="1">
      <alignment horizontal="center" vertical="center"/>
    </xf>
    <xf numFmtId="0" fontId="25" fillId="2" borderId="11" xfId="0" applyNumberFormat="1" applyFont="1" applyFill="1" applyBorder="1" applyAlignment="1">
      <alignment horizontal="center" vertical="center"/>
    </xf>
    <xf numFmtId="0" fontId="28" fillId="2" borderId="0" xfId="0" applyNumberFormat="1" applyFont="1" applyFill="1" applyBorder="1" applyAlignment="1">
      <alignment horizontal="center" vertical="center"/>
    </xf>
    <xf numFmtId="49" fontId="1" fillId="2" borderId="0" xfId="0" applyNumberFormat="1" applyFont="1" applyFill="1" applyBorder="1" applyAlignment="1">
      <alignment horizontal="center" vertical="center"/>
    </xf>
    <xf numFmtId="0" fontId="29" fillId="2" borderId="0" xfId="0" applyNumberFormat="1" applyFont="1" applyFill="1" applyBorder="1" applyAlignment="1">
      <alignment horizontal="center" vertical="center"/>
    </xf>
    <xf numFmtId="49" fontId="30" fillId="4" borderId="0" xfId="0" applyNumberFormat="1" applyFont="1" applyFill="1" applyBorder="1" applyAlignment="1">
      <alignment horizontal="center" vertical="center"/>
    </xf>
    <xf numFmtId="49" fontId="31" fillId="4" borderId="0" xfId="0" applyNumberFormat="1" applyFont="1" applyFill="1" applyBorder="1" applyAlignment="1">
      <alignment horizontal="center" vertical="center"/>
    </xf>
    <xf numFmtId="49" fontId="31" fillId="2" borderId="0" xfId="0" applyNumberFormat="1" applyFont="1" applyFill="1" applyBorder="1" applyAlignment="1">
      <alignment horizontal="center" vertical="center"/>
    </xf>
    <xf numFmtId="49" fontId="30" fillId="2" borderId="0" xfId="0" applyNumberFormat="1" applyFont="1" applyFill="1" applyBorder="1" applyAlignment="1">
      <alignment horizontal="center" vertical="center"/>
    </xf>
    <xf numFmtId="0" fontId="0" fillId="0" borderId="33" xfId="0" applyBorder="1" applyAlignment="1">
      <alignment horizontal="center" vertical="center" wrapText="1"/>
    </xf>
    <xf numFmtId="49" fontId="19" fillId="9" borderId="0" xfId="0" applyNumberFormat="1" applyFont="1" applyFill="1" applyBorder="1" applyAlignment="1">
      <alignment horizontal="center" vertical="center"/>
    </xf>
    <xf numFmtId="0" fontId="0" fillId="0" borderId="37" xfId="0" applyBorder="1" applyAlignment="1">
      <alignment horizontal="center" vertical="center" wrapText="1"/>
    </xf>
    <xf numFmtId="0" fontId="32" fillId="2" borderId="0" xfId="0" applyNumberFormat="1" applyFont="1" applyFill="1" applyBorder="1" applyAlignment="1">
      <alignment horizontal="center" vertical="center"/>
    </xf>
    <xf numFmtId="0" fontId="33" fillId="2" borderId="0" xfId="0" applyNumberFormat="1" applyFont="1" applyFill="1" applyBorder="1" applyAlignment="1">
      <alignment horizontal="center" vertical="center"/>
    </xf>
    <xf numFmtId="49" fontId="22" fillId="9" borderId="0" xfId="0" applyNumberFormat="1" applyFont="1" applyFill="1" applyBorder="1" applyAlignment="1">
      <alignment horizontal="center" vertical="center"/>
    </xf>
    <xf numFmtId="49" fontId="31" fillId="3" borderId="0" xfId="0" applyNumberFormat="1" applyFont="1" applyFill="1" applyBorder="1" applyAlignment="1">
      <alignment horizontal="center" vertical="center"/>
    </xf>
    <xf numFmtId="49" fontId="23" fillId="3" borderId="0" xfId="0" applyNumberFormat="1" applyFont="1" applyFill="1" applyBorder="1" applyAlignment="1">
      <alignment horizontal="center" vertical="center"/>
    </xf>
    <xf numFmtId="49" fontId="23" fillId="9" borderId="0" xfId="0" applyNumberFormat="1" applyFont="1" applyFill="1" applyBorder="1" applyAlignment="1">
      <alignment horizontal="center" vertical="center"/>
    </xf>
    <xf numFmtId="49" fontId="31" fillId="10" borderId="0" xfId="0" applyNumberFormat="1" applyFont="1" applyFill="1" applyBorder="1" applyAlignment="1">
      <alignment horizontal="center" vertical="center"/>
    </xf>
    <xf numFmtId="0" fontId="0" fillId="0" borderId="0" xfId="0" applyFill="1" applyAlignment="1">
      <alignment horizontal="center" vertical="top" wrapText="1"/>
    </xf>
    <xf numFmtId="0" fontId="25" fillId="2" borderId="38" xfId="0" applyNumberFormat="1" applyFont="1" applyFill="1" applyBorder="1" applyAlignment="1">
      <alignment horizontal="center" vertical="center"/>
    </xf>
    <xf numFmtId="49" fontId="19" fillId="2" borderId="39" xfId="0" applyNumberFormat="1" applyFont="1" applyFill="1" applyBorder="1" applyAlignment="1">
      <alignment horizontal="center" vertical="center"/>
    </xf>
    <xf numFmtId="0" fontId="20" fillId="2" borderId="39" xfId="0" applyNumberFormat="1" applyFont="1" applyFill="1" applyBorder="1" applyAlignment="1">
      <alignment horizontal="center" vertical="center"/>
    </xf>
    <xf numFmtId="0" fontId="0" fillId="0" borderId="40" xfId="0" applyBorder="1" applyAlignment="1">
      <alignment horizontal="center" vertical="center" wrapText="1"/>
    </xf>
    <xf numFmtId="0" fontId="21" fillId="2" borderId="39" xfId="0" applyNumberFormat="1" applyFont="1" applyFill="1" applyBorder="1" applyAlignment="1">
      <alignment horizontal="center" vertical="center"/>
    </xf>
    <xf numFmtId="0" fontId="0" fillId="0" borderId="0" xfId="0" applyFill="1" applyBorder="1" applyAlignment="1">
      <alignment horizontal="center" vertical="top" wrapText="1"/>
    </xf>
    <xf numFmtId="49" fontId="22" fillId="2" borderId="39" xfId="0" applyNumberFormat="1" applyFont="1" applyFill="1" applyBorder="1" applyAlignment="1">
      <alignment horizontal="center" vertical="center"/>
    </xf>
    <xf numFmtId="49" fontId="23" fillId="2" borderId="39" xfId="0" applyNumberFormat="1" applyFont="1" applyFill="1" applyBorder="1" applyAlignment="1">
      <alignment horizontal="center" vertical="center"/>
    </xf>
    <xf numFmtId="49" fontId="34" fillId="2" borderId="0" xfId="0" applyNumberFormat="1" applyFont="1" applyFill="1" applyBorder="1" applyAlignment="1">
      <alignment horizontal="center" vertical="center"/>
    </xf>
    <xf numFmtId="0" fontId="23" fillId="2" borderId="39" xfId="0" applyFont="1" applyFill="1" applyBorder="1" applyAlignment="1">
      <alignment horizontal="center" vertical="center"/>
    </xf>
    <xf numFmtId="0" fontId="0" fillId="0" borderId="37" xfId="0" applyFill="1" applyBorder="1" applyAlignment="1">
      <alignment horizontal="center" vertical="top" wrapText="1"/>
    </xf>
    <xf numFmtId="0" fontId="35" fillId="0" borderId="0" xfId="0" applyFont="1" applyFill="1" applyAlignment="1">
      <alignment horizontal="center" vertical="center"/>
    </xf>
    <xf numFmtId="0" fontId="0" fillId="0" borderId="0" xfId="0" applyFont="1" applyFill="1" applyBorder="1" applyAlignment="1">
      <alignment horizontal="center" vertical="center" wrapText="1"/>
    </xf>
    <xf numFmtId="0" fontId="0" fillId="0" borderId="0" xfId="0" applyFill="1" applyBorder="1" applyAlignment="1">
      <alignment horizontal="center" vertical="center" wrapText="1"/>
    </xf>
    <xf numFmtId="0" fontId="0" fillId="0" borderId="0" xfId="0" applyFill="1" applyBorder="1">
      <alignment vertical="top" wrapText="1"/>
    </xf>
    <xf numFmtId="0" fontId="0" fillId="0" borderId="0" xfId="0" applyFill="1" applyBorder="1" applyAlignment="1"/>
    <xf numFmtId="0" fontId="0" fillId="0" borderId="0" xfId="0" applyFont="1" applyFill="1" applyBorder="1" applyAlignment="1">
      <alignment horizontal="center" vertical="center"/>
    </xf>
    <xf numFmtId="0" fontId="0" fillId="0" borderId="0" xfId="0" applyFill="1" applyBorder="1" applyAlignment="1">
      <alignment horizontal="center" vertical="center"/>
    </xf>
    <xf numFmtId="49" fontId="31" fillId="0" borderId="0" xfId="0" applyNumberFormat="1" applyFont="1" applyFill="1" applyBorder="1" applyAlignment="1">
      <alignment horizontal="center" vertical="center"/>
    </xf>
    <xf numFmtId="0" fontId="0" fillId="0" borderId="0" xfId="0" applyFill="1" applyBorder="1" applyAlignment="1">
      <alignment vertical="center" wrapText="1"/>
    </xf>
    <xf numFmtId="0" fontId="25" fillId="0" borderId="0" xfId="0" applyNumberFormat="1" applyFont="1" applyFill="1" applyBorder="1" applyAlignment="1">
      <alignment horizontal="center" vertical="center"/>
    </xf>
    <xf numFmtId="49" fontId="19" fillId="0" borderId="0" xfId="0" applyNumberFormat="1" applyFont="1" applyFill="1" applyBorder="1" applyAlignment="1">
      <alignment horizontal="center" vertical="center"/>
    </xf>
    <xf numFmtId="0" fontId="17" fillId="0" borderId="0" xfId="0" applyNumberFormat="1" applyFont="1" applyFill="1" applyBorder="1" applyAlignment="1">
      <alignment horizontal="center" vertical="center"/>
    </xf>
    <xf numFmtId="49" fontId="17" fillId="0" borderId="0" xfId="0" applyNumberFormat="1" applyFont="1" applyFill="1" applyBorder="1" applyAlignment="1">
      <alignment vertical="center"/>
    </xf>
    <xf numFmtId="0" fontId="20" fillId="0" borderId="0" xfId="0" applyNumberFormat="1" applyFont="1" applyFill="1" applyBorder="1" applyAlignment="1">
      <alignment horizontal="center" vertical="center"/>
    </xf>
    <xf numFmtId="49" fontId="17" fillId="0" borderId="0" xfId="0" applyNumberFormat="1" applyFont="1" applyFill="1" applyBorder="1" applyAlignment="1">
      <alignment horizontal="center" vertical="center"/>
    </xf>
    <xf numFmtId="0" fontId="18" fillId="0" borderId="0" xfId="0" applyFont="1" applyFill="1" applyBorder="1" applyAlignment="1"/>
    <xf numFmtId="0" fontId="25" fillId="0" borderId="0" xfId="0" applyFont="1" applyFill="1" applyBorder="1" applyAlignment="1">
      <alignment horizontal="center" vertical="center"/>
    </xf>
    <xf numFmtId="0" fontId="20" fillId="0" borderId="0" xfId="0" applyFont="1" applyFill="1" applyBorder="1" applyAlignment="1">
      <alignment horizontal="center" vertical="center"/>
    </xf>
    <xf numFmtId="0" fontId="21" fillId="0" borderId="0" xfId="0" applyFont="1" applyFill="1" applyBorder="1" applyAlignment="1">
      <alignment horizontal="center" vertical="center"/>
    </xf>
    <xf numFmtId="49" fontId="27" fillId="0" borderId="0" xfId="0" applyNumberFormat="1" applyFont="1" applyFill="1" applyBorder="1" applyAlignment="1">
      <alignment horizontal="center" vertical="center"/>
    </xf>
    <xf numFmtId="0" fontId="36" fillId="0" borderId="0" xfId="0" applyNumberFormat="1" applyFont="1" applyFill="1" applyBorder="1" applyAlignment="1" applyProtection="1">
      <alignment horizontal="center" vertical="center"/>
    </xf>
    <xf numFmtId="0" fontId="36" fillId="0" borderId="0" xfId="49" applyFont="1" applyAlignment="1">
      <alignment horizontal="center" vertical="center"/>
    </xf>
    <xf numFmtId="0" fontId="37" fillId="0" borderId="0" xfId="0" applyFont="1">
      <alignment vertical="top" wrapText="1"/>
    </xf>
    <xf numFmtId="0" fontId="37" fillId="0" borderId="0" xfId="0" applyFont="1" applyAlignment="1">
      <alignment horizontal="center" vertical="top" wrapText="1"/>
    </xf>
    <xf numFmtId="0" fontId="38" fillId="0" borderId="41" xfId="0" applyFont="1" applyBorder="1" applyAlignment="1">
      <alignment horizontal="center" vertical="center" wrapText="1"/>
    </xf>
    <xf numFmtId="0" fontId="38" fillId="0" borderId="33" xfId="0" applyFont="1" applyBorder="1" applyAlignment="1">
      <alignment horizontal="center" vertical="center" wrapText="1"/>
    </xf>
    <xf numFmtId="0" fontId="37" fillId="0" borderId="0" xfId="0" applyFont="1" applyAlignment="1">
      <alignment wrapText="1"/>
    </xf>
    <xf numFmtId="0" fontId="38" fillId="0" borderId="42" xfId="0" applyFont="1" applyBorder="1" applyAlignment="1">
      <alignment horizontal="center" vertical="center" wrapText="1"/>
    </xf>
    <xf numFmtId="0" fontId="38" fillId="0" borderId="0" xfId="0" applyFont="1" applyAlignment="1">
      <alignment horizontal="center" vertical="center" wrapText="1"/>
    </xf>
    <xf numFmtId="0" fontId="38" fillId="0" borderId="43" xfId="0" applyFont="1" applyBorder="1" applyAlignment="1">
      <alignment horizontal="center" vertical="center" wrapText="1"/>
    </xf>
    <xf numFmtId="0" fontId="38" fillId="0" borderId="33" xfId="0" applyFont="1" applyBorder="1" applyAlignment="1">
      <alignment horizontal="center" vertical="center"/>
    </xf>
    <xf numFmtId="0" fontId="39" fillId="0" borderId="0" xfId="0" applyFont="1" applyAlignment="1">
      <alignment horizontal="center" vertical="top" wrapText="1"/>
    </xf>
    <xf numFmtId="0" fontId="40" fillId="0" borderId="33" xfId="0" applyFont="1" applyBorder="1" applyAlignment="1">
      <alignment horizontal="center" vertical="center" wrapText="1"/>
    </xf>
    <xf numFmtId="0" fontId="41" fillId="0" borderId="0" xfId="0" applyFont="1">
      <alignment vertical="top" wrapText="1"/>
    </xf>
    <xf numFmtId="0" fontId="41" fillId="0" borderId="0" xfId="0" applyFont="1" applyAlignment="1">
      <alignment horizontal="center" vertical="top" wrapText="1"/>
    </xf>
    <xf numFmtId="0" fontId="42" fillId="0" borderId="41" xfId="0" applyFont="1" applyBorder="1" applyAlignment="1">
      <alignment horizontal="center" vertical="center" wrapText="1"/>
    </xf>
    <xf numFmtId="0" fontId="42" fillId="0" borderId="33" xfId="0" applyFont="1" applyBorder="1" applyAlignment="1">
      <alignment horizontal="center" vertical="center" wrapText="1"/>
    </xf>
    <xf numFmtId="0" fontId="41" fillId="0" borderId="0" xfId="0" applyFont="1" applyAlignment="1">
      <alignment wrapText="1"/>
    </xf>
    <xf numFmtId="0" fontId="42" fillId="0" borderId="42" xfId="0" applyFont="1" applyBorder="1" applyAlignment="1">
      <alignment horizontal="center" vertical="center" wrapText="1"/>
    </xf>
    <xf numFmtId="0" fontId="42" fillId="0" borderId="0" xfId="0" applyFont="1" applyAlignment="1">
      <alignment horizontal="center" vertical="center" wrapText="1"/>
    </xf>
    <xf numFmtId="0" fontId="42" fillId="0" borderId="43" xfId="0" applyFont="1" applyBorder="1" applyAlignment="1">
      <alignment horizontal="center" vertical="center" wrapText="1"/>
    </xf>
    <xf numFmtId="0" fontId="42" fillId="0" borderId="33" xfId="0" applyFont="1" applyBorder="1" applyAlignment="1">
      <alignment horizontal="center" vertical="center"/>
    </xf>
    <xf numFmtId="0" fontId="41" fillId="0" borderId="0" xfId="0" applyFont="1" applyAlignment="1">
      <alignment horizontal="center" vertical="center" wrapText="1"/>
    </xf>
    <xf numFmtId="0" fontId="42" fillId="0" borderId="0" xfId="0" applyFont="1" applyAlignment="1">
      <alignment horizontal="center"/>
    </xf>
    <xf numFmtId="0" fontId="41" fillId="0" borderId="0" xfId="0" applyFont="1" applyAlignment="1">
      <alignment horizontal="center" vertical="center" wrapText="1"/>
    </xf>
    <xf numFmtId="0" fontId="43" fillId="0" borderId="33" xfId="0" applyFont="1" applyBorder="1" applyAlignment="1">
      <alignment horizontal="center" vertical="center" wrapText="1"/>
    </xf>
    <xf numFmtId="0" fontId="43" fillId="0" borderId="44" xfId="0" applyFont="1" applyBorder="1" applyAlignment="1">
      <alignment horizontal="center" vertical="center" wrapText="1"/>
    </xf>
    <xf numFmtId="0" fontId="43" fillId="0" borderId="41" xfId="0" applyFont="1" applyBorder="1" applyAlignment="1">
      <alignment horizontal="center" vertical="center" wrapText="1"/>
    </xf>
    <xf numFmtId="0" fontId="43" fillId="0" borderId="40" xfId="0" applyFont="1" applyBorder="1" applyAlignment="1">
      <alignment horizontal="center" vertical="center" wrapText="1"/>
    </xf>
    <xf numFmtId="0" fontId="43" fillId="0" borderId="42" xfId="0" applyFont="1" applyBorder="1" applyAlignment="1">
      <alignment horizontal="center" vertical="center" wrapText="1"/>
    </xf>
    <xf numFmtId="0" fontId="43" fillId="0" borderId="43" xfId="0" applyFont="1" applyBorder="1" applyAlignment="1">
      <alignment horizontal="center" vertical="center" wrapText="1"/>
    </xf>
    <xf numFmtId="0" fontId="42" fillId="0" borderId="40" xfId="0" applyFont="1" applyBorder="1" applyAlignment="1">
      <alignment horizontal="center" vertical="center" wrapText="1"/>
    </xf>
    <xf numFmtId="49" fontId="44" fillId="6" borderId="10" xfId="0" applyNumberFormat="1" applyFont="1" applyFill="1" applyBorder="1" applyAlignment="1">
      <alignment horizontal="center" vertical="center"/>
    </xf>
    <xf numFmtId="49" fontId="44" fillId="6" borderId="5" xfId="0" applyNumberFormat="1" applyFont="1" applyFill="1" applyBorder="1" applyAlignment="1">
      <alignment horizontal="center" vertical="center"/>
    </xf>
    <xf numFmtId="0" fontId="44" fillId="6" borderId="5" xfId="0" applyFont="1" applyFill="1" applyBorder="1" applyAlignment="1">
      <alignment horizontal="center" vertical="center"/>
    </xf>
    <xf numFmtId="0" fontId="44" fillId="6" borderId="6" xfId="0" applyFont="1" applyFill="1" applyBorder="1" applyAlignment="1">
      <alignment horizontal="center" vertical="center"/>
    </xf>
    <xf numFmtId="0" fontId="24" fillId="2" borderId="0" xfId="0" applyFont="1" applyFill="1" applyBorder="1" applyAlignment="1">
      <alignment horizontal="center" vertical="center"/>
    </xf>
    <xf numFmtId="0" fontId="23" fillId="2" borderId="0" xfId="0" applyNumberFormat="1" applyFont="1" applyFill="1" applyBorder="1" applyAlignment="1">
      <alignment horizontal="center" vertical="center"/>
    </xf>
    <xf numFmtId="49" fontId="10" fillId="2" borderId="17" xfId="0" applyNumberFormat="1" applyFont="1" applyFill="1" applyBorder="1" applyAlignment="1">
      <alignment horizontal="center" vertical="center" wrapText="1"/>
    </xf>
    <xf numFmtId="0" fontId="0" fillId="2" borderId="17" xfId="0" applyFill="1" applyBorder="1" applyAlignment="1">
      <alignment vertical="center" wrapText="1"/>
    </xf>
    <xf numFmtId="0" fontId="0" fillId="2" borderId="45" xfId="0" applyFill="1" applyBorder="1" applyAlignment="1">
      <alignment vertical="center" wrapText="1"/>
    </xf>
    <xf numFmtId="0" fontId="10" fillId="2" borderId="17" xfId="0" applyFont="1" applyFill="1" applyBorder="1" applyAlignment="1">
      <alignment horizontal="center" vertical="center" wrapText="1"/>
    </xf>
    <xf numFmtId="49" fontId="10" fillId="5" borderId="17" xfId="0" applyNumberFormat="1" applyFont="1" applyFill="1" applyBorder="1" applyAlignment="1">
      <alignment horizontal="center" vertical="center" wrapText="1"/>
    </xf>
    <xf numFmtId="49" fontId="10" fillId="7" borderId="17" xfId="0" applyNumberFormat="1" applyFont="1" applyFill="1" applyBorder="1" applyAlignment="1">
      <alignment horizontal="center" vertical="center" wrapText="1"/>
    </xf>
    <xf numFmtId="0" fontId="10" fillId="2" borderId="17" xfId="0" applyNumberFormat="1" applyFont="1" applyFill="1" applyBorder="1" applyAlignment="1">
      <alignment horizontal="center" vertical="center" wrapText="1"/>
    </xf>
    <xf numFmtId="49" fontId="11" fillId="2" borderId="17" xfId="0" applyNumberFormat="1" applyFont="1" applyFill="1" applyBorder="1" applyAlignment="1">
      <alignment horizontal="center" vertical="center" wrapText="1"/>
    </xf>
    <xf numFmtId="49" fontId="10" fillId="2" borderId="24" xfId="0" applyNumberFormat="1" applyFont="1" applyFill="1" applyBorder="1" applyAlignment="1">
      <alignment horizontal="center" vertical="center" wrapText="1"/>
    </xf>
    <xf numFmtId="49" fontId="10" fillId="2" borderId="46" xfId="0" applyNumberFormat="1" applyFont="1" applyFill="1" applyBorder="1" applyAlignment="1">
      <alignment horizontal="center" vertical="center" wrapText="1"/>
    </xf>
    <xf numFmtId="49" fontId="10" fillId="2" borderId="28" xfId="0" applyNumberFormat="1" applyFont="1" applyFill="1" applyBorder="1" applyAlignment="1">
      <alignment horizontal="center" vertical="center" wrapText="1"/>
    </xf>
    <xf numFmtId="49" fontId="10" fillId="2" borderId="47" xfId="0" applyNumberFormat="1" applyFont="1" applyFill="1" applyBorder="1" applyAlignment="1">
      <alignment horizontal="center" vertical="center" wrapText="1"/>
    </xf>
    <xf numFmtId="49" fontId="10" fillId="2" borderId="30" xfId="0" applyNumberFormat="1" applyFont="1" applyFill="1" applyBorder="1" applyAlignment="1">
      <alignment horizontal="center" vertical="center" wrapText="1"/>
    </xf>
    <xf numFmtId="0" fontId="10" fillId="2" borderId="1" xfId="0" applyFont="1" applyFill="1" applyBorder="1" applyAlignment="1">
      <alignment vertical="center" wrapText="1"/>
    </xf>
    <xf numFmtId="0" fontId="10" fillId="7" borderId="17" xfId="0" applyFont="1" applyFill="1" applyBorder="1" applyAlignment="1">
      <alignment horizontal="center" vertical="center" wrapText="1"/>
    </xf>
    <xf numFmtId="0" fontId="0" fillId="2" borderId="48" xfId="0" applyFill="1" applyBorder="1" applyAlignment="1">
      <alignment vertical="center" wrapText="1"/>
    </xf>
    <xf numFmtId="0" fontId="0" fillId="2" borderId="15" xfId="0" applyFill="1" applyBorder="1" applyAlignment="1">
      <alignment vertical="center" wrapText="1"/>
    </xf>
    <xf numFmtId="49" fontId="15" fillId="2" borderId="17" xfId="0" applyNumberFormat="1" applyFont="1" applyFill="1" applyBorder="1" applyAlignment="1">
      <alignment horizontal="center" vertical="center" wrapText="1"/>
    </xf>
    <xf numFmtId="0" fontId="10" fillId="2" borderId="49" xfId="0" applyFont="1" applyFill="1" applyBorder="1" applyAlignment="1">
      <alignment horizontal="center" vertical="center" wrapText="1"/>
    </xf>
    <xf numFmtId="0" fontId="0" fillId="2" borderId="50" xfId="0" applyFill="1" applyBorder="1" applyAlignment="1">
      <alignment vertical="center" wrapText="1"/>
    </xf>
    <xf numFmtId="49" fontId="10" fillId="0" borderId="17" xfId="0" applyNumberFormat="1" applyFont="1" applyFill="1" applyBorder="1" applyAlignment="1">
      <alignment horizontal="center" vertical="center" wrapText="1"/>
    </xf>
    <xf numFmtId="49" fontId="15" fillId="0" borderId="17" xfId="0" applyNumberFormat="1" applyFont="1" applyFill="1" applyBorder="1" applyAlignment="1">
      <alignment horizontal="center" vertical="center" wrapText="1"/>
    </xf>
    <xf numFmtId="0" fontId="45" fillId="0" borderId="45" xfId="0" applyFont="1" applyFill="1" applyBorder="1" applyAlignment="1">
      <alignment vertical="center" wrapText="1"/>
    </xf>
    <xf numFmtId="49" fontId="15" fillId="3" borderId="17" xfId="0" applyNumberFormat="1" applyFont="1" applyFill="1" applyBorder="1" applyAlignment="1">
      <alignment horizontal="center" vertical="center" wrapText="1"/>
    </xf>
    <xf numFmtId="0" fontId="0" fillId="2" borderId="20" xfId="0" applyFill="1" applyBorder="1" applyAlignment="1">
      <alignment vertical="center" wrapText="1"/>
    </xf>
    <xf numFmtId="49" fontId="15" fillId="0" borderId="50" xfId="0" applyNumberFormat="1" applyFont="1" applyFill="1" applyBorder="1" applyAlignment="1">
      <alignment horizontal="center" vertical="center" wrapText="1"/>
    </xf>
    <xf numFmtId="49" fontId="10" fillId="4" borderId="17" xfId="0" applyNumberFormat="1" applyFont="1" applyFill="1" applyBorder="1" applyAlignment="1">
      <alignment horizontal="center" vertical="center" wrapText="1"/>
    </xf>
    <xf numFmtId="49" fontId="10" fillId="3" borderId="17" xfId="0" applyNumberFormat="1" applyFont="1" applyFill="1" applyBorder="1" applyAlignment="1">
      <alignment horizontal="center" vertical="center" wrapText="1"/>
    </xf>
    <xf numFmtId="49" fontId="13" fillId="2" borderId="20" xfId="0" applyNumberFormat="1" applyFont="1" applyFill="1" applyBorder="1" applyAlignment="1">
      <alignment horizontal="center" vertical="center" wrapText="1"/>
    </xf>
    <xf numFmtId="49" fontId="10" fillId="2" borderId="51" xfId="0" applyNumberFormat="1" applyFont="1" applyFill="1" applyBorder="1" applyAlignment="1">
      <alignment horizontal="center" vertical="center" wrapText="1"/>
    </xf>
    <xf numFmtId="0" fontId="10" fillId="2" borderId="52" xfId="0" applyFont="1" applyFill="1" applyBorder="1" applyAlignment="1">
      <alignment horizontal="center" vertical="center" wrapText="1"/>
    </xf>
    <xf numFmtId="0" fontId="10" fillId="2" borderId="53" xfId="0" applyFont="1" applyFill="1" applyBorder="1" applyAlignment="1">
      <alignment horizontal="center" vertical="center" wrapText="1"/>
    </xf>
    <xf numFmtId="0" fontId="10" fillId="2" borderId="54" xfId="0" applyFont="1" applyFill="1" applyBorder="1" applyAlignment="1">
      <alignment horizontal="center" vertical="center" wrapText="1"/>
    </xf>
    <xf numFmtId="0" fontId="10" fillId="2" borderId="55" xfId="0" applyFont="1" applyFill="1" applyBorder="1" applyAlignment="1">
      <alignment horizontal="center" vertical="center" wrapText="1"/>
    </xf>
    <xf numFmtId="0" fontId="10" fillId="2" borderId="56" xfId="0" applyFont="1" applyFill="1" applyBorder="1" applyAlignment="1">
      <alignment horizontal="center" vertical="center" wrapText="1"/>
    </xf>
    <xf numFmtId="0" fontId="0" fillId="2" borderId="57" xfId="0" applyFill="1" applyBorder="1" applyAlignment="1">
      <alignment vertical="center" wrapText="1"/>
    </xf>
    <xf numFmtId="0" fontId="0" fillId="2" borderId="58" xfId="0" applyFill="1" applyBorder="1" applyAlignment="1">
      <alignment vertical="center" wrapText="1"/>
    </xf>
    <xf numFmtId="0" fontId="15" fillId="3" borderId="17" xfId="0" applyNumberFormat="1" applyFont="1" applyFill="1" applyBorder="1" applyAlignment="1">
      <alignment horizontal="center" vertical="center" wrapText="1"/>
    </xf>
    <xf numFmtId="0" fontId="15" fillId="2" borderId="17" xfId="0" applyFont="1" applyFill="1" applyBorder="1" applyAlignment="1">
      <alignment horizontal="center" vertical="center" wrapText="1"/>
    </xf>
    <xf numFmtId="49" fontId="46" fillId="2" borderId="1" xfId="0" applyNumberFormat="1" applyFont="1" applyFill="1" applyBorder="1" applyAlignment="1">
      <alignment horizontal="center" vertical="center" wrapText="1"/>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 name="常规 3" xfId="50"/>
  </cellStyles>
  <dxfs count="1">
    <dxf>
      <fill>
        <patternFill patternType="solid">
          <fgColor rgb="FF92D050"/>
          <bgColor rgb="FF000000"/>
        </patternFill>
      </fill>
    </dxf>
  </dxfs>
  <tableStyles count="0"/>
  <colors>
    <indexedColors>
      <rgbColor rgb="00000000"/>
      <rgbColor rgb="00FFFFFF"/>
      <rgbColor rgb="00FF0000"/>
      <rgbColor rgb="0000FF00"/>
      <rgbColor rgb="000000FF"/>
      <rgbColor rgb="00FFFF00"/>
      <rgbColor rgb="00FF00FF"/>
      <rgbColor rgb="0000FFFF"/>
      <rgbColor rgb="00000000"/>
      <rgbColor rgb="00FFFFFF"/>
      <rgbColor rgb="00AAAAAA"/>
      <rgbColor rgb="00FEFB41"/>
      <rgbColor rgb="0092D050"/>
      <rgbColor rgb="00FF4015"/>
      <rgbColor rgb="00E22400"/>
      <rgbColor rgb="00FFFF00"/>
      <rgbColor rgb="00FFF76B"/>
      <rgbColor rgb="00666699"/>
      <rgbColor rgb="00FF0000"/>
      <rgbColor rgb="00FFC000"/>
      <rgbColor rgb="00D5D5D5"/>
      <rgbColor rgb="00D6D6D6"/>
      <rgbColor rgb="00EAF28F"/>
      <rgbColor rgb="00969696"/>
      <rgbColor rgb="00A5A5A5"/>
      <rgbColor rgb="00DBDBDB"/>
      <rgbColor rgb="003F3F3F"/>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8" Type="http://schemas.openxmlformats.org/officeDocument/2006/relationships/styles" Target="styles.xml"/><Relationship Id="rId17" Type="http://schemas.openxmlformats.org/officeDocument/2006/relationships/sharedStrings" Target="sharedStrings.xml"/><Relationship Id="rId16" Type="http://schemas.openxmlformats.org/officeDocument/2006/relationships/theme" Target="theme/theme1.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Blank">
  <a:themeElements>
    <a:clrScheme name="Blank">
      <a:dk1>
        <a:srgbClr val="000000"/>
      </a:dk1>
      <a:lt1>
        <a:srgbClr val="FFFFFF"/>
      </a:lt1>
      <a:dk2>
        <a:srgbClr val="A7A7A7"/>
      </a:dk2>
      <a:lt2>
        <a:srgbClr val="535353"/>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spPr>
      <a:bodyPr rot="0" spcFirstLastPara="1" vertOverflow="overflow" horzOverflow="overflow" vert="horz" wrap="square" lIns="50800" tIns="50800" rIns="50800" bIns="50800"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panose="02000503000000020004"/>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spPr>
      <a:bodyPr rot="0" spcFirstLastPara="1" vertOverflow="overflow" horzOverflow="overflow" vert="horz" wrap="square" lIns="50800" tIns="50800" rIns="50800" bIns="50800"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panose="02000503000000020004"/>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9"/>
  <sheetViews>
    <sheetView showGridLines="0" zoomScale="136" zoomScaleNormal="136" workbookViewId="0">
      <selection activeCell="C15" sqref="C15"/>
    </sheetView>
  </sheetViews>
  <sheetFormatPr defaultColWidth="8.83035714285714" defaultRowHeight="13" customHeight="1" outlineLevelCol="7"/>
  <cols>
    <col min="1" max="1" width="10.1607142857143" style="1" customWidth="1"/>
    <col min="2" max="2" width="76.8303571428571" style="1" customWidth="1"/>
    <col min="3" max="3" width="41.5" style="1" customWidth="1"/>
    <col min="4" max="5" width="8.83035714285714" style="1" customWidth="1"/>
    <col min="6" max="6" width="65.1607142857143" style="1" customWidth="1"/>
    <col min="7" max="7" width="8.83035714285714" style="1" customWidth="1"/>
    <col min="8" max="8" width="10.6607142857143" style="1" customWidth="1"/>
    <col min="9" max="9" width="8.83035714285714" style="1" customWidth="1"/>
    <col min="10" max="16384" width="8.83035714285714" style="1"/>
  </cols>
  <sheetData>
    <row r="1" ht="19" customHeight="1" spans="1:8">
      <c r="A1" s="254" t="s">
        <v>0</v>
      </c>
      <c r="B1" s="255"/>
      <c r="C1" s="256"/>
      <c r="D1" s="255"/>
      <c r="E1" s="255"/>
      <c r="F1" s="255"/>
      <c r="G1" s="269"/>
      <c r="H1" s="2"/>
    </row>
    <row r="2" ht="35" customHeight="1" spans="1:8">
      <c r="A2" s="257"/>
      <c r="B2" s="258" t="s">
        <v>1</v>
      </c>
      <c r="C2" s="256"/>
      <c r="D2" s="257"/>
      <c r="E2" s="257"/>
      <c r="F2" s="257"/>
      <c r="G2" s="269"/>
      <c r="H2" s="2"/>
    </row>
    <row r="3" ht="19" customHeight="1" spans="1:8">
      <c r="A3" s="259" t="s">
        <v>2</v>
      </c>
      <c r="B3" s="259" t="s">
        <v>3</v>
      </c>
      <c r="C3" s="256"/>
      <c r="D3" s="257"/>
      <c r="E3" s="254" t="s">
        <v>4</v>
      </c>
      <c r="F3" s="254" t="s">
        <v>5</v>
      </c>
      <c r="G3" s="269"/>
      <c r="H3" s="2"/>
    </row>
    <row r="4" ht="14" customHeight="1" spans="1:8">
      <c r="A4" s="260">
        <v>1</v>
      </c>
      <c r="B4" s="261" t="s">
        <v>6</v>
      </c>
      <c r="C4" s="256"/>
      <c r="D4" s="262" t="s">
        <v>7</v>
      </c>
      <c r="E4" s="254" t="s">
        <v>8</v>
      </c>
      <c r="F4" s="281" t="s">
        <v>9</v>
      </c>
      <c r="G4" s="269"/>
      <c r="H4" s="2"/>
    </row>
    <row r="5" ht="14" customHeight="1" spans="1:8">
      <c r="A5" s="260">
        <v>2</v>
      </c>
      <c r="B5" s="254" t="s">
        <v>10</v>
      </c>
      <c r="C5" s="256"/>
      <c r="D5" s="263"/>
      <c r="E5" s="254" t="s">
        <v>11</v>
      </c>
      <c r="F5" s="254" t="s">
        <v>12</v>
      </c>
      <c r="G5" s="269"/>
      <c r="H5" s="2"/>
    </row>
    <row r="6" ht="27.75" customHeight="1" spans="1:8">
      <c r="A6" s="260">
        <v>3</v>
      </c>
      <c r="B6" s="254" t="s">
        <v>13</v>
      </c>
      <c r="C6" s="256"/>
      <c r="D6" s="263"/>
      <c r="E6" s="254" t="s">
        <v>14</v>
      </c>
      <c r="F6" s="254" t="s">
        <v>15</v>
      </c>
      <c r="G6" s="269"/>
      <c r="H6" s="2"/>
    </row>
    <row r="7" ht="14" customHeight="1" spans="1:8">
      <c r="A7" s="260">
        <v>4</v>
      </c>
      <c r="B7" s="254" t="s">
        <v>16</v>
      </c>
      <c r="C7" s="256"/>
      <c r="D7" s="263"/>
      <c r="E7" s="254" t="s">
        <v>17</v>
      </c>
      <c r="F7" s="254" t="s">
        <v>18</v>
      </c>
      <c r="G7" s="269"/>
      <c r="H7" s="2"/>
    </row>
    <row r="8" ht="14" customHeight="1" spans="1:8">
      <c r="A8" s="260">
        <v>5</v>
      </c>
      <c r="B8" s="254" t="s">
        <v>19</v>
      </c>
      <c r="C8" s="256"/>
      <c r="D8" s="263"/>
      <c r="E8" s="254" t="s">
        <v>20</v>
      </c>
      <c r="F8" s="254" t="s">
        <v>21</v>
      </c>
      <c r="G8" s="269"/>
      <c r="H8" s="2"/>
    </row>
    <row r="9" ht="14" customHeight="1" spans="1:8">
      <c r="A9" s="260">
        <v>6</v>
      </c>
      <c r="B9" s="254" t="s">
        <v>22</v>
      </c>
      <c r="C9" s="256"/>
      <c r="D9" s="263"/>
      <c r="E9" s="254" t="s">
        <v>23</v>
      </c>
      <c r="F9" s="254" t="s">
        <v>24</v>
      </c>
      <c r="G9" s="269"/>
      <c r="H9" s="2"/>
    </row>
    <row r="10" ht="30" customHeight="1" spans="1:8">
      <c r="A10" s="260">
        <v>7</v>
      </c>
      <c r="B10" s="254" t="s">
        <v>25</v>
      </c>
      <c r="C10" s="256"/>
      <c r="D10" s="263"/>
      <c r="E10" s="254" t="s">
        <v>26</v>
      </c>
      <c r="F10" s="254" t="s">
        <v>27</v>
      </c>
      <c r="G10" s="269"/>
      <c r="H10" s="2"/>
    </row>
    <row r="11" ht="25" customHeight="1" spans="1:8">
      <c r="A11" s="260">
        <v>8</v>
      </c>
      <c r="B11" s="254" t="s">
        <v>28</v>
      </c>
      <c r="C11" s="256"/>
      <c r="D11" s="263"/>
      <c r="E11" s="282" t="s">
        <v>29</v>
      </c>
      <c r="F11" s="282" t="s">
        <v>30</v>
      </c>
      <c r="G11" s="269"/>
      <c r="H11" s="2"/>
    </row>
    <row r="12" ht="14" customHeight="1" spans="1:8">
      <c r="A12" s="260">
        <v>9</v>
      </c>
      <c r="B12" s="254" t="s">
        <v>31</v>
      </c>
      <c r="C12" s="256"/>
      <c r="D12" s="263"/>
      <c r="E12" s="254" t="s">
        <v>32</v>
      </c>
      <c r="F12" s="254" t="s">
        <v>33</v>
      </c>
      <c r="G12" s="269"/>
      <c r="H12" s="2"/>
    </row>
    <row r="13" ht="14" customHeight="1" spans="1:8">
      <c r="A13" s="260">
        <v>10</v>
      </c>
      <c r="B13" s="254" t="s">
        <v>34</v>
      </c>
      <c r="C13" s="256"/>
      <c r="D13" s="263"/>
      <c r="E13" s="254" t="s">
        <v>35</v>
      </c>
      <c r="F13" s="254" t="s">
        <v>36</v>
      </c>
      <c r="G13" s="269"/>
      <c r="H13" s="2"/>
    </row>
    <row r="14" ht="14" customHeight="1" spans="1:8">
      <c r="A14" s="260">
        <v>11</v>
      </c>
      <c r="B14" s="264" t="s">
        <v>37</v>
      </c>
      <c r="C14" s="256"/>
      <c r="D14" s="265"/>
      <c r="E14" s="254" t="s">
        <v>38</v>
      </c>
      <c r="F14" s="254" t="s">
        <v>39</v>
      </c>
      <c r="G14" s="269"/>
      <c r="H14" s="2"/>
    </row>
    <row r="15" ht="14" customHeight="1" spans="1:8">
      <c r="A15" s="260"/>
      <c r="B15" s="266"/>
      <c r="C15" s="2"/>
      <c r="D15" s="267"/>
      <c r="E15" s="2"/>
      <c r="F15" s="2"/>
      <c r="G15" s="2"/>
      <c r="H15" s="2"/>
    </row>
    <row r="16" ht="19" customHeight="1" spans="1:8">
      <c r="A16" s="259" t="s">
        <v>28</v>
      </c>
      <c r="B16" s="268"/>
      <c r="C16" s="269"/>
      <c r="D16" s="2"/>
      <c r="E16" s="2"/>
      <c r="F16" s="2"/>
      <c r="G16" s="2"/>
      <c r="H16" s="2"/>
    </row>
    <row r="17" ht="14" customHeight="1" spans="1:8">
      <c r="A17" s="254" t="s">
        <v>40</v>
      </c>
      <c r="B17" s="254" t="s">
        <v>41</v>
      </c>
      <c r="C17" s="269"/>
      <c r="D17" s="270"/>
      <c r="E17" s="270"/>
      <c r="F17" s="270"/>
      <c r="G17" s="2"/>
      <c r="H17" s="2"/>
    </row>
    <row r="18" ht="58" customHeight="1" spans="1:8">
      <c r="A18" s="254" t="s">
        <v>42</v>
      </c>
      <c r="B18" s="254" t="s">
        <v>43</v>
      </c>
      <c r="C18" s="256"/>
      <c r="D18" s="254" t="s">
        <v>44</v>
      </c>
      <c r="E18" s="283" t="s">
        <v>45</v>
      </c>
      <c r="F18" s="284"/>
      <c r="G18" s="269"/>
      <c r="H18" s="2"/>
    </row>
    <row r="19" ht="48" customHeight="1" spans="1:8">
      <c r="A19" s="254" t="s">
        <v>46</v>
      </c>
      <c r="B19" s="254" t="s">
        <v>47</v>
      </c>
      <c r="D19" s="257"/>
      <c r="E19" s="285"/>
      <c r="F19" s="286"/>
      <c r="G19" s="269"/>
      <c r="H19" s="2"/>
    </row>
    <row r="20" ht="15" customHeight="1" spans="1:8">
      <c r="A20" s="254" t="s">
        <v>8</v>
      </c>
      <c r="B20" s="271" t="s">
        <v>48</v>
      </c>
      <c r="D20" s="272"/>
      <c r="E20" s="287"/>
      <c r="F20" s="288"/>
      <c r="G20" s="289"/>
      <c r="H20" s="290"/>
    </row>
    <row r="21" ht="14" customHeight="1" spans="1:8">
      <c r="A21" s="254" t="s">
        <v>49</v>
      </c>
      <c r="B21" s="254" t="s">
        <v>50</v>
      </c>
      <c r="C21" s="256"/>
      <c r="D21" s="273"/>
      <c r="E21" s="273"/>
      <c r="F21" s="273"/>
      <c r="G21" s="270"/>
      <c r="H21" s="270"/>
    </row>
    <row r="22" ht="19" customHeight="1" spans="1:8">
      <c r="A22" s="254" t="s">
        <v>51</v>
      </c>
      <c r="B22" s="274" t="s">
        <v>52</v>
      </c>
      <c r="C22" s="256"/>
      <c r="D22" s="254" t="s">
        <v>53</v>
      </c>
      <c r="E22" s="254" t="s">
        <v>54</v>
      </c>
      <c r="F22" s="254" t="s">
        <v>55</v>
      </c>
      <c r="G22" s="254" t="s">
        <v>56</v>
      </c>
      <c r="H22" s="254" t="s">
        <v>57</v>
      </c>
    </row>
    <row r="23" ht="14" customHeight="1" spans="1:8">
      <c r="A23" s="254" t="s">
        <v>58</v>
      </c>
      <c r="B23" s="254" t="s">
        <v>59</v>
      </c>
      <c r="C23" s="256"/>
      <c r="D23" s="254" t="s">
        <v>28</v>
      </c>
      <c r="E23" s="260">
        <v>16</v>
      </c>
      <c r="F23" s="260">
        <v>200</v>
      </c>
      <c r="G23" s="254" t="s">
        <v>60</v>
      </c>
      <c r="H23" s="260">
        <v>20</v>
      </c>
    </row>
    <row r="24" ht="19" customHeight="1" spans="1:8">
      <c r="A24" s="254" t="s">
        <v>61</v>
      </c>
      <c r="B24" s="274" t="s">
        <v>62</v>
      </c>
      <c r="C24" s="256"/>
      <c r="D24" s="254" t="s">
        <v>63</v>
      </c>
      <c r="E24" s="260">
        <v>18</v>
      </c>
      <c r="F24" s="260">
        <v>220</v>
      </c>
      <c r="G24" s="291">
        <v>26</v>
      </c>
      <c r="H24" s="260">
        <v>20</v>
      </c>
    </row>
    <row r="25" ht="14" customHeight="1" spans="1:8">
      <c r="A25" s="254" t="s">
        <v>64</v>
      </c>
      <c r="B25" s="254" t="s">
        <v>65</v>
      </c>
      <c r="C25" s="256"/>
      <c r="D25" s="254" t="s">
        <v>66</v>
      </c>
      <c r="E25" s="260">
        <v>18</v>
      </c>
      <c r="F25" s="260">
        <v>240</v>
      </c>
      <c r="G25" s="260">
        <v>26</v>
      </c>
      <c r="H25" s="260">
        <v>20</v>
      </c>
    </row>
    <row r="26" ht="107" customHeight="1" spans="1:8">
      <c r="A26" s="254" t="s">
        <v>67</v>
      </c>
      <c r="B26" s="275" t="s">
        <v>68</v>
      </c>
      <c r="C26" s="276" t="s">
        <v>69</v>
      </c>
      <c r="D26" s="254" t="s">
        <v>70</v>
      </c>
      <c r="E26" s="260">
        <v>20</v>
      </c>
      <c r="F26" s="260">
        <v>260</v>
      </c>
      <c r="G26" s="260">
        <v>28</v>
      </c>
      <c r="H26" s="260">
        <v>20</v>
      </c>
    </row>
    <row r="27" ht="84" customHeight="1" spans="1:8">
      <c r="A27" s="254" t="s">
        <v>71</v>
      </c>
      <c r="B27" s="277" t="s">
        <v>72</v>
      </c>
      <c r="C27" s="256"/>
      <c r="D27" s="254" t="s">
        <v>73</v>
      </c>
      <c r="E27" s="260">
        <v>22</v>
      </c>
      <c r="F27" s="260">
        <v>280</v>
      </c>
      <c r="G27" s="292" t="s">
        <v>60</v>
      </c>
      <c r="H27" s="257"/>
    </row>
    <row r="28" ht="72" customHeight="1" spans="1:8">
      <c r="A28" s="254" t="s">
        <v>74</v>
      </c>
      <c r="B28" s="274" t="s">
        <v>75</v>
      </c>
      <c r="C28" s="2"/>
      <c r="D28" s="278"/>
      <c r="E28" s="278"/>
      <c r="F28" s="278"/>
      <c r="G28" s="278"/>
      <c r="H28" s="278"/>
    </row>
    <row r="29" ht="19" customHeight="1" spans="1:8">
      <c r="A29" s="259" t="s">
        <v>31</v>
      </c>
      <c r="B29" s="268"/>
      <c r="C29" s="269"/>
      <c r="D29" s="2"/>
      <c r="E29" s="2"/>
      <c r="F29" s="2"/>
      <c r="G29" s="2"/>
      <c r="H29" s="2"/>
    </row>
    <row r="30" ht="27.75" customHeight="1" spans="1:8">
      <c r="A30" s="254" t="s">
        <v>40</v>
      </c>
      <c r="B30" s="275" t="s">
        <v>76</v>
      </c>
      <c r="C30" s="269"/>
      <c r="D30" s="2"/>
      <c r="E30" s="2"/>
      <c r="F30" s="2"/>
      <c r="G30" s="2"/>
      <c r="H30" s="2"/>
    </row>
    <row r="31" ht="125.25" customHeight="1" spans="1:8">
      <c r="A31" s="254" t="s">
        <v>53</v>
      </c>
      <c r="B31" s="274" t="s">
        <v>77</v>
      </c>
      <c r="C31" s="269"/>
      <c r="D31" s="2"/>
      <c r="E31" s="2"/>
      <c r="F31" s="293" t="s">
        <v>78</v>
      </c>
      <c r="G31" s="2"/>
      <c r="H31" s="2"/>
    </row>
    <row r="32" ht="67.75" customHeight="1" spans="1:8">
      <c r="A32" s="254" t="s">
        <v>79</v>
      </c>
      <c r="B32" s="274" t="s">
        <v>80</v>
      </c>
      <c r="C32" s="269"/>
      <c r="D32" s="2"/>
      <c r="E32" s="2"/>
      <c r="F32" s="2"/>
      <c r="G32" s="2"/>
      <c r="H32" s="2"/>
    </row>
    <row r="33" ht="14" customHeight="1" spans="1:8">
      <c r="A33" s="254" t="s">
        <v>81</v>
      </c>
      <c r="B33" s="254" t="s">
        <v>82</v>
      </c>
      <c r="C33" s="269"/>
      <c r="D33" s="2"/>
      <c r="E33" s="2"/>
      <c r="F33" s="2"/>
      <c r="G33" s="2"/>
      <c r="H33" s="2"/>
    </row>
    <row r="34" ht="85" customHeight="1" spans="1:8">
      <c r="A34" s="254" t="s">
        <v>83</v>
      </c>
      <c r="B34" s="254" t="s">
        <v>84</v>
      </c>
      <c r="C34" s="269"/>
      <c r="D34" s="2"/>
      <c r="E34" s="2"/>
      <c r="F34" s="2"/>
      <c r="G34" s="2"/>
      <c r="H34" s="2"/>
    </row>
    <row r="35" ht="51" customHeight="1" spans="1:8">
      <c r="A35" s="279" t="s">
        <v>85</v>
      </c>
      <c r="B35" s="279" t="s">
        <v>86</v>
      </c>
      <c r="C35" s="2"/>
      <c r="D35" s="2"/>
      <c r="E35" s="2"/>
      <c r="F35" s="2"/>
      <c r="G35" s="2"/>
      <c r="H35" s="2"/>
    </row>
    <row r="36" ht="21.25" customHeight="1" spans="1:8">
      <c r="A36" s="254" t="s">
        <v>87</v>
      </c>
      <c r="B36" s="254" t="s">
        <v>88</v>
      </c>
      <c r="C36" s="269"/>
      <c r="D36" s="2"/>
      <c r="E36" s="2"/>
      <c r="F36" s="2"/>
      <c r="G36" s="2"/>
      <c r="H36" s="2"/>
    </row>
    <row r="37" ht="14" customHeight="1" spans="1:8">
      <c r="A37" s="254" t="s">
        <v>74</v>
      </c>
      <c r="B37" s="254" t="s">
        <v>89</v>
      </c>
      <c r="C37" s="269"/>
      <c r="D37" s="2"/>
      <c r="E37" s="2"/>
      <c r="F37" s="2"/>
      <c r="G37" s="2"/>
      <c r="H37" s="2"/>
    </row>
    <row r="38" ht="16" customHeight="1" spans="1:8">
      <c r="A38" s="257"/>
      <c r="B38" s="280" t="s">
        <v>90</v>
      </c>
      <c r="C38" s="269"/>
      <c r="D38" s="2"/>
      <c r="E38" s="2"/>
      <c r="F38" s="2"/>
      <c r="G38" s="2"/>
      <c r="H38" s="2"/>
    </row>
    <row r="39" ht="16" customHeight="1" spans="1:8">
      <c r="A39" s="257"/>
      <c r="B39" s="255"/>
      <c r="C39" s="269"/>
      <c r="D39" s="2"/>
      <c r="E39" s="2"/>
      <c r="F39" s="2"/>
      <c r="G39" s="2"/>
      <c r="H39" s="2"/>
    </row>
  </sheetData>
  <mergeCells count="7">
    <mergeCell ref="A1:H1"/>
    <mergeCell ref="B14:B15"/>
    <mergeCell ref="B38:B39"/>
    <mergeCell ref="D4:D14"/>
    <mergeCell ref="D18:D19"/>
    <mergeCell ref="F31:F32"/>
    <mergeCell ref="E18:F19"/>
  </mergeCells>
  <pageMargins left="0.5" right="0.5" top="0.75" bottom="0.75" header="0.277778" footer="0.277778"/>
  <pageSetup paperSize="1" scale="72" orientation="portrait"/>
  <headerFooter>
    <oddFooter>&amp;C&amp;"Helvetica Neue,Regular"&amp;12&amp;K000000&amp;P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X735"/>
  <sheetViews>
    <sheetView showGridLines="0" zoomScale="179" zoomScaleNormal="179" workbookViewId="0">
      <selection activeCell="H6" sqref="H6"/>
    </sheetView>
  </sheetViews>
  <sheetFormatPr defaultColWidth="8.83035714285714" defaultRowHeight="16" customHeight="1"/>
  <cols>
    <col min="1" max="1" width="5.66071428571429" style="1" customWidth="1"/>
    <col min="2" max="2" width="7.66071428571429" style="1" customWidth="1"/>
    <col min="3" max="3" width="4.83035714285714" style="1" customWidth="1"/>
    <col min="4" max="4" width="5.33035714285714" style="1" customWidth="1"/>
    <col min="5" max="6" width="5.16071428571429" style="1" customWidth="1"/>
    <col min="7" max="7" width="5.5" style="1" customWidth="1"/>
    <col min="8" max="8" width="4.5" style="1" customWidth="1"/>
    <col min="9" max="9" width="5.83035714285714" style="1" customWidth="1"/>
    <col min="10" max="10" width="4.83035714285714" style="1" customWidth="1"/>
    <col min="11" max="11" width="4.33035714285714" style="1" customWidth="1"/>
    <col min="12" max="13" width="4.5" style="1" customWidth="1"/>
    <col min="14" max="14" width="4.66071428571429" style="1" customWidth="1"/>
    <col min="15" max="15" width="4.5" style="1" customWidth="1"/>
    <col min="16" max="16" width="4.33035714285714" style="1" customWidth="1"/>
    <col min="17" max="17" width="5.5" style="1" customWidth="1"/>
    <col min="18" max="18" width="7.5" style="1" customWidth="1"/>
    <col min="19" max="19" width="5.5" style="1" customWidth="1"/>
    <col min="20" max="20" width="5.83035714285714" style="1" customWidth="1"/>
    <col min="21" max="21" width="5.5" style="1" customWidth="1"/>
    <col min="22" max="22" width="35.1607142857143" style="1" customWidth="1"/>
    <col min="23" max="23" width="10.3303571428571" style="1" customWidth="1"/>
    <col min="24" max="24" width="23.1607142857143" style="1" customWidth="1"/>
    <col min="25" max="25" width="8.83035714285714" style="1" customWidth="1"/>
    <col min="26" max="16384" width="8.83035714285714" style="1"/>
  </cols>
  <sheetData>
    <row r="1" customHeight="1" spans="1:24">
      <c r="A1" s="248" t="s">
        <v>91</v>
      </c>
      <c r="B1" s="249" t="s">
        <v>92</v>
      </c>
      <c r="C1" s="249" t="s">
        <v>93</v>
      </c>
      <c r="D1" s="249" t="s">
        <v>94</v>
      </c>
      <c r="E1" s="249" t="s">
        <v>95</v>
      </c>
      <c r="F1" s="249" t="s">
        <v>96</v>
      </c>
      <c r="G1" s="249" t="s">
        <v>97</v>
      </c>
      <c r="H1" s="249" t="s">
        <v>98</v>
      </c>
      <c r="I1" s="249" t="s">
        <v>99</v>
      </c>
      <c r="J1" s="249" t="s">
        <v>100</v>
      </c>
      <c r="K1" s="249" t="s">
        <v>101</v>
      </c>
      <c r="L1" s="249" t="s">
        <v>102</v>
      </c>
      <c r="M1" s="249" t="s">
        <v>103</v>
      </c>
      <c r="N1" s="249" t="s">
        <v>104</v>
      </c>
      <c r="O1" s="249" t="s">
        <v>105</v>
      </c>
      <c r="P1" s="249" t="s">
        <v>106</v>
      </c>
      <c r="Q1" s="249" t="s">
        <v>107</v>
      </c>
      <c r="R1" s="249" t="s">
        <v>108</v>
      </c>
      <c r="S1" s="249" t="s">
        <v>109</v>
      </c>
      <c r="T1" s="249" t="s">
        <v>110</v>
      </c>
      <c r="U1" s="249" t="s">
        <v>111</v>
      </c>
      <c r="V1" s="249" t="s">
        <v>112</v>
      </c>
      <c r="W1" s="250"/>
      <c r="X1" s="251"/>
    </row>
    <row r="2" customHeight="1" spans="1:24">
      <c r="A2" s="166">
        <v>681</v>
      </c>
      <c r="B2" s="154" t="s">
        <v>113</v>
      </c>
      <c r="C2" s="144">
        <v>31</v>
      </c>
      <c r="D2" s="145">
        <v>97</v>
      </c>
      <c r="E2" s="145">
        <v>83</v>
      </c>
      <c r="F2" s="145">
        <v>79</v>
      </c>
      <c r="G2" s="145">
        <v>68</v>
      </c>
      <c r="H2" s="145">
        <v>87</v>
      </c>
      <c r="I2" s="145">
        <f>SUM(D2:H2)</f>
        <v>414</v>
      </c>
      <c r="J2" s="145">
        <v>88</v>
      </c>
      <c r="K2" s="147" t="s">
        <v>114</v>
      </c>
      <c r="L2" s="147" t="s">
        <v>115</v>
      </c>
      <c r="M2" s="147" t="s">
        <v>114</v>
      </c>
      <c r="N2" s="147" t="s">
        <v>115</v>
      </c>
      <c r="O2" s="160" t="s">
        <v>116</v>
      </c>
      <c r="P2" s="147" t="s">
        <v>115</v>
      </c>
      <c r="Q2" s="158" t="s">
        <v>117</v>
      </c>
      <c r="R2" s="148" t="s">
        <v>118</v>
      </c>
      <c r="S2" s="148" t="s">
        <v>119</v>
      </c>
      <c r="T2" s="148" t="s">
        <v>120</v>
      </c>
      <c r="U2" s="145">
        <f>D2+E2</f>
        <v>180</v>
      </c>
      <c r="V2" s="172" t="s">
        <v>121</v>
      </c>
      <c r="W2" s="145">
        <f>D2+E2+F2</f>
        <v>259</v>
      </c>
      <c r="X2" s="149"/>
    </row>
    <row r="3" customHeight="1" spans="1:24">
      <c r="A3" s="166">
        <v>119</v>
      </c>
      <c r="B3" s="154" t="s">
        <v>122</v>
      </c>
      <c r="C3" s="144">
        <v>24</v>
      </c>
      <c r="D3" s="145">
        <v>96</v>
      </c>
      <c r="E3" s="145">
        <v>68</v>
      </c>
      <c r="F3" s="145">
        <v>90</v>
      </c>
      <c r="G3" s="145">
        <v>94</v>
      </c>
      <c r="H3" s="145">
        <v>94</v>
      </c>
      <c r="I3" s="145">
        <f>SUM(D3:H3)</f>
        <v>442</v>
      </c>
      <c r="J3" s="145">
        <v>8</v>
      </c>
      <c r="K3" s="147" t="s">
        <v>115</v>
      </c>
      <c r="L3" s="147" t="s">
        <v>115</v>
      </c>
      <c r="M3" s="147" t="s">
        <v>114</v>
      </c>
      <c r="N3" s="147" t="s">
        <v>114</v>
      </c>
      <c r="O3" s="160" t="s">
        <v>123</v>
      </c>
      <c r="P3" s="147" t="s">
        <v>124</v>
      </c>
      <c r="Q3" s="158" t="s">
        <v>125</v>
      </c>
      <c r="R3" s="148" t="s">
        <v>119</v>
      </c>
      <c r="S3" s="148" t="s">
        <v>119</v>
      </c>
      <c r="T3" s="148" t="s">
        <v>126</v>
      </c>
      <c r="U3" s="145">
        <f>D3+E3</f>
        <v>164</v>
      </c>
      <c r="V3" s="148" t="s">
        <v>127</v>
      </c>
      <c r="W3" s="145">
        <f>D3+E3+F3</f>
        <v>254</v>
      </c>
      <c r="X3" s="149"/>
    </row>
    <row r="4" customHeight="1" spans="1:24">
      <c r="A4" s="153">
        <v>486</v>
      </c>
      <c r="B4" s="175" t="s">
        <v>128</v>
      </c>
      <c r="C4" s="144">
        <v>24</v>
      </c>
      <c r="D4" s="145">
        <v>97</v>
      </c>
      <c r="E4" s="145">
        <v>70</v>
      </c>
      <c r="F4" s="145">
        <v>98</v>
      </c>
      <c r="G4" s="145">
        <v>76</v>
      </c>
      <c r="H4" s="145">
        <v>89</v>
      </c>
      <c r="I4" s="145">
        <f>SUM(D4:H4)</f>
        <v>430</v>
      </c>
      <c r="J4" s="145">
        <v>48</v>
      </c>
      <c r="K4" s="147" t="s">
        <v>115</v>
      </c>
      <c r="L4" s="147" t="s">
        <v>114</v>
      </c>
      <c r="M4" s="147" t="s">
        <v>114</v>
      </c>
      <c r="N4" s="147" t="s">
        <v>115</v>
      </c>
      <c r="O4" s="160" t="s">
        <v>123</v>
      </c>
      <c r="P4" s="147" t="s">
        <v>114</v>
      </c>
      <c r="Q4" s="181" t="s">
        <v>125</v>
      </c>
      <c r="R4" s="148" t="s">
        <v>118</v>
      </c>
      <c r="S4" s="148" t="s">
        <v>119</v>
      </c>
      <c r="T4" s="148" t="s">
        <v>120</v>
      </c>
      <c r="U4" s="145">
        <f>D4+E4</f>
        <v>167</v>
      </c>
      <c r="V4" s="148" t="s">
        <v>127</v>
      </c>
      <c r="W4" s="145">
        <f>D4+E4+F4</f>
        <v>265</v>
      </c>
      <c r="X4" s="149"/>
    </row>
    <row r="5" customHeight="1" spans="1:24">
      <c r="A5" s="153">
        <v>113</v>
      </c>
      <c r="B5" s="154" t="s">
        <v>129</v>
      </c>
      <c r="C5" s="144">
        <v>46</v>
      </c>
      <c r="D5" s="167">
        <v>110</v>
      </c>
      <c r="E5" s="145">
        <v>61</v>
      </c>
      <c r="F5" s="145">
        <v>95</v>
      </c>
      <c r="G5" s="145">
        <v>78</v>
      </c>
      <c r="H5" s="145">
        <v>80</v>
      </c>
      <c r="I5" s="145">
        <f>SUM(D5:H5)</f>
        <v>424</v>
      </c>
      <c r="J5" s="145">
        <v>24</v>
      </c>
      <c r="K5" s="147" t="s">
        <v>114</v>
      </c>
      <c r="L5" s="147" t="s">
        <v>114</v>
      </c>
      <c r="M5" s="147" t="s">
        <v>114</v>
      </c>
      <c r="N5" s="147" t="s">
        <v>130</v>
      </c>
      <c r="O5" s="160" t="s">
        <v>123</v>
      </c>
      <c r="P5" s="147" t="s">
        <v>115</v>
      </c>
      <c r="Q5" s="158" t="s">
        <v>131</v>
      </c>
      <c r="R5" s="148" t="s">
        <v>132</v>
      </c>
      <c r="S5" s="148" t="s">
        <v>133</v>
      </c>
      <c r="T5" s="148" t="s">
        <v>120</v>
      </c>
      <c r="U5" s="145">
        <f>D5+E5</f>
        <v>171</v>
      </c>
      <c r="V5" s="148" t="s">
        <v>134</v>
      </c>
      <c r="W5" s="145">
        <f>D5+E5+F5</f>
        <v>266</v>
      </c>
      <c r="X5" s="149"/>
    </row>
    <row r="6" customHeight="1" spans="1:24">
      <c r="A6" s="153">
        <v>117</v>
      </c>
      <c r="B6" s="156" t="s">
        <v>135</v>
      </c>
      <c r="C6" s="144">
        <v>20</v>
      </c>
      <c r="D6" s="145">
        <v>95</v>
      </c>
      <c r="E6" s="145">
        <v>65</v>
      </c>
      <c r="F6" s="145">
        <v>97</v>
      </c>
      <c r="G6" s="145">
        <v>96</v>
      </c>
      <c r="H6" s="145">
        <v>74</v>
      </c>
      <c r="I6" s="145">
        <f>SUM(D6:H6)</f>
        <v>427</v>
      </c>
      <c r="J6" s="145">
        <v>140</v>
      </c>
      <c r="K6" s="147" t="s">
        <v>114</v>
      </c>
      <c r="L6" s="147" t="s">
        <v>114</v>
      </c>
      <c r="M6" s="147" t="s">
        <v>114</v>
      </c>
      <c r="N6" s="147" t="s">
        <v>114</v>
      </c>
      <c r="O6" s="160" t="s">
        <v>123</v>
      </c>
      <c r="P6" s="147" t="s">
        <v>115</v>
      </c>
      <c r="Q6" s="158" t="s">
        <v>117</v>
      </c>
      <c r="R6" s="148" t="s">
        <v>119</v>
      </c>
      <c r="S6" s="148" t="s">
        <v>136</v>
      </c>
      <c r="T6" s="148" t="s">
        <v>120</v>
      </c>
      <c r="U6" s="145">
        <f>D6+E6</f>
        <v>160</v>
      </c>
      <c r="V6" s="172" t="s">
        <v>121</v>
      </c>
      <c r="W6" s="145">
        <f>D6+E6+F6</f>
        <v>257</v>
      </c>
      <c r="X6" s="149"/>
    </row>
    <row r="7" customHeight="1" spans="1:24">
      <c r="A7" s="153">
        <v>194</v>
      </c>
      <c r="B7" s="154" t="s">
        <v>137</v>
      </c>
      <c r="C7" s="144">
        <v>20</v>
      </c>
      <c r="D7" s="145">
        <v>93</v>
      </c>
      <c r="E7" s="145">
        <v>79</v>
      </c>
      <c r="F7" s="145">
        <v>78</v>
      </c>
      <c r="G7" s="145">
        <v>67</v>
      </c>
      <c r="H7" s="145">
        <v>70</v>
      </c>
      <c r="I7" s="145">
        <f>SUM(D7:H7)</f>
        <v>387</v>
      </c>
      <c r="J7" s="145">
        <v>68</v>
      </c>
      <c r="K7" s="147" t="s">
        <v>114</v>
      </c>
      <c r="L7" s="147" t="s">
        <v>114</v>
      </c>
      <c r="M7" s="147" t="s">
        <v>114</v>
      </c>
      <c r="N7" s="147" t="s">
        <v>115</v>
      </c>
      <c r="O7" s="160" t="s">
        <v>123</v>
      </c>
      <c r="P7" s="147" t="s">
        <v>124</v>
      </c>
      <c r="Q7" s="158" t="s">
        <v>125</v>
      </c>
      <c r="R7" s="148" t="s">
        <v>118</v>
      </c>
      <c r="S7" s="148" t="s">
        <v>119</v>
      </c>
      <c r="T7" s="148" t="s">
        <v>126</v>
      </c>
      <c r="U7" s="145">
        <f>D7+E7</f>
        <v>172</v>
      </c>
      <c r="V7" s="148" t="s">
        <v>127</v>
      </c>
      <c r="W7" s="145">
        <f>D7+E7+F7</f>
        <v>250</v>
      </c>
      <c r="X7" s="149"/>
    </row>
    <row r="8" customHeight="1" spans="1:24">
      <c r="A8" s="153">
        <v>306</v>
      </c>
      <c r="B8" s="154" t="s">
        <v>138</v>
      </c>
      <c r="C8" s="144">
        <v>28</v>
      </c>
      <c r="D8" s="145">
        <v>94</v>
      </c>
      <c r="E8" s="145">
        <v>49</v>
      </c>
      <c r="F8" s="145">
        <v>102</v>
      </c>
      <c r="G8" s="145">
        <v>102</v>
      </c>
      <c r="H8" s="145">
        <v>69</v>
      </c>
      <c r="I8" s="145">
        <f>SUM(D8:H8)</f>
        <v>416</v>
      </c>
      <c r="J8" s="145">
        <v>129</v>
      </c>
      <c r="K8" s="147" t="s">
        <v>114</v>
      </c>
      <c r="L8" s="147" t="s">
        <v>115</v>
      </c>
      <c r="M8" s="147" t="s">
        <v>130</v>
      </c>
      <c r="N8" s="147" t="s">
        <v>114</v>
      </c>
      <c r="O8" s="160" t="s">
        <v>123</v>
      </c>
      <c r="P8" s="147" t="s">
        <v>124</v>
      </c>
      <c r="Q8" s="148" t="s">
        <v>139</v>
      </c>
      <c r="R8" s="148" t="s">
        <v>132</v>
      </c>
      <c r="S8" s="148" t="s">
        <v>119</v>
      </c>
      <c r="T8" s="148" t="s">
        <v>120</v>
      </c>
      <c r="U8" s="145">
        <f>D8+E8</f>
        <v>143</v>
      </c>
      <c r="V8" s="149"/>
      <c r="W8" s="145">
        <f>D8+E8+F8</f>
        <v>245</v>
      </c>
      <c r="X8" s="149"/>
    </row>
    <row r="9" customHeight="1" spans="1:24">
      <c r="A9" s="153">
        <v>71</v>
      </c>
      <c r="B9" s="154" t="s">
        <v>140</v>
      </c>
      <c r="C9" s="144">
        <v>48</v>
      </c>
      <c r="D9" s="167">
        <v>108</v>
      </c>
      <c r="E9" s="145">
        <v>83</v>
      </c>
      <c r="F9" s="145">
        <v>83</v>
      </c>
      <c r="G9" s="145">
        <v>22</v>
      </c>
      <c r="H9" s="145">
        <v>45</v>
      </c>
      <c r="I9" s="145">
        <f>SUM(D9:H9)</f>
        <v>341</v>
      </c>
      <c r="J9" s="145">
        <v>1</v>
      </c>
      <c r="K9" s="160" t="s">
        <v>116</v>
      </c>
      <c r="L9" s="147" t="s">
        <v>115</v>
      </c>
      <c r="M9" s="147" t="s">
        <v>115</v>
      </c>
      <c r="N9" s="147" t="s">
        <v>114</v>
      </c>
      <c r="O9" s="160" t="s">
        <v>123</v>
      </c>
      <c r="P9" s="147" t="s">
        <v>130</v>
      </c>
      <c r="Q9" s="158" t="s">
        <v>141</v>
      </c>
      <c r="R9" s="148" t="s">
        <v>132</v>
      </c>
      <c r="S9" s="148" t="s">
        <v>136</v>
      </c>
      <c r="T9" s="148" t="s">
        <v>126</v>
      </c>
      <c r="U9" s="145">
        <f>D9+E9</f>
        <v>191</v>
      </c>
      <c r="V9" s="148" t="s">
        <v>142</v>
      </c>
      <c r="W9" s="145">
        <f>D9+E9+F9</f>
        <v>274</v>
      </c>
      <c r="X9" s="149"/>
    </row>
    <row r="10" customHeight="1" spans="1:24">
      <c r="A10" s="153">
        <v>635</v>
      </c>
      <c r="B10" s="154" t="s">
        <v>143</v>
      </c>
      <c r="C10" s="144">
        <v>16</v>
      </c>
      <c r="D10" s="145">
        <v>88</v>
      </c>
      <c r="E10" s="145">
        <v>66</v>
      </c>
      <c r="F10" s="145">
        <v>79</v>
      </c>
      <c r="G10" s="145">
        <v>92</v>
      </c>
      <c r="H10" s="145">
        <v>107</v>
      </c>
      <c r="I10" s="145">
        <f>SUM(D10:H10)</f>
        <v>432</v>
      </c>
      <c r="J10" s="145">
        <v>75</v>
      </c>
      <c r="K10" s="147" t="s">
        <v>115</v>
      </c>
      <c r="L10" s="147" t="s">
        <v>114</v>
      </c>
      <c r="M10" s="147" t="s">
        <v>114</v>
      </c>
      <c r="N10" s="147" t="s">
        <v>130</v>
      </c>
      <c r="O10" s="147" t="s">
        <v>115</v>
      </c>
      <c r="P10" s="147" t="s">
        <v>124</v>
      </c>
      <c r="Q10" s="148" t="s">
        <v>144</v>
      </c>
      <c r="R10" s="148" t="s">
        <v>119</v>
      </c>
      <c r="S10" s="148" t="s">
        <v>145</v>
      </c>
      <c r="T10" s="148" t="s">
        <v>120</v>
      </c>
      <c r="U10" s="145">
        <f>D10+E10</f>
        <v>154</v>
      </c>
      <c r="V10" s="149"/>
      <c r="W10" s="145">
        <f>D10+E10+F10</f>
        <v>233</v>
      </c>
      <c r="X10" s="149"/>
    </row>
    <row r="11" customHeight="1" spans="1:24">
      <c r="A11" s="153">
        <v>20</v>
      </c>
      <c r="B11" s="154" t="s">
        <v>146</v>
      </c>
      <c r="C11" s="144">
        <v>4</v>
      </c>
      <c r="D11" s="145">
        <v>66</v>
      </c>
      <c r="E11" s="145">
        <v>60</v>
      </c>
      <c r="F11" s="145">
        <v>85</v>
      </c>
      <c r="G11" s="145">
        <v>73</v>
      </c>
      <c r="H11" s="145">
        <v>105</v>
      </c>
      <c r="I11" s="145">
        <f>SUM(D11:H11)</f>
        <v>389</v>
      </c>
      <c r="J11" s="145">
        <v>70</v>
      </c>
      <c r="K11" s="147" t="s">
        <v>124</v>
      </c>
      <c r="L11" s="147" t="s">
        <v>124</v>
      </c>
      <c r="M11" s="147" t="s">
        <v>130</v>
      </c>
      <c r="N11" s="147" t="s">
        <v>124</v>
      </c>
      <c r="O11" s="147" t="s">
        <v>115</v>
      </c>
      <c r="P11" s="147" t="s">
        <v>130</v>
      </c>
      <c r="Q11" s="148" t="s">
        <v>147</v>
      </c>
      <c r="R11" s="148" t="s">
        <v>119</v>
      </c>
      <c r="S11" s="148" t="s">
        <v>119</v>
      </c>
      <c r="T11" s="148" t="s">
        <v>148</v>
      </c>
      <c r="U11" s="145">
        <f>D11+E11</f>
        <v>126</v>
      </c>
      <c r="V11" s="149"/>
      <c r="W11" s="145">
        <f>D11+E11+F11</f>
        <v>211</v>
      </c>
      <c r="X11" s="149"/>
    </row>
    <row r="12" customHeight="1" spans="1:24">
      <c r="A12" s="153">
        <v>531</v>
      </c>
      <c r="B12" s="154" t="s">
        <v>149</v>
      </c>
      <c r="C12" s="144">
        <v>16</v>
      </c>
      <c r="D12" s="145">
        <v>86</v>
      </c>
      <c r="E12" s="145">
        <v>71</v>
      </c>
      <c r="F12" s="145">
        <v>98</v>
      </c>
      <c r="G12" s="145">
        <v>80</v>
      </c>
      <c r="H12" s="145">
        <v>98</v>
      </c>
      <c r="I12" s="145">
        <f>SUM(D12:H12)</f>
        <v>433</v>
      </c>
      <c r="J12" s="145">
        <v>88</v>
      </c>
      <c r="K12" s="147" t="s">
        <v>114</v>
      </c>
      <c r="L12" s="147" t="s">
        <v>114</v>
      </c>
      <c r="M12" s="147" t="s">
        <v>114</v>
      </c>
      <c r="N12" s="147" t="s">
        <v>124</v>
      </c>
      <c r="O12" s="147" t="s">
        <v>115</v>
      </c>
      <c r="P12" s="147" t="s">
        <v>115</v>
      </c>
      <c r="Q12" s="170" t="s">
        <v>150</v>
      </c>
      <c r="R12" s="148" t="s">
        <v>132</v>
      </c>
      <c r="S12" s="148" t="s">
        <v>133</v>
      </c>
      <c r="T12" s="148" t="s">
        <v>120</v>
      </c>
      <c r="U12" s="145">
        <f>D12+E12</f>
        <v>157</v>
      </c>
      <c r="V12" s="193" t="s">
        <v>151</v>
      </c>
      <c r="W12" s="145">
        <f>D12+E12+F12</f>
        <v>255</v>
      </c>
      <c r="X12" s="149"/>
    </row>
    <row r="13" customHeight="1" spans="1:24">
      <c r="A13" s="153">
        <v>45</v>
      </c>
      <c r="B13" s="154" t="s">
        <v>152</v>
      </c>
      <c r="C13" s="144">
        <v>15</v>
      </c>
      <c r="D13" s="145">
        <v>92</v>
      </c>
      <c r="E13" s="145">
        <v>66</v>
      </c>
      <c r="F13" s="145">
        <v>67</v>
      </c>
      <c r="G13" s="145">
        <v>74</v>
      </c>
      <c r="H13" s="145">
        <v>97</v>
      </c>
      <c r="I13" s="145">
        <f>SUM(D13:H13)</f>
        <v>396</v>
      </c>
      <c r="J13" s="145">
        <v>18</v>
      </c>
      <c r="K13" s="147" t="s">
        <v>114</v>
      </c>
      <c r="L13" s="147" t="s">
        <v>115</v>
      </c>
      <c r="M13" s="147" t="s">
        <v>114</v>
      </c>
      <c r="N13" s="147" t="s">
        <v>130</v>
      </c>
      <c r="O13" s="147" t="s">
        <v>115</v>
      </c>
      <c r="P13" s="147" t="s">
        <v>124</v>
      </c>
      <c r="Q13" s="148" t="s">
        <v>153</v>
      </c>
      <c r="R13" s="148" t="s">
        <v>132</v>
      </c>
      <c r="S13" s="148" t="s">
        <v>133</v>
      </c>
      <c r="T13" s="148" t="s">
        <v>120</v>
      </c>
      <c r="U13" s="145">
        <f>D13+E13</f>
        <v>158</v>
      </c>
      <c r="V13" s="149"/>
      <c r="W13" s="145">
        <f>D13+E13+F13</f>
        <v>225</v>
      </c>
      <c r="X13" s="149"/>
    </row>
    <row r="14" customHeight="1" spans="1:24">
      <c r="A14" s="153">
        <v>662</v>
      </c>
      <c r="B14" s="154" t="s">
        <v>154</v>
      </c>
      <c r="C14" s="144">
        <v>8</v>
      </c>
      <c r="D14" s="145">
        <v>80</v>
      </c>
      <c r="E14" s="145">
        <v>62</v>
      </c>
      <c r="F14" s="145">
        <v>85</v>
      </c>
      <c r="G14" s="145">
        <v>82</v>
      </c>
      <c r="H14" s="145">
        <v>97</v>
      </c>
      <c r="I14" s="145">
        <f>SUM(D14:H14)</f>
        <v>406</v>
      </c>
      <c r="J14" s="145">
        <v>90</v>
      </c>
      <c r="K14" s="147" t="s">
        <v>130</v>
      </c>
      <c r="L14" s="147" t="s">
        <v>115</v>
      </c>
      <c r="M14" s="147" t="s">
        <v>114</v>
      </c>
      <c r="N14" s="147" t="s">
        <v>130</v>
      </c>
      <c r="O14" s="147" t="s">
        <v>115</v>
      </c>
      <c r="P14" s="147" t="s">
        <v>130</v>
      </c>
      <c r="Q14" s="148" t="s">
        <v>155</v>
      </c>
      <c r="R14" s="148" t="s">
        <v>118</v>
      </c>
      <c r="S14" s="148" t="s">
        <v>119</v>
      </c>
      <c r="T14" s="148" t="s">
        <v>126</v>
      </c>
      <c r="U14" s="145">
        <f>D14+E14</f>
        <v>142</v>
      </c>
      <c r="V14" s="149"/>
      <c r="W14" s="145">
        <f>D14+E14+F14</f>
        <v>227</v>
      </c>
      <c r="X14" s="149"/>
    </row>
    <row r="15" customHeight="1" spans="1:24">
      <c r="A15" s="153">
        <v>356</v>
      </c>
      <c r="B15" s="156" t="s">
        <v>156</v>
      </c>
      <c r="C15" s="144">
        <v>16</v>
      </c>
      <c r="D15" s="145">
        <v>87</v>
      </c>
      <c r="E15" s="145">
        <v>86</v>
      </c>
      <c r="F15" s="145">
        <v>95</v>
      </c>
      <c r="G15" s="145">
        <v>74</v>
      </c>
      <c r="H15" s="145">
        <v>95</v>
      </c>
      <c r="I15" s="145">
        <f>SUM(D15:H15)</f>
        <v>437</v>
      </c>
      <c r="J15" s="145">
        <v>95</v>
      </c>
      <c r="K15" s="147" t="s">
        <v>124</v>
      </c>
      <c r="L15" s="147" t="s">
        <v>114</v>
      </c>
      <c r="M15" s="147" t="s">
        <v>114</v>
      </c>
      <c r="N15" s="147" t="s">
        <v>124</v>
      </c>
      <c r="O15" s="147" t="s">
        <v>115</v>
      </c>
      <c r="P15" s="147" t="s">
        <v>115</v>
      </c>
      <c r="Q15" s="158" t="s">
        <v>157</v>
      </c>
      <c r="R15" s="148" t="s">
        <v>132</v>
      </c>
      <c r="S15" s="148" t="s">
        <v>136</v>
      </c>
      <c r="T15" s="148" t="s">
        <v>120</v>
      </c>
      <c r="U15" s="145">
        <f>D15+E15</f>
        <v>173</v>
      </c>
      <c r="V15" s="148" t="s">
        <v>158</v>
      </c>
      <c r="W15" s="145">
        <f>D15+E15+F15</f>
        <v>268</v>
      </c>
      <c r="X15" s="149"/>
    </row>
    <row r="16" customHeight="1" spans="1:24">
      <c r="A16" s="153">
        <v>526</v>
      </c>
      <c r="B16" s="154" t="s">
        <v>159</v>
      </c>
      <c r="C16" s="144">
        <v>13</v>
      </c>
      <c r="D16" s="145">
        <v>87</v>
      </c>
      <c r="E16" s="145">
        <v>75</v>
      </c>
      <c r="F16" s="145">
        <v>79</v>
      </c>
      <c r="G16" s="145">
        <v>75</v>
      </c>
      <c r="H16" s="145">
        <v>90</v>
      </c>
      <c r="I16" s="145">
        <f>SUM(D16:H16)</f>
        <v>406</v>
      </c>
      <c r="J16" s="145">
        <v>44</v>
      </c>
      <c r="K16" s="147" t="s">
        <v>114</v>
      </c>
      <c r="L16" s="147" t="s">
        <v>115</v>
      </c>
      <c r="M16" s="147" t="s">
        <v>130</v>
      </c>
      <c r="N16" s="147" t="s">
        <v>114</v>
      </c>
      <c r="O16" s="147" t="s">
        <v>115</v>
      </c>
      <c r="P16" s="147" t="s">
        <v>130</v>
      </c>
      <c r="Q16" s="148" t="s">
        <v>160</v>
      </c>
      <c r="R16" s="148" t="s">
        <v>118</v>
      </c>
      <c r="S16" s="148" t="s">
        <v>119</v>
      </c>
      <c r="T16" s="148" t="s">
        <v>126</v>
      </c>
      <c r="U16" s="145">
        <f>D16+E16</f>
        <v>162</v>
      </c>
      <c r="V16" s="149"/>
      <c r="W16" s="145">
        <f>D16+E16+F16</f>
        <v>241</v>
      </c>
      <c r="X16" s="149"/>
    </row>
    <row r="17" customHeight="1" spans="1:24">
      <c r="A17" s="153">
        <v>712</v>
      </c>
      <c r="B17" s="154" t="s">
        <v>161</v>
      </c>
      <c r="C17" s="144">
        <v>50</v>
      </c>
      <c r="D17" s="167">
        <v>110</v>
      </c>
      <c r="E17" s="145">
        <v>60</v>
      </c>
      <c r="F17" s="169">
        <v>110</v>
      </c>
      <c r="G17" s="145">
        <v>100</v>
      </c>
      <c r="H17" s="145">
        <v>90</v>
      </c>
      <c r="I17" s="145">
        <f>SUM(D17:H17)</f>
        <v>470</v>
      </c>
      <c r="J17" s="145">
        <v>0</v>
      </c>
      <c r="K17" s="147" t="s">
        <v>115</v>
      </c>
      <c r="L17" s="147" t="s">
        <v>115</v>
      </c>
      <c r="M17" s="147" t="s">
        <v>115</v>
      </c>
      <c r="N17" s="147" t="s">
        <v>115</v>
      </c>
      <c r="O17" s="147" t="s">
        <v>115</v>
      </c>
      <c r="P17" s="147" t="s">
        <v>115</v>
      </c>
      <c r="Q17" s="170" t="s">
        <v>162</v>
      </c>
      <c r="R17" s="148" t="s">
        <v>118</v>
      </c>
      <c r="S17" s="148" t="s">
        <v>136</v>
      </c>
      <c r="T17" s="148" t="s">
        <v>120</v>
      </c>
      <c r="U17" s="145">
        <f>D17+E17</f>
        <v>170</v>
      </c>
      <c r="V17" s="173" t="s">
        <v>163</v>
      </c>
      <c r="W17" s="145">
        <f>D17+E17+F17</f>
        <v>280</v>
      </c>
      <c r="X17" s="149"/>
    </row>
    <row r="18" customHeight="1" spans="1:24">
      <c r="A18" s="153">
        <v>447</v>
      </c>
      <c r="B18" s="154" t="s">
        <v>164</v>
      </c>
      <c r="C18" s="144">
        <v>10</v>
      </c>
      <c r="D18" s="145">
        <v>89</v>
      </c>
      <c r="E18" s="145">
        <v>65</v>
      </c>
      <c r="F18" s="145">
        <v>95</v>
      </c>
      <c r="G18" s="145">
        <v>79</v>
      </c>
      <c r="H18" s="145">
        <v>89</v>
      </c>
      <c r="I18" s="145">
        <f>SUM(D18:H18)</f>
        <v>417</v>
      </c>
      <c r="J18" s="145">
        <v>14</v>
      </c>
      <c r="K18" s="147" t="s">
        <v>114</v>
      </c>
      <c r="L18" s="147" t="s">
        <v>114</v>
      </c>
      <c r="M18" s="147" t="s">
        <v>114</v>
      </c>
      <c r="N18" s="147" t="s">
        <v>130</v>
      </c>
      <c r="O18" s="147" t="s">
        <v>115</v>
      </c>
      <c r="P18" s="147" t="s">
        <v>130</v>
      </c>
      <c r="Q18" s="148" t="s">
        <v>165</v>
      </c>
      <c r="R18" s="148" t="s">
        <v>118</v>
      </c>
      <c r="S18" s="148" t="s">
        <v>119</v>
      </c>
      <c r="T18" s="148" t="s">
        <v>126</v>
      </c>
      <c r="U18" s="145">
        <f>D18+E18</f>
        <v>154</v>
      </c>
      <c r="V18" s="149"/>
      <c r="W18" s="145">
        <f>D18+E18+F18</f>
        <v>249</v>
      </c>
      <c r="X18" s="149"/>
    </row>
    <row r="19" customHeight="1" spans="1:24">
      <c r="A19" s="153">
        <v>358</v>
      </c>
      <c r="B19" s="154" t="s">
        <v>166</v>
      </c>
      <c r="C19" s="144">
        <v>17</v>
      </c>
      <c r="D19" s="145">
        <v>95</v>
      </c>
      <c r="E19" s="145">
        <v>20</v>
      </c>
      <c r="F19" s="145">
        <v>91</v>
      </c>
      <c r="G19" s="145">
        <v>76</v>
      </c>
      <c r="H19" s="145">
        <v>87</v>
      </c>
      <c r="I19" s="145">
        <f>SUM(D19:H19)</f>
        <v>369</v>
      </c>
      <c r="J19" s="145">
        <v>79</v>
      </c>
      <c r="K19" s="147" t="s">
        <v>114</v>
      </c>
      <c r="L19" s="147" t="s">
        <v>115</v>
      </c>
      <c r="M19" s="147" t="s">
        <v>115</v>
      </c>
      <c r="N19" s="147" t="s">
        <v>124</v>
      </c>
      <c r="O19" s="147" t="s">
        <v>115</v>
      </c>
      <c r="P19" s="160" t="s">
        <v>123</v>
      </c>
      <c r="Q19" s="158" t="s">
        <v>157</v>
      </c>
      <c r="R19" s="148" t="s">
        <v>132</v>
      </c>
      <c r="S19" s="148" t="s">
        <v>119</v>
      </c>
      <c r="T19" s="148" t="s">
        <v>126</v>
      </c>
      <c r="U19" s="145">
        <f>D19+E19</f>
        <v>115</v>
      </c>
      <c r="V19" s="148" t="s">
        <v>158</v>
      </c>
      <c r="W19" s="145">
        <f>D19+E19+F19</f>
        <v>206</v>
      </c>
      <c r="X19" s="149"/>
    </row>
    <row r="20" customHeight="1" spans="1:24">
      <c r="A20" s="153">
        <v>357</v>
      </c>
      <c r="B20" s="156" t="s">
        <v>167</v>
      </c>
      <c r="C20" s="144">
        <v>6</v>
      </c>
      <c r="D20" s="145">
        <v>75</v>
      </c>
      <c r="E20" s="145">
        <v>51</v>
      </c>
      <c r="F20" s="145">
        <v>83</v>
      </c>
      <c r="G20" s="145">
        <v>92</v>
      </c>
      <c r="H20" s="145">
        <v>85</v>
      </c>
      <c r="I20" s="145">
        <f>SUM(D20:H20)</f>
        <v>386</v>
      </c>
      <c r="J20" s="145">
        <v>20</v>
      </c>
      <c r="K20" s="147" t="s">
        <v>114</v>
      </c>
      <c r="L20" s="147" t="s">
        <v>114</v>
      </c>
      <c r="M20" s="147" t="s">
        <v>114</v>
      </c>
      <c r="N20" s="147" t="s">
        <v>130</v>
      </c>
      <c r="O20" s="147" t="s">
        <v>115</v>
      </c>
      <c r="P20" s="147" t="s">
        <v>130</v>
      </c>
      <c r="Q20" s="148" t="s">
        <v>168</v>
      </c>
      <c r="R20" s="148" t="s">
        <v>119</v>
      </c>
      <c r="S20" s="148" t="s">
        <v>136</v>
      </c>
      <c r="T20" s="148" t="s">
        <v>120</v>
      </c>
      <c r="U20" s="145">
        <f>D20+E20</f>
        <v>126</v>
      </c>
      <c r="V20" s="149"/>
      <c r="W20" s="145">
        <f>D20+E20+F20</f>
        <v>209</v>
      </c>
      <c r="X20" s="149"/>
    </row>
    <row r="21" customHeight="1" spans="1:24">
      <c r="A21" s="153">
        <v>90</v>
      </c>
      <c r="B21" s="154" t="s">
        <v>169</v>
      </c>
      <c r="C21" s="144">
        <v>7</v>
      </c>
      <c r="D21" s="145">
        <v>74</v>
      </c>
      <c r="E21" s="145">
        <v>61</v>
      </c>
      <c r="F21" s="145">
        <v>80</v>
      </c>
      <c r="G21" s="145">
        <v>92</v>
      </c>
      <c r="H21" s="145">
        <v>84</v>
      </c>
      <c r="I21" s="145">
        <f>SUM(D21:H21)</f>
        <v>391</v>
      </c>
      <c r="J21" s="145">
        <v>97</v>
      </c>
      <c r="K21" s="147" t="s">
        <v>130</v>
      </c>
      <c r="L21" s="147" t="s">
        <v>114</v>
      </c>
      <c r="M21" s="147" t="s">
        <v>130</v>
      </c>
      <c r="N21" s="147" t="s">
        <v>124</v>
      </c>
      <c r="O21" s="147" t="s">
        <v>115</v>
      </c>
      <c r="P21" s="147" t="s">
        <v>114</v>
      </c>
      <c r="Q21" s="148" t="s">
        <v>170</v>
      </c>
      <c r="R21" s="148" t="s">
        <v>132</v>
      </c>
      <c r="S21" s="148" t="s">
        <v>119</v>
      </c>
      <c r="T21" s="148" t="s">
        <v>120</v>
      </c>
      <c r="U21" s="145">
        <f>D21+E21</f>
        <v>135</v>
      </c>
      <c r="V21" s="149"/>
      <c r="W21" s="145">
        <f>D21+E21+F21</f>
        <v>215</v>
      </c>
      <c r="X21" s="149"/>
    </row>
    <row r="22" customHeight="1" spans="1:24">
      <c r="A22" s="153">
        <v>600</v>
      </c>
      <c r="B22" s="154" t="s">
        <v>171</v>
      </c>
      <c r="C22" s="144">
        <v>8</v>
      </c>
      <c r="D22" s="145">
        <v>85</v>
      </c>
      <c r="E22" s="145">
        <v>65</v>
      </c>
      <c r="F22" s="145">
        <v>82</v>
      </c>
      <c r="G22" s="145">
        <v>75</v>
      </c>
      <c r="H22" s="145">
        <v>84</v>
      </c>
      <c r="I22" s="145">
        <f>SUM(D22:H22)</f>
        <v>391</v>
      </c>
      <c r="J22" s="145">
        <v>126</v>
      </c>
      <c r="K22" s="147" t="s">
        <v>130</v>
      </c>
      <c r="L22" s="147" t="s">
        <v>114</v>
      </c>
      <c r="M22" s="147" t="s">
        <v>114</v>
      </c>
      <c r="N22" s="147" t="s">
        <v>124</v>
      </c>
      <c r="O22" s="147" t="s">
        <v>115</v>
      </c>
      <c r="P22" s="147" t="s">
        <v>115</v>
      </c>
      <c r="Q22" s="148" t="s">
        <v>172</v>
      </c>
      <c r="R22" s="148" t="s">
        <v>132</v>
      </c>
      <c r="S22" s="148" t="s">
        <v>119</v>
      </c>
      <c r="T22" s="148" t="s">
        <v>120</v>
      </c>
      <c r="U22" s="145">
        <f>D22+E22</f>
        <v>150</v>
      </c>
      <c r="V22" s="149"/>
      <c r="W22" s="145">
        <f>D22+E22+F22</f>
        <v>232</v>
      </c>
      <c r="X22" s="149"/>
    </row>
    <row r="23" customHeight="1" spans="1:24">
      <c r="A23" s="153">
        <v>80</v>
      </c>
      <c r="B23" s="156" t="s">
        <v>173</v>
      </c>
      <c r="C23" s="144">
        <v>30</v>
      </c>
      <c r="D23" s="145">
        <v>96</v>
      </c>
      <c r="E23" s="145">
        <v>90</v>
      </c>
      <c r="F23" s="145">
        <v>104</v>
      </c>
      <c r="G23" s="145">
        <v>76</v>
      </c>
      <c r="H23" s="145">
        <v>84</v>
      </c>
      <c r="I23" s="145">
        <f>SUM(D23:H23)</f>
        <v>450</v>
      </c>
      <c r="J23" s="145">
        <v>25</v>
      </c>
      <c r="K23" s="147" t="s">
        <v>130</v>
      </c>
      <c r="L23" s="147" t="s">
        <v>114</v>
      </c>
      <c r="M23" s="160" t="s">
        <v>123</v>
      </c>
      <c r="N23" s="147" t="s">
        <v>130</v>
      </c>
      <c r="O23" s="147" t="s">
        <v>115</v>
      </c>
      <c r="P23" s="147" t="s">
        <v>124</v>
      </c>
      <c r="Q23" s="158" t="s">
        <v>174</v>
      </c>
      <c r="R23" s="148" t="s">
        <v>175</v>
      </c>
      <c r="S23" s="148" t="s">
        <v>145</v>
      </c>
      <c r="T23" s="148" t="s">
        <v>120</v>
      </c>
      <c r="U23" s="145">
        <f>D23+E23</f>
        <v>186</v>
      </c>
      <c r="V23" s="148" t="s">
        <v>176</v>
      </c>
      <c r="W23" s="145">
        <f>D23+E23+F23</f>
        <v>290</v>
      </c>
      <c r="X23" s="149"/>
    </row>
    <row r="24" customHeight="1" spans="1:24">
      <c r="A24" s="153">
        <v>182</v>
      </c>
      <c r="B24" s="154" t="s">
        <v>177</v>
      </c>
      <c r="C24" s="144">
        <v>34</v>
      </c>
      <c r="D24" s="145">
        <v>99</v>
      </c>
      <c r="E24" s="145">
        <v>84</v>
      </c>
      <c r="F24" s="145">
        <v>77</v>
      </c>
      <c r="G24" s="145">
        <v>66</v>
      </c>
      <c r="H24" s="145">
        <v>83</v>
      </c>
      <c r="I24" s="145">
        <f>SUM(D24:H24)</f>
        <v>409</v>
      </c>
      <c r="J24" s="145">
        <v>91</v>
      </c>
      <c r="K24" s="160" t="s">
        <v>123</v>
      </c>
      <c r="L24" s="147" t="s">
        <v>115</v>
      </c>
      <c r="M24" s="147" t="s">
        <v>130</v>
      </c>
      <c r="N24" s="147" t="s">
        <v>114</v>
      </c>
      <c r="O24" s="147" t="s">
        <v>115</v>
      </c>
      <c r="P24" s="147" t="s">
        <v>115</v>
      </c>
      <c r="Q24" s="158" t="s">
        <v>178</v>
      </c>
      <c r="R24" s="148" t="s">
        <v>132</v>
      </c>
      <c r="S24" s="148" t="s">
        <v>119</v>
      </c>
      <c r="T24" s="148" t="s">
        <v>120</v>
      </c>
      <c r="U24" s="145">
        <f>D24+E24</f>
        <v>183</v>
      </c>
      <c r="V24" s="148" t="s">
        <v>179</v>
      </c>
      <c r="W24" s="145">
        <f>D24+E24+F24</f>
        <v>260</v>
      </c>
      <c r="X24" s="149"/>
    </row>
    <row r="25" customHeight="1" spans="1:24">
      <c r="A25" s="153">
        <v>661</v>
      </c>
      <c r="B25" s="154" t="s">
        <v>180</v>
      </c>
      <c r="C25" s="144">
        <v>9</v>
      </c>
      <c r="D25" s="145">
        <v>84</v>
      </c>
      <c r="E25" s="145">
        <v>80</v>
      </c>
      <c r="F25" s="145">
        <v>83</v>
      </c>
      <c r="G25" s="145">
        <v>58</v>
      </c>
      <c r="H25" s="145">
        <v>80</v>
      </c>
      <c r="I25" s="145">
        <f>SUM(D25:H25)</f>
        <v>385</v>
      </c>
      <c r="J25" s="145">
        <v>124</v>
      </c>
      <c r="K25" s="147" t="s">
        <v>114</v>
      </c>
      <c r="L25" s="147" t="s">
        <v>114</v>
      </c>
      <c r="M25" s="147" t="s">
        <v>130</v>
      </c>
      <c r="N25" s="147" t="s">
        <v>130</v>
      </c>
      <c r="O25" s="147" t="s">
        <v>115</v>
      </c>
      <c r="P25" s="147" t="s">
        <v>115</v>
      </c>
      <c r="Q25" s="148" t="s">
        <v>181</v>
      </c>
      <c r="R25" s="148" t="s">
        <v>132</v>
      </c>
      <c r="S25" s="148" t="s">
        <v>119</v>
      </c>
      <c r="T25" s="148" t="s">
        <v>126</v>
      </c>
      <c r="U25" s="145">
        <f>D25+E25</f>
        <v>164</v>
      </c>
      <c r="V25" s="149"/>
      <c r="W25" s="145">
        <f>D25+E25+F25</f>
        <v>247</v>
      </c>
      <c r="X25" s="149"/>
    </row>
    <row r="26" customHeight="1" spans="1:24">
      <c r="A26" s="153">
        <v>581</v>
      </c>
      <c r="B26" s="154" t="s">
        <v>182</v>
      </c>
      <c r="C26" s="144">
        <v>11</v>
      </c>
      <c r="D26" s="145">
        <v>82</v>
      </c>
      <c r="E26" s="145">
        <v>83</v>
      </c>
      <c r="F26" s="145">
        <v>77</v>
      </c>
      <c r="G26" s="145">
        <v>79</v>
      </c>
      <c r="H26" s="145">
        <v>80</v>
      </c>
      <c r="I26" s="145">
        <f>SUM(D26:H26)</f>
        <v>401</v>
      </c>
      <c r="J26" s="145">
        <v>55</v>
      </c>
      <c r="K26" s="147" t="s">
        <v>114</v>
      </c>
      <c r="L26" s="147" t="s">
        <v>130</v>
      </c>
      <c r="M26" s="147" t="s">
        <v>114</v>
      </c>
      <c r="N26" s="147" t="s">
        <v>130</v>
      </c>
      <c r="O26" s="147" t="s">
        <v>115</v>
      </c>
      <c r="P26" s="147" t="s">
        <v>130</v>
      </c>
      <c r="Q26" s="148" t="s">
        <v>172</v>
      </c>
      <c r="R26" s="148" t="s">
        <v>119</v>
      </c>
      <c r="S26" s="148" t="s">
        <v>136</v>
      </c>
      <c r="T26" s="148" t="s">
        <v>120</v>
      </c>
      <c r="U26" s="145">
        <f>D26+E26</f>
        <v>165</v>
      </c>
      <c r="V26" s="149"/>
      <c r="W26" s="145">
        <f>D26+E26+F26</f>
        <v>242</v>
      </c>
      <c r="X26" s="149"/>
    </row>
    <row r="27" customHeight="1" spans="1:24">
      <c r="A27" s="153">
        <v>680</v>
      </c>
      <c r="B27" s="154" t="s">
        <v>183</v>
      </c>
      <c r="C27" s="144">
        <v>15</v>
      </c>
      <c r="D27" s="145">
        <v>85</v>
      </c>
      <c r="E27" s="145">
        <v>86</v>
      </c>
      <c r="F27" s="145">
        <v>67</v>
      </c>
      <c r="G27" s="145">
        <v>67</v>
      </c>
      <c r="H27" s="145">
        <v>79</v>
      </c>
      <c r="I27" s="145">
        <f>SUM(D27:H27)</f>
        <v>384</v>
      </c>
      <c r="J27" s="145">
        <v>89</v>
      </c>
      <c r="K27" s="147" t="s">
        <v>114</v>
      </c>
      <c r="L27" s="147" t="s">
        <v>114</v>
      </c>
      <c r="M27" s="147" t="s">
        <v>114</v>
      </c>
      <c r="N27" s="147" t="s">
        <v>130</v>
      </c>
      <c r="O27" s="147" t="s">
        <v>115</v>
      </c>
      <c r="P27" s="147" t="s">
        <v>115</v>
      </c>
      <c r="Q27" s="148" t="s">
        <v>184</v>
      </c>
      <c r="R27" s="148" t="s">
        <v>118</v>
      </c>
      <c r="S27" s="148" t="s">
        <v>133</v>
      </c>
      <c r="T27" s="148" t="s">
        <v>120</v>
      </c>
      <c r="U27" s="145">
        <f>D27+E27</f>
        <v>171</v>
      </c>
      <c r="V27" s="149"/>
      <c r="W27" s="145">
        <f>D27+E27+F27</f>
        <v>238</v>
      </c>
      <c r="X27" s="149"/>
    </row>
    <row r="28" customHeight="1" spans="1:24">
      <c r="A28" s="153">
        <v>665</v>
      </c>
      <c r="B28" s="154" t="s">
        <v>185</v>
      </c>
      <c r="C28" s="144">
        <v>8</v>
      </c>
      <c r="D28" s="145">
        <v>75</v>
      </c>
      <c r="E28" s="145">
        <v>90</v>
      </c>
      <c r="F28" s="145">
        <v>77</v>
      </c>
      <c r="G28" s="145">
        <v>70</v>
      </c>
      <c r="H28" s="145">
        <v>79</v>
      </c>
      <c r="I28" s="145">
        <f>SUM(D28:H28)</f>
        <v>391</v>
      </c>
      <c r="J28" s="145">
        <v>58</v>
      </c>
      <c r="K28" s="147" t="s">
        <v>114</v>
      </c>
      <c r="L28" s="147" t="s">
        <v>130</v>
      </c>
      <c r="M28" s="147" t="s">
        <v>114</v>
      </c>
      <c r="N28" s="147" t="s">
        <v>130</v>
      </c>
      <c r="O28" s="147" t="s">
        <v>115</v>
      </c>
      <c r="P28" s="147" t="s">
        <v>114</v>
      </c>
      <c r="Q28" s="148" t="s">
        <v>186</v>
      </c>
      <c r="R28" s="148" t="s">
        <v>118</v>
      </c>
      <c r="S28" s="148" t="s">
        <v>119</v>
      </c>
      <c r="T28" s="148" t="s">
        <v>126</v>
      </c>
      <c r="U28" s="145">
        <f>D28+E28</f>
        <v>165</v>
      </c>
      <c r="V28" s="149"/>
      <c r="W28" s="145">
        <f>D28+E28+F28</f>
        <v>242</v>
      </c>
      <c r="X28" s="149"/>
    </row>
    <row r="29" customHeight="1" spans="1:24">
      <c r="A29" s="153">
        <v>106</v>
      </c>
      <c r="B29" s="154" t="s">
        <v>187</v>
      </c>
      <c r="C29" s="144">
        <v>17</v>
      </c>
      <c r="D29" s="145">
        <v>83</v>
      </c>
      <c r="E29" s="145">
        <v>50</v>
      </c>
      <c r="F29" s="145">
        <v>108</v>
      </c>
      <c r="G29" s="145">
        <v>89</v>
      </c>
      <c r="H29" s="145">
        <v>79</v>
      </c>
      <c r="I29" s="145">
        <f>SUM(D29:H29)</f>
        <v>409</v>
      </c>
      <c r="J29" s="145">
        <v>116</v>
      </c>
      <c r="K29" s="147" t="s">
        <v>114</v>
      </c>
      <c r="L29" s="147" t="s">
        <v>114</v>
      </c>
      <c r="M29" s="147" t="s">
        <v>130</v>
      </c>
      <c r="N29" s="147" t="s">
        <v>124</v>
      </c>
      <c r="O29" s="147" t="s">
        <v>115</v>
      </c>
      <c r="P29" s="147" t="s">
        <v>114</v>
      </c>
      <c r="Q29" s="170" t="s">
        <v>150</v>
      </c>
      <c r="R29" s="148" t="s">
        <v>132</v>
      </c>
      <c r="S29" s="148" t="s">
        <v>133</v>
      </c>
      <c r="T29" s="148" t="s">
        <v>120</v>
      </c>
      <c r="U29" s="145">
        <f>D29+E29</f>
        <v>133</v>
      </c>
      <c r="V29" s="193" t="s">
        <v>151</v>
      </c>
      <c r="W29" s="145">
        <f>D29+E29+F29</f>
        <v>241</v>
      </c>
      <c r="X29" s="149"/>
    </row>
    <row r="30" customHeight="1" spans="1:24">
      <c r="A30" s="153">
        <v>365</v>
      </c>
      <c r="B30" s="154" t="s">
        <v>188</v>
      </c>
      <c r="C30" s="144">
        <v>30</v>
      </c>
      <c r="D30" s="145">
        <v>96</v>
      </c>
      <c r="E30" s="145">
        <v>72</v>
      </c>
      <c r="F30" s="145">
        <v>96</v>
      </c>
      <c r="G30" s="145">
        <v>95</v>
      </c>
      <c r="H30" s="145">
        <v>79</v>
      </c>
      <c r="I30" s="145">
        <f>SUM(D30:H30)</f>
        <v>438</v>
      </c>
      <c r="J30" s="145">
        <v>90</v>
      </c>
      <c r="K30" s="147" t="s">
        <v>114</v>
      </c>
      <c r="L30" s="147" t="s">
        <v>115</v>
      </c>
      <c r="M30" s="147" t="s">
        <v>114</v>
      </c>
      <c r="N30" s="147" t="s">
        <v>130</v>
      </c>
      <c r="O30" s="147" t="s">
        <v>115</v>
      </c>
      <c r="P30" s="160" t="s">
        <v>116</v>
      </c>
      <c r="Q30" s="158" t="s">
        <v>189</v>
      </c>
      <c r="R30" s="148" t="s">
        <v>119</v>
      </c>
      <c r="S30" s="148" t="s">
        <v>145</v>
      </c>
      <c r="T30" s="148" t="s">
        <v>126</v>
      </c>
      <c r="U30" s="145">
        <f>D30+E30</f>
        <v>168</v>
      </c>
      <c r="V30" s="183" t="s">
        <v>190</v>
      </c>
      <c r="W30" s="145">
        <f>D30+E30+F30</f>
        <v>264</v>
      </c>
      <c r="X30" s="149"/>
    </row>
    <row r="31" customHeight="1" spans="1:24">
      <c r="A31" s="153">
        <v>608</v>
      </c>
      <c r="B31" s="154" t="s">
        <v>191</v>
      </c>
      <c r="C31" s="144">
        <v>6</v>
      </c>
      <c r="D31" s="145">
        <v>82</v>
      </c>
      <c r="E31" s="145">
        <v>76</v>
      </c>
      <c r="F31" s="145">
        <v>44</v>
      </c>
      <c r="G31" s="145">
        <v>49</v>
      </c>
      <c r="H31" s="145">
        <v>78</v>
      </c>
      <c r="I31" s="145">
        <f>SUM(D31:H31)</f>
        <v>329</v>
      </c>
      <c r="J31" s="145">
        <v>51</v>
      </c>
      <c r="K31" s="147" t="s">
        <v>130</v>
      </c>
      <c r="L31" s="147" t="s">
        <v>114</v>
      </c>
      <c r="M31" s="147" t="s">
        <v>114</v>
      </c>
      <c r="N31" s="147" t="s">
        <v>124</v>
      </c>
      <c r="O31" s="147" t="s">
        <v>115</v>
      </c>
      <c r="P31" s="147" t="s">
        <v>130</v>
      </c>
      <c r="Q31" s="148" t="s">
        <v>192</v>
      </c>
      <c r="R31" s="148" t="s">
        <v>132</v>
      </c>
      <c r="S31" s="148" t="s">
        <v>119</v>
      </c>
      <c r="T31" s="148" t="s">
        <v>126</v>
      </c>
      <c r="U31" s="145">
        <f>D31+E31</f>
        <v>158</v>
      </c>
      <c r="V31" s="149"/>
      <c r="W31" s="145">
        <f>D31+E31+F31</f>
        <v>202</v>
      </c>
      <c r="X31" s="149"/>
    </row>
    <row r="32" customHeight="1" spans="1:24">
      <c r="A32" s="153">
        <v>189</v>
      </c>
      <c r="B32" s="154" t="s">
        <v>193</v>
      </c>
      <c r="C32" s="144">
        <v>6</v>
      </c>
      <c r="D32" s="145">
        <v>79</v>
      </c>
      <c r="E32" s="145">
        <v>71</v>
      </c>
      <c r="F32" s="145">
        <v>62</v>
      </c>
      <c r="G32" s="145">
        <v>64</v>
      </c>
      <c r="H32" s="145">
        <v>78</v>
      </c>
      <c r="I32" s="145">
        <f>SUM(D32:H32)</f>
        <v>354</v>
      </c>
      <c r="J32" s="145">
        <v>68</v>
      </c>
      <c r="K32" s="147" t="s">
        <v>114</v>
      </c>
      <c r="L32" s="147" t="s">
        <v>130</v>
      </c>
      <c r="M32" s="147" t="s">
        <v>114</v>
      </c>
      <c r="N32" s="147" t="s">
        <v>124</v>
      </c>
      <c r="O32" s="147" t="s">
        <v>115</v>
      </c>
      <c r="P32" s="147" t="s">
        <v>130</v>
      </c>
      <c r="Q32" s="148" t="s">
        <v>194</v>
      </c>
      <c r="R32" s="148" t="s">
        <v>118</v>
      </c>
      <c r="S32" s="148" t="s">
        <v>133</v>
      </c>
      <c r="T32" s="148" t="s">
        <v>148</v>
      </c>
      <c r="U32" s="145">
        <f>D32+E32</f>
        <v>150</v>
      </c>
      <c r="V32" s="149"/>
      <c r="W32" s="145">
        <f>D32+E32+F32</f>
        <v>212</v>
      </c>
      <c r="X32" s="149"/>
    </row>
    <row r="33" customHeight="1" spans="1:24">
      <c r="A33" s="153">
        <v>695</v>
      </c>
      <c r="B33" s="154" t="s">
        <v>195</v>
      </c>
      <c r="C33" s="144">
        <v>12</v>
      </c>
      <c r="D33" s="145">
        <v>83</v>
      </c>
      <c r="E33" s="145">
        <v>87</v>
      </c>
      <c r="F33" s="145">
        <v>57</v>
      </c>
      <c r="G33" s="145">
        <v>71</v>
      </c>
      <c r="H33" s="145">
        <v>78</v>
      </c>
      <c r="I33" s="145">
        <f>SUM(D33:H33)</f>
        <v>376</v>
      </c>
      <c r="J33" s="145">
        <v>92</v>
      </c>
      <c r="K33" s="147" t="s">
        <v>130</v>
      </c>
      <c r="L33" s="147" t="s">
        <v>114</v>
      </c>
      <c r="M33" s="147" t="s">
        <v>124</v>
      </c>
      <c r="N33" s="147" t="s">
        <v>114</v>
      </c>
      <c r="O33" s="147" t="s">
        <v>115</v>
      </c>
      <c r="P33" s="147" t="s">
        <v>115</v>
      </c>
      <c r="Q33" s="148" t="s">
        <v>196</v>
      </c>
      <c r="R33" s="148" t="s">
        <v>132</v>
      </c>
      <c r="S33" s="148" t="s">
        <v>119</v>
      </c>
      <c r="T33" s="148" t="s">
        <v>148</v>
      </c>
      <c r="U33" s="145">
        <f>D33+E33</f>
        <v>170</v>
      </c>
      <c r="V33" s="149"/>
      <c r="W33" s="145">
        <f>D33+E33+F33</f>
        <v>227</v>
      </c>
      <c r="X33" s="149"/>
    </row>
    <row r="34" customHeight="1" spans="1:24">
      <c r="A34" s="153">
        <v>639</v>
      </c>
      <c r="B34" s="154" t="s">
        <v>197</v>
      </c>
      <c r="C34" s="144">
        <v>14</v>
      </c>
      <c r="D34" s="145">
        <v>86</v>
      </c>
      <c r="E34" s="145">
        <v>87</v>
      </c>
      <c r="F34" s="145">
        <v>69</v>
      </c>
      <c r="G34" s="145">
        <v>54</v>
      </c>
      <c r="H34" s="145">
        <v>75</v>
      </c>
      <c r="I34" s="145">
        <f>SUM(D34:H34)</f>
        <v>371</v>
      </c>
      <c r="J34" s="145">
        <v>56</v>
      </c>
      <c r="K34" s="147" t="s">
        <v>130</v>
      </c>
      <c r="L34" s="147" t="s">
        <v>114</v>
      </c>
      <c r="M34" s="147" t="s">
        <v>115</v>
      </c>
      <c r="N34" s="147" t="s">
        <v>114</v>
      </c>
      <c r="O34" s="147" t="s">
        <v>115</v>
      </c>
      <c r="P34" s="147" t="s">
        <v>130</v>
      </c>
      <c r="Q34" s="148" t="s">
        <v>198</v>
      </c>
      <c r="R34" s="148" t="s">
        <v>118</v>
      </c>
      <c r="S34" s="148" t="s">
        <v>119</v>
      </c>
      <c r="T34" s="148" t="s">
        <v>148</v>
      </c>
      <c r="U34" s="145">
        <f>D34+E34</f>
        <v>173</v>
      </c>
      <c r="V34" s="149"/>
      <c r="W34" s="145">
        <f>D34+E34+F34</f>
        <v>242</v>
      </c>
      <c r="X34" s="149"/>
    </row>
    <row r="35" customHeight="1" spans="1:24">
      <c r="A35" s="153">
        <v>527</v>
      </c>
      <c r="B35" s="154" t="s">
        <v>199</v>
      </c>
      <c r="C35" s="144">
        <v>5</v>
      </c>
      <c r="D35" s="145">
        <v>80</v>
      </c>
      <c r="E35" s="145">
        <v>62</v>
      </c>
      <c r="F35" s="145">
        <v>82</v>
      </c>
      <c r="G35" s="145">
        <v>78</v>
      </c>
      <c r="H35" s="145">
        <v>75</v>
      </c>
      <c r="I35" s="145">
        <f>SUM(D35:H35)</f>
        <v>377</v>
      </c>
      <c r="J35" s="145">
        <v>58</v>
      </c>
      <c r="K35" s="147" t="s">
        <v>130</v>
      </c>
      <c r="L35" s="147" t="s">
        <v>130</v>
      </c>
      <c r="M35" s="147" t="s">
        <v>114</v>
      </c>
      <c r="N35" s="147" t="s">
        <v>124</v>
      </c>
      <c r="O35" s="147" t="s">
        <v>115</v>
      </c>
      <c r="P35" s="147" t="s">
        <v>114</v>
      </c>
      <c r="Q35" s="148" t="s">
        <v>200</v>
      </c>
      <c r="R35" s="148" t="s">
        <v>118</v>
      </c>
      <c r="S35" s="148" t="s">
        <v>119</v>
      </c>
      <c r="T35" s="148" t="s">
        <v>126</v>
      </c>
      <c r="U35" s="145">
        <f>D35+E35</f>
        <v>142</v>
      </c>
      <c r="V35" s="149"/>
      <c r="W35" s="145">
        <f>D35+E35+F35</f>
        <v>224</v>
      </c>
      <c r="X35" s="149"/>
    </row>
    <row r="36" customHeight="1" spans="1:24">
      <c r="A36" s="153">
        <v>11</v>
      </c>
      <c r="B36" s="154" t="s">
        <v>201</v>
      </c>
      <c r="C36" s="144">
        <v>13</v>
      </c>
      <c r="D36" s="145">
        <v>85</v>
      </c>
      <c r="E36" s="145">
        <v>69</v>
      </c>
      <c r="F36" s="145">
        <v>88</v>
      </c>
      <c r="G36" s="145">
        <v>70</v>
      </c>
      <c r="H36" s="145">
        <v>75</v>
      </c>
      <c r="I36" s="145">
        <f>SUM(D36:H36)</f>
        <v>387</v>
      </c>
      <c r="J36" s="145">
        <v>66</v>
      </c>
      <c r="K36" s="147" t="s">
        <v>114</v>
      </c>
      <c r="L36" s="147" t="s">
        <v>114</v>
      </c>
      <c r="M36" s="147" t="s">
        <v>114</v>
      </c>
      <c r="N36" s="147" t="s">
        <v>130</v>
      </c>
      <c r="O36" s="147" t="s">
        <v>115</v>
      </c>
      <c r="P36" s="147" t="s">
        <v>130</v>
      </c>
      <c r="Q36" s="158" t="s">
        <v>157</v>
      </c>
      <c r="R36" s="148" t="s">
        <v>118</v>
      </c>
      <c r="S36" s="148" t="s">
        <v>119</v>
      </c>
      <c r="T36" s="148" t="s">
        <v>120</v>
      </c>
      <c r="U36" s="145">
        <f>D36+E36</f>
        <v>154</v>
      </c>
      <c r="V36" s="148" t="s">
        <v>158</v>
      </c>
      <c r="W36" s="145">
        <f>D36+E36+F36</f>
        <v>242</v>
      </c>
      <c r="X36" s="149"/>
    </row>
    <row r="37" customHeight="1" spans="1:24">
      <c r="A37" s="153">
        <v>456</v>
      </c>
      <c r="B37" s="154" t="s">
        <v>202</v>
      </c>
      <c r="C37" s="144">
        <v>3</v>
      </c>
      <c r="D37" s="145">
        <v>78</v>
      </c>
      <c r="E37" s="145">
        <v>62</v>
      </c>
      <c r="F37" s="145">
        <v>85</v>
      </c>
      <c r="G37" s="145">
        <v>69</v>
      </c>
      <c r="H37" s="145">
        <v>74</v>
      </c>
      <c r="I37" s="145">
        <f>SUM(D37:H37)</f>
        <v>368</v>
      </c>
      <c r="J37" s="145">
        <v>11</v>
      </c>
      <c r="K37" s="147" t="s">
        <v>130</v>
      </c>
      <c r="L37" s="147" t="s">
        <v>114</v>
      </c>
      <c r="M37" s="147" t="s">
        <v>130</v>
      </c>
      <c r="N37" s="147" t="s">
        <v>130</v>
      </c>
      <c r="O37" s="147" t="s">
        <v>115</v>
      </c>
      <c r="P37" s="147" t="s">
        <v>130</v>
      </c>
      <c r="Q37" s="148" t="s">
        <v>203</v>
      </c>
      <c r="R37" s="148" t="s">
        <v>119</v>
      </c>
      <c r="S37" s="148" t="s">
        <v>133</v>
      </c>
      <c r="T37" s="148" t="s">
        <v>120</v>
      </c>
      <c r="U37" s="145">
        <f>D37+E37</f>
        <v>140</v>
      </c>
      <c r="V37" s="149"/>
      <c r="W37" s="145">
        <f>D37+E37+F37</f>
        <v>225</v>
      </c>
      <c r="X37" s="149"/>
    </row>
    <row r="38" customHeight="1" spans="1:24">
      <c r="A38" s="153">
        <v>451</v>
      </c>
      <c r="B38" s="154" t="s">
        <v>204</v>
      </c>
      <c r="C38" s="144">
        <v>3</v>
      </c>
      <c r="D38" s="145">
        <v>79</v>
      </c>
      <c r="E38" s="145">
        <v>68</v>
      </c>
      <c r="F38" s="145">
        <v>85</v>
      </c>
      <c r="G38" s="145">
        <v>73</v>
      </c>
      <c r="H38" s="145">
        <v>74</v>
      </c>
      <c r="I38" s="145">
        <f>SUM(D38:H38)</f>
        <v>379</v>
      </c>
      <c r="J38" s="145">
        <v>13</v>
      </c>
      <c r="K38" s="147" t="s">
        <v>130</v>
      </c>
      <c r="L38" s="147" t="s">
        <v>130</v>
      </c>
      <c r="M38" s="147" t="s">
        <v>124</v>
      </c>
      <c r="N38" s="147" t="s">
        <v>130</v>
      </c>
      <c r="O38" s="147" t="s">
        <v>115</v>
      </c>
      <c r="P38" s="147" t="s">
        <v>130</v>
      </c>
      <c r="Q38" s="148" t="s">
        <v>205</v>
      </c>
      <c r="R38" s="148" t="s">
        <v>118</v>
      </c>
      <c r="S38" s="148" t="s">
        <v>119</v>
      </c>
      <c r="T38" s="148" t="s">
        <v>126</v>
      </c>
      <c r="U38" s="145">
        <f>D38+E38</f>
        <v>147</v>
      </c>
      <c r="V38" s="149"/>
      <c r="W38" s="145">
        <f>D38+E38+F38</f>
        <v>232</v>
      </c>
      <c r="X38" s="149"/>
    </row>
    <row r="39" customHeight="1" spans="1:24">
      <c r="A39" s="153">
        <v>252</v>
      </c>
      <c r="B39" s="154" t="s">
        <v>206</v>
      </c>
      <c r="C39" s="144">
        <v>3</v>
      </c>
      <c r="D39" s="145">
        <v>74</v>
      </c>
      <c r="E39" s="145">
        <v>59</v>
      </c>
      <c r="F39" s="145">
        <v>73</v>
      </c>
      <c r="G39" s="145">
        <v>75</v>
      </c>
      <c r="H39" s="145">
        <v>72</v>
      </c>
      <c r="I39" s="145">
        <f>SUM(D39:H39)</f>
        <v>353</v>
      </c>
      <c r="J39" s="145">
        <v>142</v>
      </c>
      <c r="K39" s="147" t="s">
        <v>124</v>
      </c>
      <c r="L39" s="147" t="s">
        <v>114</v>
      </c>
      <c r="M39" s="147" t="s">
        <v>130</v>
      </c>
      <c r="N39" s="147" t="s">
        <v>130</v>
      </c>
      <c r="O39" s="147" t="s">
        <v>115</v>
      </c>
      <c r="P39" s="147" t="s">
        <v>124</v>
      </c>
      <c r="Q39" s="148" t="s">
        <v>181</v>
      </c>
      <c r="R39" s="148" t="s">
        <v>118</v>
      </c>
      <c r="S39" s="148" t="s">
        <v>119</v>
      </c>
      <c r="T39" s="148" t="s">
        <v>126</v>
      </c>
      <c r="U39" s="145">
        <f>D39+E39</f>
        <v>133</v>
      </c>
      <c r="V39" s="149"/>
      <c r="W39" s="145">
        <f>D39+E39+F39</f>
        <v>206</v>
      </c>
      <c r="X39" s="149"/>
    </row>
    <row r="40" customHeight="1" spans="1:24">
      <c r="A40" s="153">
        <v>145</v>
      </c>
      <c r="B40" s="154" t="s">
        <v>207</v>
      </c>
      <c r="C40" s="144">
        <v>11</v>
      </c>
      <c r="D40" s="145">
        <v>84</v>
      </c>
      <c r="E40" s="145">
        <v>80</v>
      </c>
      <c r="F40" s="145">
        <v>71</v>
      </c>
      <c r="G40" s="145">
        <v>91</v>
      </c>
      <c r="H40" s="145">
        <v>72</v>
      </c>
      <c r="I40" s="145">
        <f>SUM(D40:H40)</f>
        <v>398</v>
      </c>
      <c r="J40" s="145">
        <v>74</v>
      </c>
      <c r="K40" s="147" t="s">
        <v>114</v>
      </c>
      <c r="L40" s="147" t="s">
        <v>115</v>
      </c>
      <c r="M40" s="147" t="s">
        <v>130</v>
      </c>
      <c r="N40" s="147" t="s">
        <v>124</v>
      </c>
      <c r="O40" s="147" t="s">
        <v>115</v>
      </c>
      <c r="P40" s="147" t="s">
        <v>124</v>
      </c>
      <c r="Q40" s="148" t="s">
        <v>208</v>
      </c>
      <c r="R40" s="148" t="s">
        <v>132</v>
      </c>
      <c r="S40" s="148" t="s">
        <v>133</v>
      </c>
      <c r="T40" s="148" t="s">
        <v>126</v>
      </c>
      <c r="U40" s="145">
        <f>D40+E40</f>
        <v>164</v>
      </c>
      <c r="V40" s="149"/>
      <c r="W40" s="145">
        <f>D40+E40+F40</f>
        <v>235</v>
      </c>
      <c r="X40" s="149"/>
    </row>
    <row r="41" customHeight="1" spans="1:24">
      <c r="A41" s="153">
        <v>394</v>
      </c>
      <c r="B41" s="156" t="s">
        <v>209</v>
      </c>
      <c r="C41" s="144">
        <v>37</v>
      </c>
      <c r="D41" s="145">
        <v>96</v>
      </c>
      <c r="E41" s="145">
        <v>97</v>
      </c>
      <c r="F41" s="145">
        <v>85</v>
      </c>
      <c r="G41" s="145">
        <v>94</v>
      </c>
      <c r="H41" s="145">
        <v>71</v>
      </c>
      <c r="I41" s="145">
        <f>SUM(D41:H41)</f>
        <v>443</v>
      </c>
      <c r="J41" s="145">
        <v>100</v>
      </c>
      <c r="K41" s="160" t="s">
        <v>123</v>
      </c>
      <c r="L41" s="147" t="s">
        <v>130</v>
      </c>
      <c r="M41" s="147" t="s">
        <v>115</v>
      </c>
      <c r="N41" s="147" t="s">
        <v>130</v>
      </c>
      <c r="O41" s="147" t="s">
        <v>115</v>
      </c>
      <c r="P41" s="147" t="s">
        <v>124</v>
      </c>
      <c r="Q41" s="180" t="s">
        <v>210</v>
      </c>
      <c r="R41" s="148" t="s">
        <v>132</v>
      </c>
      <c r="S41" s="148" t="s">
        <v>136</v>
      </c>
      <c r="T41" s="148" t="s">
        <v>126</v>
      </c>
      <c r="U41" s="145">
        <f>D41+E41</f>
        <v>193</v>
      </c>
      <c r="V41" s="148" t="s">
        <v>211</v>
      </c>
      <c r="W41" s="145">
        <f>D41+E41+F41</f>
        <v>278</v>
      </c>
      <c r="X41" s="149"/>
    </row>
    <row r="42" customHeight="1" spans="1:24">
      <c r="A42" s="153">
        <v>429</v>
      </c>
      <c r="B42" s="156" t="s">
        <v>212</v>
      </c>
      <c r="C42" s="144">
        <v>8</v>
      </c>
      <c r="D42" s="145">
        <v>71</v>
      </c>
      <c r="E42" s="145">
        <v>72</v>
      </c>
      <c r="F42" s="145">
        <v>73</v>
      </c>
      <c r="G42" s="145">
        <v>74</v>
      </c>
      <c r="H42" s="145">
        <v>70</v>
      </c>
      <c r="I42" s="145">
        <f>SUM(D42:H42)</f>
        <v>360</v>
      </c>
      <c r="J42" s="145">
        <v>125</v>
      </c>
      <c r="K42" s="147" t="s">
        <v>124</v>
      </c>
      <c r="L42" s="147" t="s">
        <v>130</v>
      </c>
      <c r="M42" s="147" t="s">
        <v>114</v>
      </c>
      <c r="N42" s="147" t="s">
        <v>124</v>
      </c>
      <c r="O42" s="147" t="s">
        <v>115</v>
      </c>
      <c r="P42" s="147" t="s">
        <v>114</v>
      </c>
      <c r="Q42" s="148" t="s">
        <v>160</v>
      </c>
      <c r="R42" s="148" t="s">
        <v>119</v>
      </c>
      <c r="S42" s="148" t="s">
        <v>119</v>
      </c>
      <c r="T42" s="148" t="s">
        <v>148</v>
      </c>
      <c r="U42" s="145">
        <f>D42+E42</f>
        <v>143</v>
      </c>
      <c r="V42" s="149"/>
      <c r="W42" s="145">
        <f>D42+E42+F42</f>
        <v>216</v>
      </c>
      <c r="X42" s="149"/>
    </row>
    <row r="43" customHeight="1" spans="1:24">
      <c r="A43" s="153">
        <v>434</v>
      </c>
      <c r="B43" s="154" t="s">
        <v>213</v>
      </c>
      <c r="C43" s="144">
        <v>5</v>
      </c>
      <c r="D43" s="145">
        <v>82</v>
      </c>
      <c r="E43" s="145">
        <v>66</v>
      </c>
      <c r="F43" s="145">
        <v>93</v>
      </c>
      <c r="G43" s="145">
        <v>78</v>
      </c>
      <c r="H43" s="145">
        <v>70</v>
      </c>
      <c r="I43" s="145">
        <f>SUM(D43:H43)</f>
        <v>389</v>
      </c>
      <c r="J43" s="145">
        <v>9</v>
      </c>
      <c r="K43" s="147" t="s">
        <v>114</v>
      </c>
      <c r="L43" s="147" t="s">
        <v>130</v>
      </c>
      <c r="M43" s="147" t="s">
        <v>114</v>
      </c>
      <c r="N43" s="147" t="s">
        <v>130</v>
      </c>
      <c r="O43" s="147" t="s">
        <v>115</v>
      </c>
      <c r="P43" s="147" t="s">
        <v>114</v>
      </c>
      <c r="Q43" s="148" t="s">
        <v>168</v>
      </c>
      <c r="R43" s="148" t="s">
        <v>132</v>
      </c>
      <c r="S43" s="148" t="s">
        <v>119</v>
      </c>
      <c r="T43" s="148" t="s">
        <v>148</v>
      </c>
      <c r="U43" s="145">
        <f>D43+E43</f>
        <v>148</v>
      </c>
      <c r="V43" s="149"/>
      <c r="W43" s="145">
        <f>D43+E43+F43</f>
        <v>241</v>
      </c>
      <c r="X43" s="149"/>
    </row>
    <row r="44" customHeight="1" spans="1:24">
      <c r="A44" s="153">
        <v>64</v>
      </c>
      <c r="B44" s="154" t="s">
        <v>214</v>
      </c>
      <c r="C44" s="144">
        <v>10</v>
      </c>
      <c r="D44" s="145">
        <v>88</v>
      </c>
      <c r="E44" s="145">
        <v>69</v>
      </c>
      <c r="F44" s="145">
        <v>86</v>
      </c>
      <c r="G44" s="145">
        <v>72</v>
      </c>
      <c r="H44" s="145">
        <v>69</v>
      </c>
      <c r="I44" s="145">
        <f>SUM(D44:H44)</f>
        <v>384</v>
      </c>
      <c r="J44" s="145">
        <v>0</v>
      </c>
      <c r="K44" s="147" t="s">
        <v>130</v>
      </c>
      <c r="L44" s="147" t="s">
        <v>114</v>
      </c>
      <c r="M44" s="147" t="s">
        <v>115</v>
      </c>
      <c r="N44" s="147" t="s">
        <v>114</v>
      </c>
      <c r="O44" s="147" t="s">
        <v>115</v>
      </c>
      <c r="P44" s="147" t="s">
        <v>130</v>
      </c>
      <c r="Q44" s="148" t="s">
        <v>215</v>
      </c>
      <c r="R44" s="148" t="s">
        <v>132</v>
      </c>
      <c r="S44" s="148" t="s">
        <v>119</v>
      </c>
      <c r="T44" s="148" t="s">
        <v>120</v>
      </c>
      <c r="U44" s="145">
        <f>D44+E44</f>
        <v>157</v>
      </c>
      <c r="V44" s="149"/>
      <c r="W44" s="145">
        <f>D44+E44+F44</f>
        <v>243</v>
      </c>
      <c r="X44" s="149"/>
    </row>
    <row r="45" customHeight="1" spans="1:24">
      <c r="A45" s="153">
        <v>435</v>
      </c>
      <c r="B45" s="154" t="s">
        <v>216</v>
      </c>
      <c r="C45" s="144">
        <v>10</v>
      </c>
      <c r="D45" s="145">
        <v>84</v>
      </c>
      <c r="E45" s="145">
        <v>73</v>
      </c>
      <c r="F45" s="145">
        <v>87</v>
      </c>
      <c r="G45" s="145">
        <v>92</v>
      </c>
      <c r="H45" s="145">
        <v>69</v>
      </c>
      <c r="I45" s="145">
        <f>SUM(D45:H45)</f>
        <v>405</v>
      </c>
      <c r="J45" s="145">
        <v>10</v>
      </c>
      <c r="K45" s="147" t="s">
        <v>114</v>
      </c>
      <c r="L45" s="147" t="s">
        <v>130</v>
      </c>
      <c r="M45" s="147" t="s">
        <v>114</v>
      </c>
      <c r="N45" s="147" t="s">
        <v>114</v>
      </c>
      <c r="O45" s="147" t="s">
        <v>115</v>
      </c>
      <c r="P45" s="147" t="s">
        <v>124</v>
      </c>
      <c r="Q45" s="148" t="s">
        <v>217</v>
      </c>
      <c r="R45" s="148" t="s">
        <v>132</v>
      </c>
      <c r="S45" s="148" t="s">
        <v>136</v>
      </c>
      <c r="T45" s="148" t="s">
        <v>120</v>
      </c>
      <c r="U45" s="145">
        <f>D45+E45</f>
        <v>157</v>
      </c>
      <c r="V45" s="149"/>
      <c r="W45" s="145">
        <f>D45+E45+F45</f>
        <v>244</v>
      </c>
      <c r="X45" s="149"/>
    </row>
    <row r="46" customHeight="1" spans="1:24">
      <c r="A46" s="153">
        <v>174</v>
      </c>
      <c r="B46" s="154" t="s">
        <v>218</v>
      </c>
      <c r="C46" s="144">
        <v>9</v>
      </c>
      <c r="D46" s="145">
        <v>85</v>
      </c>
      <c r="E46" s="145">
        <v>79</v>
      </c>
      <c r="F46" s="145">
        <v>77</v>
      </c>
      <c r="G46" s="145">
        <v>65</v>
      </c>
      <c r="H46" s="145">
        <v>68</v>
      </c>
      <c r="I46" s="145">
        <f>SUM(D46:H46)</f>
        <v>374</v>
      </c>
      <c r="J46" s="145">
        <v>77</v>
      </c>
      <c r="K46" s="147" t="s">
        <v>114</v>
      </c>
      <c r="L46" s="147" t="s">
        <v>130</v>
      </c>
      <c r="M46" s="147" t="s">
        <v>130</v>
      </c>
      <c r="N46" s="147" t="s">
        <v>114</v>
      </c>
      <c r="O46" s="147" t="s">
        <v>115</v>
      </c>
      <c r="P46" s="147" t="s">
        <v>124</v>
      </c>
      <c r="Q46" s="148" t="s">
        <v>194</v>
      </c>
      <c r="R46" s="148" t="s">
        <v>132</v>
      </c>
      <c r="S46" s="148" t="s">
        <v>119</v>
      </c>
      <c r="T46" s="148" t="s">
        <v>126</v>
      </c>
      <c r="U46" s="145">
        <f>D46+E46</f>
        <v>164</v>
      </c>
      <c r="V46" s="149"/>
      <c r="W46" s="145">
        <f>D46+E46+F46</f>
        <v>241</v>
      </c>
      <c r="X46" s="149"/>
    </row>
    <row r="47" customHeight="1" spans="1:24">
      <c r="A47" s="153">
        <v>396</v>
      </c>
      <c r="B47" s="154" t="s">
        <v>219</v>
      </c>
      <c r="C47" s="144">
        <v>9</v>
      </c>
      <c r="D47" s="145">
        <v>81</v>
      </c>
      <c r="E47" s="145">
        <v>69</v>
      </c>
      <c r="F47" s="145">
        <v>53</v>
      </c>
      <c r="G47" s="145">
        <v>57</v>
      </c>
      <c r="H47" s="145">
        <v>67</v>
      </c>
      <c r="I47" s="145">
        <f>SUM(D47:H47)</f>
        <v>327</v>
      </c>
      <c r="J47" s="145">
        <v>147</v>
      </c>
      <c r="K47" s="147" t="s">
        <v>114</v>
      </c>
      <c r="L47" s="147" t="s">
        <v>130</v>
      </c>
      <c r="M47" s="147" t="s">
        <v>130</v>
      </c>
      <c r="N47" s="147" t="s">
        <v>114</v>
      </c>
      <c r="O47" s="147" t="s">
        <v>115</v>
      </c>
      <c r="P47" s="147" t="s">
        <v>124</v>
      </c>
      <c r="Q47" s="148" t="s">
        <v>220</v>
      </c>
      <c r="R47" s="148" t="s">
        <v>119</v>
      </c>
      <c r="S47" s="148" t="s">
        <v>119</v>
      </c>
      <c r="T47" s="148" t="s">
        <v>126</v>
      </c>
      <c r="U47" s="145">
        <f>D47+E47</f>
        <v>150</v>
      </c>
      <c r="V47" s="149"/>
      <c r="W47" s="145">
        <f>D47+E47+F47</f>
        <v>203</v>
      </c>
      <c r="X47" s="149"/>
    </row>
    <row r="48" customHeight="1" spans="1:24">
      <c r="A48" s="153">
        <v>627</v>
      </c>
      <c r="B48" s="154" t="s">
        <v>221</v>
      </c>
      <c r="C48" s="144">
        <v>13</v>
      </c>
      <c r="D48" s="145">
        <v>85</v>
      </c>
      <c r="E48" s="145">
        <v>73</v>
      </c>
      <c r="F48" s="145">
        <v>68</v>
      </c>
      <c r="G48" s="145">
        <v>63</v>
      </c>
      <c r="H48" s="145">
        <v>67</v>
      </c>
      <c r="I48" s="145">
        <f>SUM(D48:H48)</f>
        <v>356</v>
      </c>
      <c r="J48" s="145">
        <v>62</v>
      </c>
      <c r="K48" s="147" t="s">
        <v>114</v>
      </c>
      <c r="L48" s="147" t="s">
        <v>115</v>
      </c>
      <c r="M48" s="147" t="s">
        <v>114</v>
      </c>
      <c r="N48" s="147" t="s">
        <v>130</v>
      </c>
      <c r="O48" s="147" t="s">
        <v>115</v>
      </c>
      <c r="P48" s="147" t="s">
        <v>114</v>
      </c>
      <c r="Q48" s="158" t="s">
        <v>157</v>
      </c>
      <c r="R48" s="148" t="s">
        <v>132</v>
      </c>
      <c r="S48" s="148" t="s">
        <v>119</v>
      </c>
      <c r="T48" s="148" t="s">
        <v>120</v>
      </c>
      <c r="U48" s="145">
        <f>D48+E48</f>
        <v>158</v>
      </c>
      <c r="V48" s="148" t="s">
        <v>158</v>
      </c>
      <c r="W48" s="145">
        <f>D48+E48+F48</f>
        <v>226</v>
      </c>
      <c r="X48" s="149"/>
    </row>
    <row r="49" customHeight="1" spans="1:24">
      <c r="A49" s="153">
        <v>50</v>
      </c>
      <c r="B49" s="154" t="s">
        <v>222</v>
      </c>
      <c r="C49" s="144">
        <v>46</v>
      </c>
      <c r="D49" s="167">
        <v>109</v>
      </c>
      <c r="E49" s="145">
        <v>69</v>
      </c>
      <c r="F49" s="145">
        <v>101</v>
      </c>
      <c r="G49" s="145">
        <v>95</v>
      </c>
      <c r="H49" s="145">
        <v>67</v>
      </c>
      <c r="I49" s="145">
        <f>SUM(D49:H49)</f>
        <v>441</v>
      </c>
      <c r="J49" s="145">
        <v>104</v>
      </c>
      <c r="K49" s="147" t="s">
        <v>115</v>
      </c>
      <c r="L49" s="160" t="s">
        <v>123</v>
      </c>
      <c r="M49" s="147" t="s">
        <v>114</v>
      </c>
      <c r="N49" s="147" t="s">
        <v>114</v>
      </c>
      <c r="O49" s="147" t="s">
        <v>115</v>
      </c>
      <c r="P49" s="147" t="s">
        <v>114</v>
      </c>
      <c r="Q49" s="158" t="s">
        <v>223</v>
      </c>
      <c r="R49" s="148" t="s">
        <v>119</v>
      </c>
      <c r="S49" s="148" t="s">
        <v>136</v>
      </c>
      <c r="T49" s="148" t="s">
        <v>126</v>
      </c>
      <c r="U49" s="145">
        <f>D49+E49</f>
        <v>178</v>
      </c>
      <c r="V49" s="172" t="s">
        <v>224</v>
      </c>
      <c r="W49" s="145">
        <f>D49+E49+F49</f>
        <v>279</v>
      </c>
      <c r="X49" s="149"/>
    </row>
    <row r="50" customHeight="1" spans="1:24">
      <c r="A50" s="153">
        <v>359</v>
      </c>
      <c r="B50" s="154" t="s">
        <v>225</v>
      </c>
      <c r="C50" s="144">
        <v>12</v>
      </c>
      <c r="D50" s="145">
        <v>91</v>
      </c>
      <c r="E50" s="145">
        <v>37</v>
      </c>
      <c r="F50" s="145">
        <v>78</v>
      </c>
      <c r="G50" s="145">
        <v>64</v>
      </c>
      <c r="H50" s="145">
        <v>66</v>
      </c>
      <c r="I50" s="145">
        <f>SUM(D50:H50)</f>
        <v>336</v>
      </c>
      <c r="J50" s="145">
        <v>77</v>
      </c>
      <c r="K50" s="147" t="s">
        <v>115</v>
      </c>
      <c r="L50" s="147" t="s">
        <v>114</v>
      </c>
      <c r="M50" s="147" t="s">
        <v>130</v>
      </c>
      <c r="N50" s="147" t="s">
        <v>114</v>
      </c>
      <c r="O50" s="147" t="s">
        <v>115</v>
      </c>
      <c r="P50" s="147" t="s">
        <v>114</v>
      </c>
      <c r="Q50" s="158" t="s">
        <v>226</v>
      </c>
      <c r="R50" s="148" t="s">
        <v>132</v>
      </c>
      <c r="S50" s="148" t="s">
        <v>119</v>
      </c>
      <c r="T50" s="148" t="s">
        <v>126</v>
      </c>
      <c r="U50" s="145">
        <f>D50+E50</f>
        <v>128</v>
      </c>
      <c r="V50" s="149"/>
      <c r="W50" s="145">
        <f>D50+E50+F50</f>
        <v>206</v>
      </c>
      <c r="X50" s="149"/>
    </row>
    <row r="51" customHeight="1" spans="1:24">
      <c r="A51" s="153">
        <v>187</v>
      </c>
      <c r="B51" s="154" t="s">
        <v>227</v>
      </c>
      <c r="C51" s="144">
        <v>15</v>
      </c>
      <c r="D51" s="145">
        <v>87</v>
      </c>
      <c r="E51" s="145">
        <v>84</v>
      </c>
      <c r="F51" s="145">
        <v>64</v>
      </c>
      <c r="G51" s="145">
        <v>61</v>
      </c>
      <c r="H51" s="145">
        <v>65</v>
      </c>
      <c r="I51" s="145">
        <f>SUM(D51:H51)</f>
        <v>361</v>
      </c>
      <c r="J51" s="145">
        <v>72</v>
      </c>
      <c r="K51" s="147" t="s">
        <v>114</v>
      </c>
      <c r="L51" s="147" t="s">
        <v>130</v>
      </c>
      <c r="M51" s="147" t="s">
        <v>114</v>
      </c>
      <c r="N51" s="147" t="s">
        <v>115</v>
      </c>
      <c r="O51" s="147" t="s">
        <v>115</v>
      </c>
      <c r="P51" s="147" t="s">
        <v>124</v>
      </c>
      <c r="Q51" s="148" t="s">
        <v>228</v>
      </c>
      <c r="R51" s="148" t="s">
        <v>132</v>
      </c>
      <c r="S51" s="148" t="s">
        <v>119</v>
      </c>
      <c r="T51" s="148" t="s">
        <v>126</v>
      </c>
      <c r="U51" s="145">
        <f>D51+E51</f>
        <v>171</v>
      </c>
      <c r="V51" s="149"/>
      <c r="W51" s="145">
        <f>D51+E51+F51</f>
        <v>235</v>
      </c>
      <c r="X51" s="149"/>
    </row>
    <row r="52" customHeight="1" spans="1:24">
      <c r="A52" s="153">
        <v>322</v>
      </c>
      <c r="B52" s="154" t="s">
        <v>229</v>
      </c>
      <c r="C52" s="144">
        <v>13</v>
      </c>
      <c r="D52" s="145">
        <v>88</v>
      </c>
      <c r="E52" s="145">
        <v>82</v>
      </c>
      <c r="F52" s="145">
        <v>80</v>
      </c>
      <c r="G52" s="145">
        <v>50</v>
      </c>
      <c r="H52" s="145">
        <v>65</v>
      </c>
      <c r="I52" s="145">
        <f>SUM(D52:H52)</f>
        <v>365</v>
      </c>
      <c r="J52" s="145">
        <v>62</v>
      </c>
      <c r="K52" s="147" t="s">
        <v>114</v>
      </c>
      <c r="L52" s="147" t="s">
        <v>115</v>
      </c>
      <c r="M52" s="147" t="s">
        <v>130</v>
      </c>
      <c r="N52" s="147" t="s">
        <v>130</v>
      </c>
      <c r="O52" s="147" t="s">
        <v>115</v>
      </c>
      <c r="P52" s="147" t="s">
        <v>114</v>
      </c>
      <c r="Q52" s="148" t="s">
        <v>230</v>
      </c>
      <c r="R52" s="148" t="s">
        <v>132</v>
      </c>
      <c r="S52" s="148" t="s">
        <v>119</v>
      </c>
      <c r="T52" s="148" t="s">
        <v>120</v>
      </c>
      <c r="U52" s="145">
        <f>D52+E52</f>
        <v>170</v>
      </c>
      <c r="V52" s="149"/>
      <c r="W52" s="145">
        <f>D52+E52+F52</f>
        <v>250</v>
      </c>
      <c r="X52" s="149"/>
    </row>
    <row r="53" customHeight="1" spans="1:24">
      <c r="A53" s="153">
        <v>376</v>
      </c>
      <c r="B53" s="154" t="s">
        <v>231</v>
      </c>
      <c r="C53" s="144">
        <v>14</v>
      </c>
      <c r="D53" s="145">
        <v>88</v>
      </c>
      <c r="E53" s="145">
        <v>79</v>
      </c>
      <c r="F53" s="145">
        <v>82</v>
      </c>
      <c r="G53" s="145">
        <v>71</v>
      </c>
      <c r="H53" s="145">
        <v>65</v>
      </c>
      <c r="I53" s="145">
        <f>SUM(D53:H53)</f>
        <v>385</v>
      </c>
      <c r="J53" s="145">
        <v>26</v>
      </c>
      <c r="K53" s="147" t="s">
        <v>114</v>
      </c>
      <c r="L53" s="147" t="s">
        <v>115</v>
      </c>
      <c r="M53" s="147" t="s">
        <v>114</v>
      </c>
      <c r="N53" s="147" t="s">
        <v>114</v>
      </c>
      <c r="O53" s="147" t="s">
        <v>115</v>
      </c>
      <c r="P53" s="147" t="s">
        <v>130</v>
      </c>
      <c r="Q53" s="158" t="s">
        <v>232</v>
      </c>
      <c r="R53" s="148" t="s">
        <v>132</v>
      </c>
      <c r="S53" s="148" t="s">
        <v>136</v>
      </c>
      <c r="T53" s="148" t="s">
        <v>126</v>
      </c>
      <c r="U53" s="145">
        <f>D53+E53</f>
        <v>167</v>
      </c>
      <c r="V53" s="148" t="s">
        <v>233</v>
      </c>
      <c r="W53" s="145">
        <f>D53+E53+F53</f>
        <v>249</v>
      </c>
      <c r="X53" s="149"/>
    </row>
    <row r="54" customHeight="1" spans="1:24">
      <c r="A54" s="153">
        <v>12</v>
      </c>
      <c r="B54" s="154" t="s">
        <v>234</v>
      </c>
      <c r="C54" s="144">
        <v>19</v>
      </c>
      <c r="D54" s="145">
        <v>92</v>
      </c>
      <c r="E54" s="145">
        <v>5</v>
      </c>
      <c r="F54" s="145">
        <v>104</v>
      </c>
      <c r="G54" s="145">
        <v>69</v>
      </c>
      <c r="H54" s="145">
        <v>64</v>
      </c>
      <c r="I54" s="145">
        <f>SUM(D54:H54)</f>
        <v>334</v>
      </c>
      <c r="J54" s="145">
        <v>66</v>
      </c>
      <c r="K54" s="147" t="s">
        <v>114</v>
      </c>
      <c r="L54" s="147" t="s">
        <v>115</v>
      </c>
      <c r="M54" s="147" t="s">
        <v>115</v>
      </c>
      <c r="N54" s="147" t="s">
        <v>130</v>
      </c>
      <c r="O54" s="147" t="s">
        <v>115</v>
      </c>
      <c r="P54" s="147" t="s">
        <v>130</v>
      </c>
      <c r="Q54" s="158" t="s">
        <v>174</v>
      </c>
      <c r="R54" s="148" t="s">
        <v>132</v>
      </c>
      <c r="S54" s="148" t="s">
        <v>119</v>
      </c>
      <c r="T54" s="148" t="s">
        <v>120</v>
      </c>
      <c r="U54" s="145">
        <f>D54+E54</f>
        <v>97</v>
      </c>
      <c r="V54" s="148" t="s">
        <v>176</v>
      </c>
      <c r="W54" s="145">
        <f>D54+E54+F54</f>
        <v>201</v>
      </c>
      <c r="X54" s="149"/>
    </row>
    <row r="55" customHeight="1" spans="1:24">
      <c r="A55" s="153">
        <v>690</v>
      </c>
      <c r="B55" s="154" t="s">
        <v>235</v>
      </c>
      <c r="C55" s="144">
        <v>9</v>
      </c>
      <c r="D55" s="145">
        <v>85</v>
      </c>
      <c r="E55" s="145">
        <v>67</v>
      </c>
      <c r="F55" s="145">
        <v>67</v>
      </c>
      <c r="G55" s="145">
        <v>57</v>
      </c>
      <c r="H55" s="145">
        <v>63</v>
      </c>
      <c r="I55" s="145">
        <f>SUM(D55:H55)</f>
        <v>339</v>
      </c>
      <c r="J55" s="145">
        <v>87</v>
      </c>
      <c r="K55" s="147" t="s">
        <v>130</v>
      </c>
      <c r="L55" s="147" t="s">
        <v>130</v>
      </c>
      <c r="M55" s="147" t="s">
        <v>130</v>
      </c>
      <c r="N55" s="147" t="s">
        <v>114</v>
      </c>
      <c r="O55" s="147" t="s">
        <v>115</v>
      </c>
      <c r="P55" s="147" t="s">
        <v>130</v>
      </c>
      <c r="Q55" s="159" t="s">
        <v>236</v>
      </c>
      <c r="R55" s="148" t="s">
        <v>132</v>
      </c>
      <c r="S55" s="148" t="s">
        <v>136</v>
      </c>
      <c r="T55" s="148" t="s">
        <v>126</v>
      </c>
      <c r="U55" s="145">
        <f>D55+E55</f>
        <v>152</v>
      </c>
      <c r="V55" s="148"/>
      <c r="W55" s="145">
        <f>D55+E55+F55</f>
        <v>219</v>
      </c>
      <c r="X55" s="149"/>
    </row>
    <row r="56" customHeight="1" spans="1:24">
      <c r="A56" s="153">
        <v>239</v>
      </c>
      <c r="B56" s="154" t="s">
        <v>237</v>
      </c>
      <c r="C56" s="144">
        <v>12</v>
      </c>
      <c r="D56" s="145">
        <v>87</v>
      </c>
      <c r="E56" s="145">
        <v>38</v>
      </c>
      <c r="F56" s="145">
        <v>86</v>
      </c>
      <c r="G56" s="145">
        <v>70</v>
      </c>
      <c r="H56" s="145">
        <v>62</v>
      </c>
      <c r="I56" s="145">
        <f>SUM(D56:H56)</f>
        <v>343</v>
      </c>
      <c r="J56" s="145">
        <v>25</v>
      </c>
      <c r="K56" s="147" t="s">
        <v>115</v>
      </c>
      <c r="L56" s="147" t="s">
        <v>130</v>
      </c>
      <c r="M56" s="147" t="s">
        <v>114</v>
      </c>
      <c r="N56" s="147" t="s">
        <v>114</v>
      </c>
      <c r="O56" s="147" t="s">
        <v>115</v>
      </c>
      <c r="P56" s="147" t="s">
        <v>124</v>
      </c>
      <c r="Q56" s="158" t="s">
        <v>178</v>
      </c>
      <c r="R56" s="148" t="s">
        <v>132</v>
      </c>
      <c r="S56" s="148" t="s">
        <v>119</v>
      </c>
      <c r="T56" s="148" t="s">
        <v>126</v>
      </c>
      <c r="U56" s="145">
        <f>D56+E56</f>
        <v>125</v>
      </c>
      <c r="V56" s="148" t="s">
        <v>179</v>
      </c>
      <c r="W56" s="145">
        <f>D56+E56+F56</f>
        <v>211</v>
      </c>
      <c r="X56" s="149"/>
    </row>
    <row r="57" customHeight="1" spans="1:24">
      <c r="A57" s="153">
        <v>193</v>
      </c>
      <c r="B57" s="154" t="s">
        <v>238</v>
      </c>
      <c r="C57" s="144">
        <v>9</v>
      </c>
      <c r="D57" s="145">
        <v>80</v>
      </c>
      <c r="E57" s="145">
        <v>86</v>
      </c>
      <c r="F57" s="145">
        <v>68</v>
      </c>
      <c r="G57" s="145">
        <v>73</v>
      </c>
      <c r="H57" s="145">
        <v>62</v>
      </c>
      <c r="I57" s="145">
        <f>SUM(D57:H57)</f>
        <v>369</v>
      </c>
      <c r="J57" s="145">
        <v>73</v>
      </c>
      <c r="K57" s="147" t="s">
        <v>114</v>
      </c>
      <c r="L57" s="147" t="s">
        <v>114</v>
      </c>
      <c r="M57" s="147" t="s">
        <v>130</v>
      </c>
      <c r="N57" s="147" t="s">
        <v>130</v>
      </c>
      <c r="O57" s="147" t="s">
        <v>115</v>
      </c>
      <c r="P57" s="147" t="s">
        <v>130</v>
      </c>
      <c r="Q57" s="148" t="s">
        <v>239</v>
      </c>
      <c r="R57" s="148" t="s">
        <v>132</v>
      </c>
      <c r="S57" s="148" t="s">
        <v>119</v>
      </c>
      <c r="T57" s="148" t="s">
        <v>126</v>
      </c>
      <c r="U57" s="145">
        <f>D57+E57</f>
        <v>166</v>
      </c>
      <c r="V57" s="149"/>
      <c r="W57" s="145">
        <f>D57+E57+F57</f>
        <v>234</v>
      </c>
      <c r="X57" s="149"/>
    </row>
    <row r="58" customHeight="1" spans="1:24">
      <c r="A58" s="153">
        <v>468</v>
      </c>
      <c r="B58" s="154" t="s">
        <v>240</v>
      </c>
      <c r="C58" s="144">
        <v>7</v>
      </c>
      <c r="D58" s="145">
        <v>74</v>
      </c>
      <c r="E58" s="145">
        <v>84</v>
      </c>
      <c r="F58" s="145">
        <v>58</v>
      </c>
      <c r="G58" s="145">
        <v>66</v>
      </c>
      <c r="H58" s="145">
        <v>61</v>
      </c>
      <c r="I58" s="145">
        <f>SUM(D58:H58)</f>
        <v>343</v>
      </c>
      <c r="J58" s="145">
        <v>11</v>
      </c>
      <c r="K58" s="147" t="s">
        <v>130</v>
      </c>
      <c r="L58" s="147" t="s">
        <v>124</v>
      </c>
      <c r="M58" s="147" t="s">
        <v>130</v>
      </c>
      <c r="N58" s="147" t="s">
        <v>114</v>
      </c>
      <c r="O58" s="147" t="s">
        <v>115</v>
      </c>
      <c r="P58" s="147" t="s">
        <v>124</v>
      </c>
      <c r="Q58" s="148" t="s">
        <v>181</v>
      </c>
      <c r="R58" s="148" t="s">
        <v>132</v>
      </c>
      <c r="S58" s="148" t="s">
        <v>119</v>
      </c>
      <c r="T58" s="148" t="s">
        <v>120</v>
      </c>
      <c r="U58" s="145">
        <f>D58+E58</f>
        <v>158</v>
      </c>
      <c r="V58" s="149"/>
      <c r="W58" s="145">
        <f>D58+E58+F58</f>
        <v>216</v>
      </c>
      <c r="X58" s="149"/>
    </row>
    <row r="59" customHeight="1" spans="1:24">
      <c r="A59" s="153">
        <v>595</v>
      </c>
      <c r="B59" s="154" t="s">
        <v>241</v>
      </c>
      <c r="C59" s="144">
        <v>13</v>
      </c>
      <c r="D59" s="145">
        <v>87</v>
      </c>
      <c r="E59" s="145">
        <v>77</v>
      </c>
      <c r="F59" s="145">
        <v>79</v>
      </c>
      <c r="G59" s="145">
        <v>53</v>
      </c>
      <c r="H59" s="145">
        <v>61</v>
      </c>
      <c r="I59" s="145">
        <f>SUM(D59:H59)</f>
        <v>357</v>
      </c>
      <c r="J59" s="145">
        <v>110</v>
      </c>
      <c r="K59" s="147" t="s">
        <v>114</v>
      </c>
      <c r="L59" s="147" t="s">
        <v>115</v>
      </c>
      <c r="M59" s="147" t="s">
        <v>130</v>
      </c>
      <c r="N59" s="147" t="s">
        <v>124</v>
      </c>
      <c r="O59" s="147" t="s">
        <v>115</v>
      </c>
      <c r="P59" s="147" t="s">
        <v>114</v>
      </c>
      <c r="Q59" s="158" t="s">
        <v>157</v>
      </c>
      <c r="R59" s="148" t="s">
        <v>132</v>
      </c>
      <c r="S59" s="148" t="s">
        <v>119</v>
      </c>
      <c r="T59" s="148" t="s">
        <v>120</v>
      </c>
      <c r="U59" s="145">
        <f>D59+E59</f>
        <v>164</v>
      </c>
      <c r="V59" s="148" t="s">
        <v>158</v>
      </c>
      <c r="W59" s="145">
        <f>D59+E59+F59</f>
        <v>243</v>
      </c>
      <c r="X59" s="149"/>
    </row>
    <row r="60" customHeight="1" spans="1:24">
      <c r="A60" s="153">
        <v>84</v>
      </c>
      <c r="B60" s="154" t="s">
        <v>242</v>
      </c>
      <c r="C60" s="144">
        <v>14</v>
      </c>
      <c r="D60" s="145">
        <v>86</v>
      </c>
      <c r="E60" s="145">
        <v>63</v>
      </c>
      <c r="F60" s="145">
        <v>79</v>
      </c>
      <c r="G60" s="145">
        <v>71</v>
      </c>
      <c r="H60" s="145">
        <v>61</v>
      </c>
      <c r="I60" s="145">
        <f>SUM(D60:H60)</f>
        <v>360</v>
      </c>
      <c r="J60" s="145">
        <v>149</v>
      </c>
      <c r="K60" s="147" t="s">
        <v>130</v>
      </c>
      <c r="L60" s="147" t="s">
        <v>115</v>
      </c>
      <c r="M60" s="147" t="s">
        <v>114</v>
      </c>
      <c r="N60" s="147" t="s">
        <v>124</v>
      </c>
      <c r="O60" s="147" t="s">
        <v>115</v>
      </c>
      <c r="P60" s="147" t="s">
        <v>114</v>
      </c>
      <c r="Q60" s="158" t="s">
        <v>243</v>
      </c>
      <c r="R60" s="148" t="s">
        <v>132</v>
      </c>
      <c r="S60" s="148" t="s">
        <v>119</v>
      </c>
      <c r="T60" s="148" t="s">
        <v>120</v>
      </c>
      <c r="U60" s="145">
        <f>D60+E60</f>
        <v>149</v>
      </c>
      <c r="V60" s="149"/>
      <c r="W60" s="145">
        <f>D60+E60+F60</f>
        <v>228</v>
      </c>
      <c r="X60" s="149"/>
    </row>
    <row r="61" customHeight="1" spans="1:24">
      <c r="A61" s="153">
        <v>37</v>
      </c>
      <c r="B61" s="154" t="s">
        <v>244</v>
      </c>
      <c r="C61" s="144">
        <v>6</v>
      </c>
      <c r="D61" s="145">
        <v>80</v>
      </c>
      <c r="E61" s="145">
        <v>74</v>
      </c>
      <c r="F61" s="145">
        <v>73</v>
      </c>
      <c r="G61" s="145">
        <v>74</v>
      </c>
      <c r="H61" s="145">
        <v>61</v>
      </c>
      <c r="I61" s="145">
        <f>SUM(D61:H61)</f>
        <v>362</v>
      </c>
      <c r="J61" s="145">
        <v>28</v>
      </c>
      <c r="K61" s="147" t="s">
        <v>130</v>
      </c>
      <c r="L61" s="147" t="s">
        <v>130</v>
      </c>
      <c r="M61" s="147" t="s">
        <v>114</v>
      </c>
      <c r="N61" s="147" t="s">
        <v>124</v>
      </c>
      <c r="O61" s="147" t="s">
        <v>115</v>
      </c>
      <c r="P61" s="147" t="s">
        <v>115</v>
      </c>
      <c r="Q61" s="148" t="s">
        <v>245</v>
      </c>
      <c r="R61" s="148" t="s">
        <v>119</v>
      </c>
      <c r="S61" s="148" t="s">
        <v>136</v>
      </c>
      <c r="T61" s="148" t="s">
        <v>126</v>
      </c>
      <c r="U61" s="145">
        <f>D61+E61</f>
        <v>154</v>
      </c>
      <c r="V61" s="149"/>
      <c r="W61" s="145">
        <f>D61+E61+F61</f>
        <v>227</v>
      </c>
      <c r="X61" s="149"/>
    </row>
    <row r="62" customHeight="1" spans="1:24">
      <c r="A62" s="153">
        <v>72</v>
      </c>
      <c r="B62" s="154" t="s">
        <v>246</v>
      </c>
      <c r="C62" s="144">
        <v>36</v>
      </c>
      <c r="D62" s="145">
        <v>98</v>
      </c>
      <c r="E62" s="145">
        <v>73</v>
      </c>
      <c r="F62" s="145">
        <v>75</v>
      </c>
      <c r="G62" s="145">
        <v>67</v>
      </c>
      <c r="H62" s="145">
        <v>59</v>
      </c>
      <c r="I62" s="145">
        <f>SUM(D62:H62)</f>
        <v>372</v>
      </c>
      <c r="J62" s="145">
        <v>1</v>
      </c>
      <c r="K62" s="147" t="s">
        <v>114</v>
      </c>
      <c r="L62" s="147" t="s">
        <v>115</v>
      </c>
      <c r="M62" s="160" t="s">
        <v>116</v>
      </c>
      <c r="N62" s="147" t="s">
        <v>114</v>
      </c>
      <c r="O62" s="147" t="s">
        <v>115</v>
      </c>
      <c r="P62" s="147" t="s">
        <v>114</v>
      </c>
      <c r="Q62" s="158" t="s">
        <v>247</v>
      </c>
      <c r="R62" s="148" t="s">
        <v>132</v>
      </c>
      <c r="S62" s="148" t="s">
        <v>119</v>
      </c>
      <c r="T62" s="148" t="s">
        <v>126</v>
      </c>
      <c r="U62" s="145">
        <f>D62+E62</f>
        <v>171</v>
      </c>
      <c r="V62" s="172" t="s">
        <v>248</v>
      </c>
      <c r="W62" s="145">
        <f>D62+E62+F62</f>
        <v>246</v>
      </c>
      <c r="X62" s="149"/>
    </row>
    <row r="63" customHeight="1" spans="1:24">
      <c r="A63" s="153">
        <v>9</v>
      </c>
      <c r="B63" s="154" t="s">
        <v>249</v>
      </c>
      <c r="C63" s="144">
        <v>10</v>
      </c>
      <c r="D63" s="145">
        <v>84</v>
      </c>
      <c r="E63" s="145">
        <v>75</v>
      </c>
      <c r="F63" s="145">
        <v>69</v>
      </c>
      <c r="G63" s="145">
        <v>44</v>
      </c>
      <c r="H63" s="145">
        <v>58</v>
      </c>
      <c r="I63" s="145">
        <f>SUM(D63:H63)</f>
        <v>330</v>
      </c>
      <c r="J63" s="145">
        <v>68</v>
      </c>
      <c r="K63" s="147" t="s">
        <v>115</v>
      </c>
      <c r="L63" s="147" t="s">
        <v>114</v>
      </c>
      <c r="M63" s="147" t="s">
        <v>130</v>
      </c>
      <c r="N63" s="147" t="s">
        <v>130</v>
      </c>
      <c r="O63" s="147" t="s">
        <v>115</v>
      </c>
      <c r="P63" s="147" t="s">
        <v>130</v>
      </c>
      <c r="Q63" s="158" t="s">
        <v>210</v>
      </c>
      <c r="R63" s="148" t="s">
        <v>132</v>
      </c>
      <c r="S63" s="148" t="s">
        <v>119</v>
      </c>
      <c r="T63" s="148" t="s">
        <v>250</v>
      </c>
      <c r="U63" s="145">
        <f>D63+E63</f>
        <v>159</v>
      </c>
      <c r="V63" s="148" t="s">
        <v>211</v>
      </c>
      <c r="W63" s="145">
        <f>D63+E63+F63</f>
        <v>228</v>
      </c>
      <c r="X63" s="149"/>
    </row>
    <row r="64" customHeight="1" spans="1:24">
      <c r="A64" s="153">
        <v>768</v>
      </c>
      <c r="B64" s="154" t="s">
        <v>251</v>
      </c>
      <c r="C64" s="144">
        <v>3</v>
      </c>
      <c r="D64" s="145">
        <v>71</v>
      </c>
      <c r="E64" s="145">
        <v>66</v>
      </c>
      <c r="F64" s="145">
        <v>73</v>
      </c>
      <c r="G64" s="145">
        <v>62</v>
      </c>
      <c r="H64" s="145">
        <v>58</v>
      </c>
      <c r="I64" s="145">
        <f>SUM(D64:H64)</f>
        <v>330</v>
      </c>
      <c r="J64" s="145">
        <v>92</v>
      </c>
      <c r="K64" s="147" t="s">
        <v>114</v>
      </c>
      <c r="L64" s="147" t="s">
        <v>114</v>
      </c>
      <c r="M64" s="147" t="s">
        <v>130</v>
      </c>
      <c r="N64" s="147" t="s">
        <v>130</v>
      </c>
      <c r="O64" s="147" t="s">
        <v>115</v>
      </c>
      <c r="P64" s="147" t="s">
        <v>124</v>
      </c>
      <c r="Q64" s="148" t="s">
        <v>217</v>
      </c>
      <c r="R64" s="148" t="s">
        <v>132</v>
      </c>
      <c r="S64" s="148" t="s">
        <v>119</v>
      </c>
      <c r="T64" s="148" t="s">
        <v>120</v>
      </c>
      <c r="U64" s="145">
        <f>D64+E64</f>
        <v>137</v>
      </c>
      <c r="V64" s="149"/>
      <c r="W64" s="145">
        <f>D64+E64+F64</f>
        <v>210</v>
      </c>
      <c r="X64" s="149"/>
    </row>
    <row r="65" customHeight="1" spans="1:24">
      <c r="A65" s="153">
        <v>507</v>
      </c>
      <c r="B65" s="154" t="s">
        <v>252</v>
      </c>
      <c r="C65" s="144">
        <v>18</v>
      </c>
      <c r="D65" s="145">
        <v>94</v>
      </c>
      <c r="E65" s="145">
        <v>81</v>
      </c>
      <c r="F65" s="145">
        <v>84</v>
      </c>
      <c r="G65" s="145">
        <v>58</v>
      </c>
      <c r="H65" s="145">
        <v>58</v>
      </c>
      <c r="I65" s="145">
        <f>SUM(D65:H65)</f>
        <v>375</v>
      </c>
      <c r="J65" s="145">
        <v>42</v>
      </c>
      <c r="K65" s="147" t="s">
        <v>114</v>
      </c>
      <c r="L65" s="147" t="s">
        <v>130</v>
      </c>
      <c r="M65" s="147" t="s">
        <v>115</v>
      </c>
      <c r="N65" s="147" t="s">
        <v>114</v>
      </c>
      <c r="O65" s="147" t="s">
        <v>115</v>
      </c>
      <c r="P65" s="147" t="s">
        <v>130</v>
      </c>
      <c r="Q65" s="148" t="s">
        <v>253</v>
      </c>
      <c r="R65" s="148" t="s">
        <v>132</v>
      </c>
      <c r="S65" s="148" t="s">
        <v>119</v>
      </c>
      <c r="T65" s="148" t="s">
        <v>126</v>
      </c>
      <c r="U65" s="145">
        <f>D65+E65</f>
        <v>175</v>
      </c>
      <c r="V65" s="149"/>
      <c r="W65" s="145">
        <f>D65+E65+F65</f>
        <v>259</v>
      </c>
      <c r="X65" s="149"/>
    </row>
    <row r="66" customHeight="1" spans="1:24">
      <c r="A66" s="153">
        <v>149</v>
      </c>
      <c r="B66" s="154" t="s">
        <v>254</v>
      </c>
      <c r="C66" s="144">
        <v>11</v>
      </c>
      <c r="D66" s="145">
        <v>82</v>
      </c>
      <c r="E66" s="145">
        <v>83</v>
      </c>
      <c r="F66" s="145">
        <v>54</v>
      </c>
      <c r="G66" s="145">
        <v>53</v>
      </c>
      <c r="H66" s="145">
        <v>57</v>
      </c>
      <c r="I66" s="145">
        <f>SUM(D66:H66)</f>
        <v>329</v>
      </c>
      <c r="J66" s="145">
        <v>74</v>
      </c>
      <c r="K66" s="147" t="s">
        <v>130</v>
      </c>
      <c r="L66" s="147" t="s">
        <v>114</v>
      </c>
      <c r="M66" s="147" t="s">
        <v>130</v>
      </c>
      <c r="N66" s="147" t="s">
        <v>114</v>
      </c>
      <c r="O66" s="147" t="s">
        <v>115</v>
      </c>
      <c r="P66" s="147" t="s">
        <v>130</v>
      </c>
      <c r="Q66" s="148" t="s">
        <v>196</v>
      </c>
      <c r="R66" s="148" t="s">
        <v>132</v>
      </c>
      <c r="S66" s="148" t="s">
        <v>119</v>
      </c>
      <c r="T66" s="148" t="s">
        <v>120</v>
      </c>
      <c r="U66" s="145">
        <f>D66+E66</f>
        <v>165</v>
      </c>
      <c r="V66" s="149"/>
      <c r="W66" s="145">
        <f>D66+E66+F66</f>
        <v>219</v>
      </c>
      <c r="X66" s="149"/>
    </row>
    <row r="67" customHeight="1" spans="1:24">
      <c r="A67" s="153">
        <v>576</v>
      </c>
      <c r="B67" s="156" t="s">
        <v>255</v>
      </c>
      <c r="C67" s="144">
        <v>6</v>
      </c>
      <c r="D67" s="145">
        <v>53</v>
      </c>
      <c r="E67" s="145">
        <v>92</v>
      </c>
      <c r="F67" s="145">
        <v>68</v>
      </c>
      <c r="G67" s="145">
        <v>9</v>
      </c>
      <c r="H67" s="145">
        <v>55</v>
      </c>
      <c r="I67" s="145">
        <f>SUM(D67:H67)</f>
        <v>277</v>
      </c>
      <c r="J67" s="145">
        <v>0</v>
      </c>
      <c r="K67" s="147" t="s">
        <v>114</v>
      </c>
      <c r="L67" s="147" t="s">
        <v>114</v>
      </c>
      <c r="M67" s="147" t="s">
        <v>114</v>
      </c>
      <c r="N67" s="147" t="s">
        <v>114</v>
      </c>
      <c r="O67" s="147" t="s">
        <v>115</v>
      </c>
      <c r="P67" s="147" t="s">
        <v>130</v>
      </c>
      <c r="Q67" s="148" t="s">
        <v>256</v>
      </c>
      <c r="R67" s="148" t="s">
        <v>119</v>
      </c>
      <c r="S67" s="148" t="s">
        <v>145</v>
      </c>
      <c r="T67" s="148" t="s">
        <v>120</v>
      </c>
      <c r="U67" s="145">
        <f>D67+E67</f>
        <v>145</v>
      </c>
      <c r="V67" s="149"/>
      <c r="W67" s="145">
        <f>D67+E67+F67</f>
        <v>213</v>
      </c>
      <c r="X67" s="149"/>
    </row>
    <row r="68" customHeight="1" spans="1:24">
      <c r="A68" s="153">
        <v>69</v>
      </c>
      <c r="B68" s="154" t="s">
        <v>257</v>
      </c>
      <c r="C68" s="144">
        <v>10</v>
      </c>
      <c r="D68" s="145">
        <v>76</v>
      </c>
      <c r="E68" s="145">
        <v>86</v>
      </c>
      <c r="F68" s="145">
        <v>45</v>
      </c>
      <c r="G68" s="145">
        <v>42</v>
      </c>
      <c r="H68" s="145">
        <v>55</v>
      </c>
      <c r="I68" s="145">
        <f>SUM(D68:H68)</f>
        <v>304</v>
      </c>
      <c r="J68" s="145">
        <v>22</v>
      </c>
      <c r="K68" s="147" t="s">
        <v>114</v>
      </c>
      <c r="L68" s="147" t="s">
        <v>130</v>
      </c>
      <c r="M68" s="147" t="s">
        <v>124</v>
      </c>
      <c r="N68" s="147" t="s">
        <v>130</v>
      </c>
      <c r="O68" s="147" t="s">
        <v>115</v>
      </c>
      <c r="P68" s="147" t="s">
        <v>124</v>
      </c>
      <c r="Q68" s="148" t="s">
        <v>196</v>
      </c>
      <c r="R68" s="148" t="s">
        <v>132</v>
      </c>
      <c r="S68" s="148" t="s">
        <v>133</v>
      </c>
      <c r="T68" s="148" t="s">
        <v>126</v>
      </c>
      <c r="U68" s="145">
        <f>D68+E68</f>
        <v>162</v>
      </c>
      <c r="V68" s="149"/>
      <c r="W68" s="145">
        <f>D68+E68+F68</f>
        <v>207</v>
      </c>
      <c r="X68" s="149"/>
    </row>
    <row r="69" customHeight="1" spans="1:24">
      <c r="A69" s="153">
        <v>221</v>
      </c>
      <c r="B69" s="154" t="s">
        <v>258</v>
      </c>
      <c r="C69" s="144">
        <v>9</v>
      </c>
      <c r="D69" s="145">
        <v>81</v>
      </c>
      <c r="E69" s="145">
        <v>79</v>
      </c>
      <c r="F69" s="145">
        <v>76</v>
      </c>
      <c r="G69" s="145">
        <v>44</v>
      </c>
      <c r="H69" s="145">
        <v>55</v>
      </c>
      <c r="I69" s="145">
        <f>SUM(D69:H69)</f>
        <v>335</v>
      </c>
      <c r="J69" s="145">
        <v>28</v>
      </c>
      <c r="K69" s="147" t="s">
        <v>130</v>
      </c>
      <c r="L69" s="147" t="s">
        <v>130</v>
      </c>
      <c r="M69" s="147" t="s">
        <v>115</v>
      </c>
      <c r="N69" s="147" t="s">
        <v>130</v>
      </c>
      <c r="O69" s="147" t="s">
        <v>115</v>
      </c>
      <c r="P69" s="147" t="s">
        <v>124</v>
      </c>
      <c r="Q69" s="148" t="s">
        <v>200</v>
      </c>
      <c r="R69" s="148" t="s">
        <v>132</v>
      </c>
      <c r="S69" s="148" t="s">
        <v>119</v>
      </c>
      <c r="T69" s="148" t="s">
        <v>126</v>
      </c>
      <c r="U69" s="145">
        <f>D69+E69</f>
        <v>160</v>
      </c>
      <c r="V69" s="149"/>
      <c r="W69" s="145">
        <f>D69+E69+F69</f>
        <v>236</v>
      </c>
      <c r="X69" s="149"/>
    </row>
    <row r="70" customHeight="1" spans="1:24">
      <c r="A70" s="153">
        <v>516</v>
      </c>
      <c r="B70" s="154" t="s">
        <v>259</v>
      </c>
      <c r="C70" s="144">
        <v>9</v>
      </c>
      <c r="D70" s="145">
        <v>85</v>
      </c>
      <c r="E70" s="145">
        <v>74</v>
      </c>
      <c r="F70" s="145">
        <v>65</v>
      </c>
      <c r="G70" s="145">
        <v>70</v>
      </c>
      <c r="H70" s="145">
        <v>55</v>
      </c>
      <c r="I70" s="145">
        <f>SUM(D70:H70)</f>
        <v>349</v>
      </c>
      <c r="J70" s="145">
        <v>49</v>
      </c>
      <c r="K70" s="147" t="s">
        <v>115</v>
      </c>
      <c r="L70" s="147" t="s">
        <v>130</v>
      </c>
      <c r="M70" s="147" t="s">
        <v>114</v>
      </c>
      <c r="N70" s="147" t="s">
        <v>114</v>
      </c>
      <c r="O70" s="147" t="s">
        <v>115</v>
      </c>
      <c r="P70" s="147" t="s">
        <v>130</v>
      </c>
      <c r="Q70" s="148" t="s">
        <v>260</v>
      </c>
      <c r="R70" s="148" t="s">
        <v>132</v>
      </c>
      <c r="S70" s="148" t="s">
        <v>119</v>
      </c>
      <c r="T70" s="148" t="s">
        <v>120</v>
      </c>
      <c r="U70" s="145">
        <f>D70+E70</f>
        <v>159</v>
      </c>
      <c r="V70" s="149"/>
      <c r="W70" s="145">
        <f>D70+E70+F70</f>
        <v>224</v>
      </c>
      <c r="X70" s="149"/>
    </row>
    <row r="71" customHeight="1" spans="1:24">
      <c r="A71" s="153">
        <v>76</v>
      </c>
      <c r="B71" s="154" t="s">
        <v>261</v>
      </c>
      <c r="C71" s="144">
        <v>10</v>
      </c>
      <c r="D71" s="145">
        <v>80</v>
      </c>
      <c r="E71" s="145">
        <v>80</v>
      </c>
      <c r="F71" s="145">
        <v>48</v>
      </c>
      <c r="G71" s="145">
        <v>41</v>
      </c>
      <c r="H71" s="145">
        <v>54</v>
      </c>
      <c r="I71" s="145">
        <f>SUM(D71:H71)</f>
        <v>303</v>
      </c>
      <c r="J71" s="145">
        <v>2</v>
      </c>
      <c r="K71" s="147" t="s">
        <v>114</v>
      </c>
      <c r="L71" s="147" t="s">
        <v>130</v>
      </c>
      <c r="M71" s="147" t="s">
        <v>114</v>
      </c>
      <c r="N71" s="147" t="s">
        <v>130</v>
      </c>
      <c r="O71" s="147" t="s">
        <v>115</v>
      </c>
      <c r="P71" s="147" t="s">
        <v>124</v>
      </c>
      <c r="Q71" s="148" t="s">
        <v>196</v>
      </c>
      <c r="R71" s="148" t="s">
        <v>132</v>
      </c>
      <c r="S71" s="148" t="s">
        <v>119</v>
      </c>
      <c r="T71" s="148" t="s">
        <v>250</v>
      </c>
      <c r="U71" s="145">
        <f>D71+E71</f>
        <v>160</v>
      </c>
      <c r="V71" s="149"/>
      <c r="W71" s="145">
        <f>D71+E71+F71</f>
        <v>208</v>
      </c>
      <c r="X71" s="149"/>
    </row>
    <row r="72" customHeight="1" spans="1:24">
      <c r="A72" s="153">
        <v>68</v>
      </c>
      <c r="B72" s="154" t="s">
        <v>262</v>
      </c>
      <c r="C72" s="144">
        <v>13</v>
      </c>
      <c r="D72" s="145">
        <v>83</v>
      </c>
      <c r="E72" s="145">
        <v>66</v>
      </c>
      <c r="F72" s="145">
        <v>64</v>
      </c>
      <c r="G72" s="145">
        <v>78</v>
      </c>
      <c r="H72" s="145">
        <v>51</v>
      </c>
      <c r="I72" s="145">
        <f>SUM(D72:H72)</f>
        <v>342</v>
      </c>
      <c r="J72" s="145">
        <v>149</v>
      </c>
      <c r="K72" s="147" t="s">
        <v>130</v>
      </c>
      <c r="L72" s="147" t="s">
        <v>114</v>
      </c>
      <c r="M72" s="147" t="s">
        <v>114</v>
      </c>
      <c r="N72" s="147" t="s">
        <v>130</v>
      </c>
      <c r="O72" s="147" t="s">
        <v>115</v>
      </c>
      <c r="P72" s="147" t="s">
        <v>114</v>
      </c>
      <c r="Q72" s="148" t="s">
        <v>263</v>
      </c>
      <c r="R72" s="148" t="s">
        <v>119</v>
      </c>
      <c r="S72" s="148" t="s">
        <v>119</v>
      </c>
      <c r="T72" s="148" t="s">
        <v>250</v>
      </c>
      <c r="U72" s="145">
        <f>D72+E72</f>
        <v>149</v>
      </c>
      <c r="V72" s="149"/>
      <c r="W72" s="145">
        <f>D72+E72+F72</f>
        <v>213</v>
      </c>
      <c r="X72" s="149"/>
    </row>
    <row r="73" customHeight="1" spans="1:24">
      <c r="A73" s="153">
        <v>684</v>
      </c>
      <c r="B73" s="154" t="s">
        <v>264</v>
      </c>
      <c r="C73" s="144">
        <v>11</v>
      </c>
      <c r="D73" s="145">
        <v>83</v>
      </c>
      <c r="E73" s="145">
        <v>79</v>
      </c>
      <c r="F73" s="145">
        <v>52</v>
      </c>
      <c r="G73" s="145">
        <v>38</v>
      </c>
      <c r="H73" s="145">
        <v>50</v>
      </c>
      <c r="I73" s="145">
        <f>SUM(D73:H73)</f>
        <v>302</v>
      </c>
      <c r="J73" s="145">
        <v>95</v>
      </c>
      <c r="K73" s="147" t="s">
        <v>114</v>
      </c>
      <c r="L73" s="147" t="s">
        <v>130</v>
      </c>
      <c r="M73" s="147" t="s">
        <v>130</v>
      </c>
      <c r="N73" s="147" t="s">
        <v>114</v>
      </c>
      <c r="O73" s="147" t="s">
        <v>115</v>
      </c>
      <c r="P73" s="147" t="s">
        <v>130</v>
      </c>
      <c r="Q73" s="159" t="s">
        <v>200</v>
      </c>
      <c r="R73" s="148" t="s">
        <v>132</v>
      </c>
      <c r="S73" s="148" t="s">
        <v>119</v>
      </c>
      <c r="T73" s="148" t="s">
        <v>250</v>
      </c>
      <c r="U73" s="145">
        <f>D73+E73</f>
        <v>162</v>
      </c>
      <c r="V73" s="148"/>
      <c r="W73" s="145">
        <f>D73+E73+F73</f>
        <v>214</v>
      </c>
      <c r="X73" s="149"/>
    </row>
    <row r="74" customHeight="1" spans="1:24">
      <c r="A74" s="153">
        <v>79</v>
      </c>
      <c r="B74" s="154" t="s">
        <v>265</v>
      </c>
      <c r="C74" s="144">
        <v>9</v>
      </c>
      <c r="D74" s="145">
        <v>82</v>
      </c>
      <c r="E74" s="145">
        <v>79</v>
      </c>
      <c r="F74" s="145">
        <v>58</v>
      </c>
      <c r="G74" s="145">
        <v>46</v>
      </c>
      <c r="H74" s="145">
        <v>46</v>
      </c>
      <c r="I74" s="145">
        <f>SUM(D74:H74)</f>
        <v>311</v>
      </c>
      <c r="J74" s="145">
        <v>1</v>
      </c>
      <c r="K74" s="147" t="s">
        <v>114</v>
      </c>
      <c r="L74" s="147" t="s">
        <v>114</v>
      </c>
      <c r="M74" s="147" t="s">
        <v>115</v>
      </c>
      <c r="N74" s="147" t="s">
        <v>130</v>
      </c>
      <c r="O74" s="147" t="s">
        <v>115</v>
      </c>
      <c r="P74" s="147" t="s">
        <v>130</v>
      </c>
      <c r="Q74" s="148" t="s">
        <v>266</v>
      </c>
      <c r="R74" s="148" t="s">
        <v>132</v>
      </c>
      <c r="S74" s="148" t="s">
        <v>133</v>
      </c>
      <c r="T74" s="148" t="s">
        <v>120</v>
      </c>
      <c r="U74" s="145">
        <f>D74+E74</f>
        <v>161</v>
      </c>
      <c r="V74" s="149"/>
      <c r="W74" s="145">
        <f>D74+E74+F74</f>
        <v>219</v>
      </c>
      <c r="X74" s="149"/>
    </row>
    <row r="75" customHeight="1" spans="1:24">
      <c r="A75" s="153">
        <v>689</v>
      </c>
      <c r="B75" s="154" t="s">
        <v>267</v>
      </c>
      <c r="C75" s="144">
        <v>10</v>
      </c>
      <c r="D75" s="145">
        <v>79</v>
      </c>
      <c r="E75" s="145">
        <v>76</v>
      </c>
      <c r="F75" s="145">
        <v>78</v>
      </c>
      <c r="G75" s="145">
        <v>75</v>
      </c>
      <c r="H75" s="145">
        <v>46</v>
      </c>
      <c r="I75" s="145">
        <f>SUM(D75:H75)</f>
        <v>354</v>
      </c>
      <c r="J75" s="145">
        <v>86</v>
      </c>
      <c r="K75" s="147" t="s">
        <v>130</v>
      </c>
      <c r="L75" s="147" t="s">
        <v>114</v>
      </c>
      <c r="M75" s="147" t="s">
        <v>130</v>
      </c>
      <c r="N75" s="147" t="s">
        <v>130</v>
      </c>
      <c r="O75" s="147" t="s">
        <v>115</v>
      </c>
      <c r="P75" s="147" t="s">
        <v>124</v>
      </c>
      <c r="Q75" s="148" t="s">
        <v>268</v>
      </c>
      <c r="R75" s="148" t="s">
        <v>132</v>
      </c>
      <c r="S75" s="148" t="s">
        <v>136</v>
      </c>
      <c r="T75" s="148" t="s">
        <v>126</v>
      </c>
      <c r="U75" s="145">
        <f>D75+E75</f>
        <v>155</v>
      </c>
      <c r="V75" s="149"/>
      <c r="W75" s="145">
        <f>D75+E75+F75</f>
        <v>233</v>
      </c>
      <c r="X75" s="149"/>
    </row>
    <row r="76" customHeight="1" spans="1:24">
      <c r="A76" s="153">
        <v>535</v>
      </c>
      <c r="B76" s="154" t="s">
        <v>269</v>
      </c>
      <c r="C76" s="144">
        <v>7</v>
      </c>
      <c r="D76" s="145">
        <v>79</v>
      </c>
      <c r="E76" s="145">
        <v>73</v>
      </c>
      <c r="F76" s="145">
        <v>64</v>
      </c>
      <c r="G76" s="145">
        <v>54</v>
      </c>
      <c r="H76" s="145">
        <v>36</v>
      </c>
      <c r="I76" s="145">
        <f>SUM(D76:H76)</f>
        <v>306</v>
      </c>
      <c r="J76" s="145">
        <v>44</v>
      </c>
      <c r="K76" s="147" t="s">
        <v>130</v>
      </c>
      <c r="L76" s="147" t="s">
        <v>130</v>
      </c>
      <c r="M76" s="147" t="s">
        <v>130</v>
      </c>
      <c r="N76" s="147" t="s">
        <v>114</v>
      </c>
      <c r="O76" s="147" t="s">
        <v>115</v>
      </c>
      <c r="P76" s="147" t="s">
        <v>130</v>
      </c>
      <c r="Q76" s="148" t="s">
        <v>200</v>
      </c>
      <c r="R76" s="148" t="s">
        <v>175</v>
      </c>
      <c r="S76" s="148" t="s">
        <v>136</v>
      </c>
      <c r="T76" s="148" t="s">
        <v>250</v>
      </c>
      <c r="U76" s="145">
        <f>D76+E76</f>
        <v>152</v>
      </c>
      <c r="V76" s="149"/>
      <c r="W76" s="145">
        <f>D76+E76+F76</f>
        <v>216</v>
      </c>
      <c r="X76" s="149"/>
    </row>
    <row r="77" customHeight="1" spans="1:24">
      <c r="A77" s="153">
        <v>301</v>
      </c>
      <c r="B77" s="156" t="s">
        <v>220</v>
      </c>
      <c r="C77" s="144">
        <v>32</v>
      </c>
      <c r="D77" s="145">
        <v>82</v>
      </c>
      <c r="E77" s="145">
        <v>103</v>
      </c>
      <c r="F77" s="145">
        <v>66</v>
      </c>
      <c r="G77" s="145">
        <v>49</v>
      </c>
      <c r="H77" s="145">
        <v>34</v>
      </c>
      <c r="I77" s="145">
        <f>SUM(D77:H77)</f>
        <v>334</v>
      </c>
      <c r="J77" s="145">
        <v>115</v>
      </c>
      <c r="K77" s="147" t="s">
        <v>115</v>
      </c>
      <c r="L77" s="147" t="s">
        <v>114</v>
      </c>
      <c r="M77" s="147" t="s">
        <v>114</v>
      </c>
      <c r="N77" s="147" t="s">
        <v>114</v>
      </c>
      <c r="O77" s="147" t="s">
        <v>115</v>
      </c>
      <c r="P77" s="147" t="s">
        <v>114</v>
      </c>
      <c r="Q77" s="158" t="s">
        <v>270</v>
      </c>
      <c r="R77" s="148" t="s">
        <v>175</v>
      </c>
      <c r="S77" s="148" t="s">
        <v>145</v>
      </c>
      <c r="T77" s="148" t="s">
        <v>126</v>
      </c>
      <c r="U77" s="145">
        <f>D77+E77</f>
        <v>185</v>
      </c>
      <c r="V77" s="148" t="s">
        <v>271</v>
      </c>
      <c r="W77" s="145">
        <f>D77+E77+F77</f>
        <v>251</v>
      </c>
      <c r="X77" s="149"/>
    </row>
    <row r="78" customHeight="1" spans="1:24">
      <c r="A78" s="153">
        <v>175</v>
      </c>
      <c r="B78" s="154" t="s">
        <v>272</v>
      </c>
      <c r="C78" s="144">
        <v>9</v>
      </c>
      <c r="D78" s="145">
        <v>83</v>
      </c>
      <c r="E78" s="145">
        <v>76</v>
      </c>
      <c r="F78" s="145">
        <v>84</v>
      </c>
      <c r="G78" s="145">
        <v>62</v>
      </c>
      <c r="H78" s="145">
        <v>33</v>
      </c>
      <c r="I78" s="145">
        <f>SUM(D78:H78)</f>
        <v>338</v>
      </c>
      <c r="J78" s="145">
        <v>78</v>
      </c>
      <c r="K78" s="147" t="s">
        <v>130</v>
      </c>
      <c r="L78" s="147" t="s">
        <v>114</v>
      </c>
      <c r="M78" s="147" t="s">
        <v>115</v>
      </c>
      <c r="N78" s="147" t="s">
        <v>114</v>
      </c>
      <c r="O78" s="147" t="s">
        <v>115</v>
      </c>
      <c r="P78" s="147" t="s">
        <v>124</v>
      </c>
      <c r="Q78" s="148" t="s">
        <v>266</v>
      </c>
      <c r="R78" s="148" t="s">
        <v>119</v>
      </c>
      <c r="S78" s="148" t="s">
        <v>136</v>
      </c>
      <c r="T78" s="148" t="s">
        <v>126</v>
      </c>
      <c r="U78" s="145">
        <f>D78+E78</f>
        <v>159</v>
      </c>
      <c r="V78" s="149"/>
      <c r="W78" s="145">
        <f>D78+E78+F78</f>
        <v>243</v>
      </c>
      <c r="X78" s="149"/>
    </row>
    <row r="79" customHeight="1" spans="1:24">
      <c r="A79" s="153">
        <v>157</v>
      </c>
      <c r="B79" s="156" t="s">
        <v>273</v>
      </c>
      <c r="C79" s="144">
        <v>31</v>
      </c>
      <c r="D79" s="145">
        <v>87</v>
      </c>
      <c r="E79" s="145">
        <v>105</v>
      </c>
      <c r="F79" s="145">
        <v>72</v>
      </c>
      <c r="G79" s="145">
        <v>21</v>
      </c>
      <c r="H79" s="145">
        <v>13</v>
      </c>
      <c r="I79" s="145">
        <f>SUM(D79:H79)</f>
        <v>298</v>
      </c>
      <c r="J79" s="145">
        <v>30</v>
      </c>
      <c r="K79" s="147" t="s">
        <v>130</v>
      </c>
      <c r="L79" s="147" t="s">
        <v>124</v>
      </c>
      <c r="M79" s="147" t="s">
        <v>114</v>
      </c>
      <c r="N79" s="147" t="s">
        <v>115</v>
      </c>
      <c r="O79" s="147" t="s">
        <v>115</v>
      </c>
      <c r="P79" s="147" t="s">
        <v>130</v>
      </c>
      <c r="Q79" s="158" t="s">
        <v>274</v>
      </c>
      <c r="R79" s="148" t="s">
        <v>275</v>
      </c>
      <c r="S79" s="148" t="s">
        <v>145</v>
      </c>
      <c r="T79" s="148" t="s">
        <v>250</v>
      </c>
      <c r="U79" s="145">
        <f>D79+E79</f>
        <v>192</v>
      </c>
      <c r="V79" s="148" t="s">
        <v>276</v>
      </c>
      <c r="W79" s="145">
        <f>D79+E79+F79</f>
        <v>264</v>
      </c>
      <c r="X79" s="149"/>
    </row>
    <row r="80" customHeight="1" spans="1:24">
      <c r="A80" s="153">
        <v>103</v>
      </c>
      <c r="B80" s="154" t="s">
        <v>277</v>
      </c>
      <c r="C80" s="144">
        <v>11</v>
      </c>
      <c r="D80" s="145">
        <v>30</v>
      </c>
      <c r="E80" s="145">
        <v>42</v>
      </c>
      <c r="F80" s="145">
        <v>90</v>
      </c>
      <c r="G80" s="145">
        <v>88</v>
      </c>
      <c r="H80" s="145">
        <v>108</v>
      </c>
      <c r="I80" s="145">
        <f>SUM(D80:H80)</f>
        <v>358</v>
      </c>
      <c r="J80" s="145">
        <v>96</v>
      </c>
      <c r="K80" s="147" t="s">
        <v>124</v>
      </c>
      <c r="L80" s="147" t="s">
        <v>124</v>
      </c>
      <c r="M80" s="147" t="s">
        <v>124</v>
      </c>
      <c r="N80" s="147" t="s">
        <v>124</v>
      </c>
      <c r="O80" s="147" t="s">
        <v>124</v>
      </c>
      <c r="P80" s="147" t="s">
        <v>124</v>
      </c>
      <c r="Q80" s="148" t="s">
        <v>278</v>
      </c>
      <c r="R80" s="148" t="s">
        <v>119</v>
      </c>
      <c r="S80" s="148" t="s">
        <v>279</v>
      </c>
      <c r="T80" s="148" t="s">
        <v>148</v>
      </c>
      <c r="U80" s="145">
        <f>D80+E80</f>
        <v>72</v>
      </c>
      <c r="V80" s="149"/>
      <c r="W80" s="145">
        <f>D80+E80+F80</f>
        <v>162</v>
      </c>
      <c r="X80" s="149"/>
    </row>
    <row r="81" customHeight="1" spans="1:24">
      <c r="A81" s="153">
        <v>19</v>
      </c>
      <c r="B81" s="154" t="s">
        <v>280</v>
      </c>
      <c r="C81" s="144">
        <v>9</v>
      </c>
      <c r="D81" s="145">
        <v>25</v>
      </c>
      <c r="E81" s="145">
        <v>42</v>
      </c>
      <c r="F81" s="145">
        <v>78</v>
      </c>
      <c r="G81" s="145">
        <v>78</v>
      </c>
      <c r="H81" s="145">
        <v>100</v>
      </c>
      <c r="I81" s="145">
        <f>SUM(D81:H81)</f>
        <v>323</v>
      </c>
      <c r="J81" s="145">
        <v>62</v>
      </c>
      <c r="K81" s="147" t="s">
        <v>124</v>
      </c>
      <c r="L81" s="147" t="s">
        <v>124</v>
      </c>
      <c r="M81" s="147" t="s">
        <v>124</v>
      </c>
      <c r="N81" s="147" t="s">
        <v>124</v>
      </c>
      <c r="O81" s="147" t="s">
        <v>124</v>
      </c>
      <c r="P81" s="147" t="s">
        <v>124</v>
      </c>
      <c r="Q81" s="148" t="s">
        <v>281</v>
      </c>
      <c r="R81" s="148" t="s">
        <v>118</v>
      </c>
      <c r="S81" s="148" t="s">
        <v>119</v>
      </c>
      <c r="T81" s="148" t="s">
        <v>126</v>
      </c>
      <c r="U81" s="145">
        <f>D81+E81</f>
        <v>67</v>
      </c>
      <c r="V81" s="149"/>
      <c r="W81" s="145">
        <f>D81+E81+F81</f>
        <v>145</v>
      </c>
      <c r="X81" s="149"/>
    </row>
    <row r="82" customHeight="1" spans="1:24">
      <c r="A82" s="153">
        <v>116</v>
      </c>
      <c r="B82" s="154" t="s">
        <v>282</v>
      </c>
      <c r="C82" s="144">
        <v>14</v>
      </c>
      <c r="D82" s="145">
        <v>49</v>
      </c>
      <c r="E82" s="145">
        <v>30</v>
      </c>
      <c r="F82" s="145">
        <v>85</v>
      </c>
      <c r="G82" s="145">
        <v>97</v>
      </c>
      <c r="H82" s="145">
        <v>99</v>
      </c>
      <c r="I82" s="145">
        <f>SUM(D82:H82)</f>
        <v>360</v>
      </c>
      <c r="J82" s="145">
        <v>34</v>
      </c>
      <c r="K82" s="147" t="s">
        <v>124</v>
      </c>
      <c r="L82" s="147" t="s">
        <v>124</v>
      </c>
      <c r="M82" s="147" t="s">
        <v>124</v>
      </c>
      <c r="N82" s="147" t="s">
        <v>124</v>
      </c>
      <c r="O82" s="147" t="s">
        <v>124</v>
      </c>
      <c r="P82" s="147" t="s">
        <v>130</v>
      </c>
      <c r="Q82" s="148" t="s">
        <v>153</v>
      </c>
      <c r="R82" s="148" t="s">
        <v>132</v>
      </c>
      <c r="S82" s="148" t="s">
        <v>279</v>
      </c>
      <c r="T82" s="148" t="s">
        <v>120</v>
      </c>
      <c r="U82" s="145">
        <f>D82+E82</f>
        <v>79</v>
      </c>
      <c r="V82" s="149"/>
      <c r="W82" s="145">
        <f>D82+E82+F82</f>
        <v>164</v>
      </c>
      <c r="X82" s="149"/>
    </row>
    <row r="83" customHeight="1" spans="1:24">
      <c r="A83" s="153">
        <v>100</v>
      </c>
      <c r="B83" s="154" t="s">
        <v>283</v>
      </c>
      <c r="C83" s="144">
        <v>3</v>
      </c>
      <c r="D83" s="145">
        <v>35</v>
      </c>
      <c r="E83" s="145">
        <v>37</v>
      </c>
      <c r="F83" s="145">
        <v>75</v>
      </c>
      <c r="G83" s="145">
        <v>76</v>
      </c>
      <c r="H83" s="145">
        <v>98</v>
      </c>
      <c r="I83" s="145">
        <f>SUM(D83:H83)</f>
        <v>321</v>
      </c>
      <c r="J83" s="145">
        <v>100</v>
      </c>
      <c r="K83" s="147" t="s">
        <v>124</v>
      </c>
      <c r="L83" s="147" t="s">
        <v>124</v>
      </c>
      <c r="M83" s="147" t="s">
        <v>124</v>
      </c>
      <c r="N83" s="147" t="s">
        <v>124</v>
      </c>
      <c r="O83" s="147" t="s">
        <v>124</v>
      </c>
      <c r="P83" s="147" t="s">
        <v>130</v>
      </c>
      <c r="Q83" s="148" t="s">
        <v>284</v>
      </c>
      <c r="R83" s="148" t="s">
        <v>118</v>
      </c>
      <c r="S83" s="148" t="s">
        <v>119</v>
      </c>
      <c r="T83" s="148" t="s">
        <v>126</v>
      </c>
      <c r="U83" s="145">
        <f>D83+E83</f>
        <v>72</v>
      </c>
      <c r="V83" s="149"/>
      <c r="W83" s="145">
        <f>D83+E83+F83</f>
        <v>147</v>
      </c>
      <c r="X83" s="149"/>
    </row>
    <row r="84" customHeight="1" spans="1:24">
      <c r="A84" s="153">
        <v>111</v>
      </c>
      <c r="B84" s="154" t="s">
        <v>285</v>
      </c>
      <c r="C84" s="144">
        <v>3</v>
      </c>
      <c r="D84" s="145">
        <v>43</v>
      </c>
      <c r="E84" s="145">
        <v>47</v>
      </c>
      <c r="F84" s="145">
        <v>78</v>
      </c>
      <c r="G84" s="145">
        <v>82</v>
      </c>
      <c r="H84" s="145">
        <v>97</v>
      </c>
      <c r="I84" s="145">
        <f>SUM(D84:H84)</f>
        <v>347</v>
      </c>
      <c r="J84" s="145">
        <v>23</v>
      </c>
      <c r="K84" s="147" t="s">
        <v>124</v>
      </c>
      <c r="L84" s="147" t="s">
        <v>124</v>
      </c>
      <c r="M84" s="147" t="s">
        <v>124</v>
      </c>
      <c r="N84" s="147" t="s">
        <v>124</v>
      </c>
      <c r="O84" s="147" t="s">
        <v>124</v>
      </c>
      <c r="P84" s="147" t="s">
        <v>130</v>
      </c>
      <c r="Q84" s="148" t="s">
        <v>286</v>
      </c>
      <c r="R84" s="148" t="s">
        <v>118</v>
      </c>
      <c r="S84" s="148" t="s">
        <v>279</v>
      </c>
      <c r="T84" s="148" t="s">
        <v>148</v>
      </c>
      <c r="U84" s="145">
        <f>D84+E84</f>
        <v>90</v>
      </c>
      <c r="V84" s="149"/>
      <c r="W84" s="145">
        <f>D84+E84+F84</f>
        <v>168</v>
      </c>
      <c r="X84" s="149"/>
    </row>
    <row r="85" customHeight="1" spans="1:24">
      <c r="A85" s="153">
        <v>44</v>
      </c>
      <c r="B85" s="154" t="s">
        <v>287</v>
      </c>
      <c r="C85" s="144">
        <v>9</v>
      </c>
      <c r="D85" s="145">
        <v>56</v>
      </c>
      <c r="E85" s="145">
        <v>51</v>
      </c>
      <c r="F85" s="145">
        <v>79</v>
      </c>
      <c r="G85" s="145">
        <v>92</v>
      </c>
      <c r="H85" s="145">
        <v>96</v>
      </c>
      <c r="I85" s="145">
        <f>SUM(D85:H85)</f>
        <v>374</v>
      </c>
      <c r="J85" s="145">
        <v>18</v>
      </c>
      <c r="K85" s="147" t="s">
        <v>124</v>
      </c>
      <c r="L85" s="147" t="s">
        <v>124</v>
      </c>
      <c r="M85" s="147" t="s">
        <v>130</v>
      </c>
      <c r="N85" s="147" t="s">
        <v>124</v>
      </c>
      <c r="O85" s="147" t="s">
        <v>124</v>
      </c>
      <c r="P85" s="147" t="s">
        <v>124</v>
      </c>
      <c r="Q85" s="148" t="s">
        <v>281</v>
      </c>
      <c r="R85" s="148" t="s">
        <v>132</v>
      </c>
      <c r="S85" s="148" t="s">
        <v>136</v>
      </c>
      <c r="T85" s="148" t="s">
        <v>120</v>
      </c>
      <c r="U85" s="145">
        <f>D85+E85</f>
        <v>107</v>
      </c>
      <c r="V85" s="149"/>
      <c r="W85" s="145">
        <f>D85+E85+F85</f>
        <v>186</v>
      </c>
      <c r="X85" s="149"/>
    </row>
    <row r="86" customHeight="1" spans="1:24">
      <c r="A86" s="153">
        <v>87</v>
      </c>
      <c r="B86" s="154" t="s">
        <v>288</v>
      </c>
      <c r="C86" s="144">
        <v>14</v>
      </c>
      <c r="D86" s="145">
        <v>65</v>
      </c>
      <c r="E86" s="145">
        <v>45</v>
      </c>
      <c r="F86" s="145">
        <v>93</v>
      </c>
      <c r="G86" s="145">
        <v>89</v>
      </c>
      <c r="H86" s="145">
        <v>96</v>
      </c>
      <c r="I86" s="145">
        <f>SUM(D86:H86)</f>
        <v>388</v>
      </c>
      <c r="J86" s="145">
        <v>101</v>
      </c>
      <c r="K86" s="147" t="s">
        <v>130</v>
      </c>
      <c r="L86" s="147" t="s">
        <v>124</v>
      </c>
      <c r="M86" s="147" t="s">
        <v>130</v>
      </c>
      <c r="N86" s="147" t="s">
        <v>130</v>
      </c>
      <c r="O86" s="147" t="s">
        <v>124</v>
      </c>
      <c r="P86" s="147" t="s">
        <v>114</v>
      </c>
      <c r="Q86" s="148" t="s">
        <v>153</v>
      </c>
      <c r="R86" s="148" t="s">
        <v>118</v>
      </c>
      <c r="S86" s="148" t="s">
        <v>133</v>
      </c>
      <c r="T86" s="148" t="s">
        <v>148</v>
      </c>
      <c r="U86" s="145">
        <f>D86+E86</f>
        <v>110</v>
      </c>
      <c r="V86" s="149"/>
      <c r="W86" s="145">
        <f>D86+E86+F86</f>
        <v>203</v>
      </c>
      <c r="X86" s="149"/>
    </row>
    <row r="87" customHeight="1" spans="1:24">
      <c r="A87" s="153">
        <v>643</v>
      </c>
      <c r="B87" s="154" t="s">
        <v>289</v>
      </c>
      <c r="C87" s="144">
        <v>7</v>
      </c>
      <c r="D87" s="145">
        <v>50</v>
      </c>
      <c r="E87" s="145">
        <v>34</v>
      </c>
      <c r="F87" s="145">
        <v>82</v>
      </c>
      <c r="G87" s="145">
        <v>95</v>
      </c>
      <c r="H87" s="145">
        <v>95</v>
      </c>
      <c r="I87" s="145">
        <f>SUM(D87:H87)</f>
        <v>356</v>
      </c>
      <c r="J87" s="145">
        <v>64</v>
      </c>
      <c r="K87" s="147" t="s">
        <v>124</v>
      </c>
      <c r="L87" s="147" t="s">
        <v>124</v>
      </c>
      <c r="M87" s="147" t="s">
        <v>124</v>
      </c>
      <c r="N87" s="147" t="s">
        <v>124</v>
      </c>
      <c r="O87" s="147" t="s">
        <v>124</v>
      </c>
      <c r="P87" s="147" t="s">
        <v>124</v>
      </c>
      <c r="Q87" s="148" t="s">
        <v>290</v>
      </c>
      <c r="R87" s="148" t="s">
        <v>132</v>
      </c>
      <c r="S87" s="148" t="s">
        <v>119</v>
      </c>
      <c r="T87" s="148" t="s">
        <v>148</v>
      </c>
      <c r="U87" s="145">
        <f>D87+E87</f>
        <v>84</v>
      </c>
      <c r="V87" s="149"/>
      <c r="W87" s="145">
        <f>D87+E87+F87</f>
        <v>166</v>
      </c>
      <c r="X87" s="149"/>
    </row>
    <row r="88" customHeight="1" spans="1:24">
      <c r="A88" s="153">
        <v>254</v>
      </c>
      <c r="B88" s="154" t="s">
        <v>291</v>
      </c>
      <c r="C88" s="144">
        <v>17</v>
      </c>
      <c r="D88" s="145">
        <v>42</v>
      </c>
      <c r="E88" s="145">
        <v>24</v>
      </c>
      <c r="F88" s="145">
        <v>95</v>
      </c>
      <c r="G88" s="145">
        <v>94</v>
      </c>
      <c r="H88" s="145">
        <v>94</v>
      </c>
      <c r="I88" s="145">
        <f>SUM(D88:H88)</f>
        <v>349</v>
      </c>
      <c r="J88" s="145">
        <v>26</v>
      </c>
      <c r="K88" s="147" t="s">
        <v>124</v>
      </c>
      <c r="L88" s="147" t="s">
        <v>130</v>
      </c>
      <c r="M88" s="147" t="s">
        <v>124</v>
      </c>
      <c r="N88" s="147" t="s">
        <v>124</v>
      </c>
      <c r="O88" s="147" t="s">
        <v>124</v>
      </c>
      <c r="P88" s="147" t="s">
        <v>124</v>
      </c>
      <c r="Q88" s="148" t="s">
        <v>292</v>
      </c>
      <c r="R88" s="148" t="s">
        <v>118</v>
      </c>
      <c r="S88" s="148" t="s">
        <v>119</v>
      </c>
      <c r="T88" s="148" t="s">
        <v>120</v>
      </c>
      <c r="U88" s="145">
        <f>D88+E88</f>
        <v>66</v>
      </c>
      <c r="V88" s="149"/>
      <c r="W88" s="145">
        <f>D88+E88+F88</f>
        <v>161</v>
      </c>
      <c r="X88" s="149"/>
    </row>
    <row r="89" customHeight="1" spans="1:24">
      <c r="A89" s="153">
        <v>183</v>
      </c>
      <c r="B89" s="156" t="s">
        <v>293</v>
      </c>
      <c r="C89" s="144">
        <v>11</v>
      </c>
      <c r="D89" s="145">
        <v>85</v>
      </c>
      <c r="E89" s="145">
        <v>80</v>
      </c>
      <c r="F89" s="145">
        <v>83</v>
      </c>
      <c r="G89" s="145">
        <v>85</v>
      </c>
      <c r="H89" s="145">
        <v>93</v>
      </c>
      <c r="I89" s="145">
        <f>SUM(D89:H89)</f>
        <v>426</v>
      </c>
      <c r="J89" s="145">
        <v>52</v>
      </c>
      <c r="K89" s="147" t="s">
        <v>114</v>
      </c>
      <c r="L89" s="147" t="s">
        <v>115</v>
      </c>
      <c r="M89" s="147" t="s">
        <v>114</v>
      </c>
      <c r="N89" s="147" t="s">
        <v>114</v>
      </c>
      <c r="O89" s="147" t="s">
        <v>124</v>
      </c>
      <c r="P89" s="147" t="s">
        <v>124</v>
      </c>
      <c r="Q89" s="148" t="s">
        <v>294</v>
      </c>
      <c r="R89" s="148" t="s">
        <v>132</v>
      </c>
      <c r="S89" s="148" t="s">
        <v>119</v>
      </c>
      <c r="T89" s="148" t="s">
        <v>120</v>
      </c>
      <c r="U89" s="145">
        <f>D89+E89</f>
        <v>165</v>
      </c>
      <c r="V89" s="149"/>
      <c r="W89" s="145">
        <f>D89+E89+F89</f>
        <v>248</v>
      </c>
      <c r="X89" s="149"/>
    </row>
    <row r="90" customHeight="1" spans="1:24">
      <c r="A90" s="153">
        <v>3</v>
      </c>
      <c r="B90" s="154" t="s">
        <v>295</v>
      </c>
      <c r="C90" s="144">
        <v>9</v>
      </c>
      <c r="D90" s="145">
        <v>37</v>
      </c>
      <c r="E90" s="145">
        <v>18</v>
      </c>
      <c r="F90" s="145">
        <v>90</v>
      </c>
      <c r="G90" s="145">
        <v>92</v>
      </c>
      <c r="H90" s="145">
        <v>92</v>
      </c>
      <c r="I90" s="145">
        <f>SUM(D90:H90)</f>
        <v>329</v>
      </c>
      <c r="J90" s="145">
        <v>64</v>
      </c>
      <c r="K90" s="147" t="s">
        <v>124</v>
      </c>
      <c r="L90" s="147" t="s">
        <v>124</v>
      </c>
      <c r="M90" s="147" t="s">
        <v>124</v>
      </c>
      <c r="N90" s="147" t="s">
        <v>124</v>
      </c>
      <c r="O90" s="147" t="s">
        <v>124</v>
      </c>
      <c r="P90" s="147" t="s">
        <v>124</v>
      </c>
      <c r="Q90" s="158" t="s">
        <v>296</v>
      </c>
      <c r="R90" s="148" t="s">
        <v>132</v>
      </c>
      <c r="S90" s="148" t="s">
        <v>119</v>
      </c>
      <c r="T90" s="148" t="s">
        <v>126</v>
      </c>
      <c r="U90" s="145">
        <f>D90+E90</f>
        <v>55</v>
      </c>
      <c r="V90" s="148" t="s">
        <v>297</v>
      </c>
      <c r="W90" s="145">
        <f>D90+E90+F90</f>
        <v>145</v>
      </c>
      <c r="X90" s="149"/>
    </row>
    <row r="91" customHeight="1" spans="1:24">
      <c r="A91" s="153">
        <v>375</v>
      </c>
      <c r="B91" s="154" t="s">
        <v>298</v>
      </c>
      <c r="C91" s="144">
        <v>6</v>
      </c>
      <c r="D91" s="145">
        <v>38</v>
      </c>
      <c r="E91" s="145">
        <v>43</v>
      </c>
      <c r="F91" s="145">
        <v>75</v>
      </c>
      <c r="G91" s="145">
        <v>91</v>
      </c>
      <c r="H91" s="145">
        <v>92</v>
      </c>
      <c r="I91" s="145">
        <f>SUM(D91:H91)</f>
        <v>339</v>
      </c>
      <c r="J91" s="145">
        <v>88</v>
      </c>
      <c r="K91" s="147" t="s">
        <v>124</v>
      </c>
      <c r="L91" s="147" t="s">
        <v>124</v>
      </c>
      <c r="M91" s="147" t="s">
        <v>124</v>
      </c>
      <c r="N91" s="147" t="s">
        <v>124</v>
      </c>
      <c r="O91" s="147" t="s">
        <v>124</v>
      </c>
      <c r="P91" s="147" t="s">
        <v>124</v>
      </c>
      <c r="Q91" s="148" t="s">
        <v>299</v>
      </c>
      <c r="R91" s="148" t="s">
        <v>132</v>
      </c>
      <c r="S91" s="148" t="s">
        <v>119</v>
      </c>
      <c r="T91" s="148" t="s">
        <v>148</v>
      </c>
      <c r="U91" s="145">
        <f>D91+E91</f>
        <v>81</v>
      </c>
      <c r="V91" s="149"/>
      <c r="W91" s="145">
        <f>D91+E91+F91</f>
        <v>156</v>
      </c>
      <c r="X91" s="149"/>
    </row>
    <row r="92" customHeight="1" spans="1:24">
      <c r="A92" s="153">
        <v>61</v>
      </c>
      <c r="B92" s="154" t="s">
        <v>300</v>
      </c>
      <c r="C92" s="144">
        <v>3</v>
      </c>
      <c r="D92" s="145">
        <v>56</v>
      </c>
      <c r="E92" s="145">
        <v>56</v>
      </c>
      <c r="F92" s="145">
        <v>73</v>
      </c>
      <c r="G92" s="145">
        <v>84</v>
      </c>
      <c r="H92" s="145">
        <v>92</v>
      </c>
      <c r="I92" s="145">
        <f>SUM(D92:H92)</f>
        <v>361</v>
      </c>
      <c r="J92" s="145">
        <v>0</v>
      </c>
      <c r="K92" s="147" t="s">
        <v>124</v>
      </c>
      <c r="L92" s="147" t="s">
        <v>124</v>
      </c>
      <c r="M92" s="147" t="s">
        <v>130</v>
      </c>
      <c r="N92" s="147" t="s">
        <v>130</v>
      </c>
      <c r="O92" s="147" t="s">
        <v>124</v>
      </c>
      <c r="P92" s="147" t="s">
        <v>124</v>
      </c>
      <c r="Q92" s="149"/>
      <c r="R92" s="148" t="s">
        <v>132</v>
      </c>
      <c r="S92" s="148" t="s">
        <v>136</v>
      </c>
      <c r="T92" s="148" t="s">
        <v>126</v>
      </c>
      <c r="U92" s="145">
        <f>D92+E92</f>
        <v>112</v>
      </c>
      <c r="V92" s="149"/>
      <c r="W92" s="145">
        <f>D92+E92+F92</f>
        <v>185</v>
      </c>
      <c r="X92" s="149"/>
    </row>
    <row r="93" customHeight="1" spans="1:24">
      <c r="A93" s="153">
        <v>226</v>
      </c>
      <c r="B93" s="154" t="s">
        <v>301</v>
      </c>
      <c r="C93" s="144">
        <v>11</v>
      </c>
      <c r="D93" s="145">
        <v>48</v>
      </c>
      <c r="E93" s="145">
        <v>34</v>
      </c>
      <c r="F93" s="145">
        <v>82</v>
      </c>
      <c r="G93" s="145">
        <v>95</v>
      </c>
      <c r="H93" s="145">
        <v>91</v>
      </c>
      <c r="I93" s="145">
        <f>SUM(D93:H93)</f>
        <v>350</v>
      </c>
      <c r="J93" s="145">
        <v>32</v>
      </c>
      <c r="K93" s="147" t="s">
        <v>124</v>
      </c>
      <c r="L93" s="147" t="s">
        <v>124</v>
      </c>
      <c r="M93" s="147" t="s">
        <v>124</v>
      </c>
      <c r="N93" s="147" t="s">
        <v>124</v>
      </c>
      <c r="O93" s="147" t="s">
        <v>124</v>
      </c>
      <c r="P93" s="147" t="s">
        <v>124</v>
      </c>
      <c r="Q93" s="148" t="s">
        <v>302</v>
      </c>
      <c r="R93" s="148" t="s">
        <v>132</v>
      </c>
      <c r="S93" s="148" t="s">
        <v>119</v>
      </c>
      <c r="T93" s="148" t="s">
        <v>148</v>
      </c>
      <c r="U93" s="145">
        <f>D93+E93</f>
        <v>82</v>
      </c>
      <c r="V93" s="149"/>
      <c r="W93" s="145">
        <f>D93+E93+F93</f>
        <v>164</v>
      </c>
      <c r="X93" s="149"/>
    </row>
    <row r="94" customHeight="1" spans="1:24">
      <c r="A94" s="153">
        <v>127</v>
      </c>
      <c r="B94" s="154" t="s">
        <v>303</v>
      </c>
      <c r="C94" s="144">
        <v>6</v>
      </c>
      <c r="D94" s="145">
        <v>52</v>
      </c>
      <c r="E94" s="145">
        <v>58</v>
      </c>
      <c r="F94" s="145">
        <v>81</v>
      </c>
      <c r="G94" s="145">
        <v>84</v>
      </c>
      <c r="H94" s="145">
        <v>91</v>
      </c>
      <c r="I94" s="145">
        <f>SUM(D94:H94)</f>
        <v>366</v>
      </c>
      <c r="J94" s="145">
        <v>25</v>
      </c>
      <c r="K94" s="147" t="s">
        <v>124</v>
      </c>
      <c r="L94" s="147" t="s">
        <v>124</v>
      </c>
      <c r="M94" s="147" t="s">
        <v>124</v>
      </c>
      <c r="N94" s="147" t="s">
        <v>124</v>
      </c>
      <c r="O94" s="147" t="s">
        <v>124</v>
      </c>
      <c r="P94" s="147" t="s">
        <v>124</v>
      </c>
      <c r="Q94" s="148" t="s">
        <v>290</v>
      </c>
      <c r="R94" s="148" t="s">
        <v>118</v>
      </c>
      <c r="S94" s="148" t="s">
        <v>119</v>
      </c>
      <c r="T94" s="148" t="s">
        <v>120</v>
      </c>
      <c r="U94" s="145">
        <f>D94+E94</f>
        <v>110</v>
      </c>
      <c r="V94" s="149"/>
      <c r="W94" s="145">
        <f>D94+E94+F94</f>
        <v>191</v>
      </c>
      <c r="X94" s="149"/>
    </row>
    <row r="95" customHeight="1" spans="1:24">
      <c r="A95" s="153">
        <v>272</v>
      </c>
      <c r="B95" s="154" t="s">
        <v>304</v>
      </c>
      <c r="C95" s="144">
        <v>12</v>
      </c>
      <c r="D95" s="145">
        <v>69</v>
      </c>
      <c r="E95" s="145">
        <v>57</v>
      </c>
      <c r="F95" s="145">
        <v>84</v>
      </c>
      <c r="G95" s="145">
        <v>93</v>
      </c>
      <c r="H95" s="145">
        <v>91</v>
      </c>
      <c r="I95" s="145">
        <f>SUM(D95:H95)</f>
        <v>394</v>
      </c>
      <c r="J95" s="145">
        <v>64</v>
      </c>
      <c r="K95" s="147" t="s">
        <v>114</v>
      </c>
      <c r="L95" s="147" t="s">
        <v>114</v>
      </c>
      <c r="M95" s="147" t="s">
        <v>114</v>
      </c>
      <c r="N95" s="147" t="s">
        <v>124</v>
      </c>
      <c r="O95" s="147" t="s">
        <v>124</v>
      </c>
      <c r="P95" s="147" t="s">
        <v>124</v>
      </c>
      <c r="Q95" s="148" t="s">
        <v>268</v>
      </c>
      <c r="R95" s="148" t="s">
        <v>132</v>
      </c>
      <c r="S95" s="148" t="s">
        <v>136</v>
      </c>
      <c r="T95" s="148" t="s">
        <v>126</v>
      </c>
      <c r="U95" s="145">
        <f>D95+E95</f>
        <v>126</v>
      </c>
      <c r="V95" s="149"/>
      <c r="W95" s="145">
        <f>D95+E95+F95</f>
        <v>210</v>
      </c>
      <c r="X95" s="149"/>
    </row>
    <row r="96" customHeight="1" spans="1:24">
      <c r="A96" s="153">
        <v>170</v>
      </c>
      <c r="B96" s="154" t="s">
        <v>305</v>
      </c>
      <c r="C96" s="144">
        <v>21</v>
      </c>
      <c r="D96" s="145">
        <v>76</v>
      </c>
      <c r="E96" s="145">
        <v>98</v>
      </c>
      <c r="F96" s="145">
        <v>46</v>
      </c>
      <c r="G96" s="145">
        <v>25</v>
      </c>
      <c r="H96" s="145">
        <v>90</v>
      </c>
      <c r="I96" s="145">
        <f>SUM(D96:H96)</f>
        <v>335</v>
      </c>
      <c r="J96" s="145">
        <v>71</v>
      </c>
      <c r="K96" s="147" t="s">
        <v>114</v>
      </c>
      <c r="L96" s="147" t="s">
        <v>130</v>
      </c>
      <c r="M96" s="147" t="s">
        <v>115</v>
      </c>
      <c r="N96" s="147" t="s">
        <v>114</v>
      </c>
      <c r="O96" s="147" t="s">
        <v>124</v>
      </c>
      <c r="P96" s="147" t="s">
        <v>124</v>
      </c>
      <c r="Q96" s="148" t="s">
        <v>306</v>
      </c>
      <c r="R96" s="148" t="s">
        <v>118</v>
      </c>
      <c r="S96" s="148" t="s">
        <v>119</v>
      </c>
      <c r="T96" s="148" t="s">
        <v>126</v>
      </c>
      <c r="U96" s="145">
        <f>D96+E96</f>
        <v>174</v>
      </c>
      <c r="V96" s="149"/>
      <c r="W96" s="145">
        <f>D96+E96+F96</f>
        <v>220</v>
      </c>
      <c r="X96" s="149"/>
    </row>
    <row r="97" customHeight="1" spans="1:24">
      <c r="A97" s="153">
        <v>101</v>
      </c>
      <c r="B97" s="154" t="s">
        <v>307</v>
      </c>
      <c r="C97" s="144">
        <v>13</v>
      </c>
      <c r="D97" s="145">
        <v>50</v>
      </c>
      <c r="E97" s="145">
        <v>52</v>
      </c>
      <c r="F97" s="145">
        <v>73</v>
      </c>
      <c r="G97" s="145">
        <v>74</v>
      </c>
      <c r="H97" s="145">
        <v>90</v>
      </c>
      <c r="I97" s="145">
        <f>SUM(D97:H97)</f>
        <v>339</v>
      </c>
      <c r="J97" s="145">
        <v>97</v>
      </c>
      <c r="K97" s="147" t="s">
        <v>124</v>
      </c>
      <c r="L97" s="147" t="s">
        <v>124</v>
      </c>
      <c r="M97" s="147" t="s">
        <v>124</v>
      </c>
      <c r="N97" s="147" t="s">
        <v>124</v>
      </c>
      <c r="O97" s="147" t="s">
        <v>124</v>
      </c>
      <c r="P97" s="147" t="s">
        <v>130</v>
      </c>
      <c r="Q97" s="148" t="s">
        <v>153</v>
      </c>
      <c r="R97" s="148" t="s">
        <v>132</v>
      </c>
      <c r="S97" s="148" t="s">
        <v>136</v>
      </c>
      <c r="T97" s="148" t="s">
        <v>120</v>
      </c>
      <c r="U97" s="145">
        <f>D97+E97</f>
        <v>102</v>
      </c>
      <c r="V97" s="149"/>
      <c r="W97" s="145">
        <f>D97+E97+F97</f>
        <v>175</v>
      </c>
      <c r="X97" s="149"/>
    </row>
    <row r="98" customHeight="1" spans="1:24">
      <c r="A98" s="153">
        <v>112</v>
      </c>
      <c r="B98" s="154" t="s">
        <v>308</v>
      </c>
      <c r="C98" s="144">
        <v>9</v>
      </c>
      <c r="D98" s="145">
        <v>65</v>
      </c>
      <c r="E98" s="145">
        <v>93</v>
      </c>
      <c r="F98" s="145">
        <v>46</v>
      </c>
      <c r="G98" s="145">
        <v>48</v>
      </c>
      <c r="H98" s="145">
        <v>90</v>
      </c>
      <c r="I98" s="145">
        <f>SUM(D98:H98)</f>
        <v>342</v>
      </c>
      <c r="J98" s="145">
        <v>24</v>
      </c>
      <c r="K98" s="147" t="s">
        <v>130</v>
      </c>
      <c r="L98" s="147" t="s">
        <v>114</v>
      </c>
      <c r="M98" s="147" t="s">
        <v>114</v>
      </c>
      <c r="N98" s="147" t="s">
        <v>124</v>
      </c>
      <c r="O98" s="147" t="s">
        <v>124</v>
      </c>
      <c r="P98" s="147" t="s">
        <v>115</v>
      </c>
      <c r="Q98" s="148" t="s">
        <v>309</v>
      </c>
      <c r="R98" s="148" t="s">
        <v>132</v>
      </c>
      <c r="S98" s="148" t="s">
        <v>119</v>
      </c>
      <c r="T98" s="148" t="s">
        <v>126</v>
      </c>
      <c r="U98" s="145">
        <f>D98+E98</f>
        <v>158</v>
      </c>
      <c r="V98" s="149"/>
      <c r="W98" s="145">
        <f>D98+E98+F98</f>
        <v>204</v>
      </c>
      <c r="X98" s="149"/>
    </row>
    <row r="99" customHeight="1" spans="1:24">
      <c r="A99" s="153">
        <v>797</v>
      </c>
      <c r="B99" s="154" t="s">
        <v>310</v>
      </c>
      <c r="C99" s="144">
        <v>4</v>
      </c>
      <c r="D99" s="145">
        <v>67</v>
      </c>
      <c r="E99" s="145">
        <v>72</v>
      </c>
      <c r="F99" s="145">
        <v>71</v>
      </c>
      <c r="G99" s="145">
        <v>74</v>
      </c>
      <c r="H99" s="145">
        <v>90</v>
      </c>
      <c r="I99" s="145">
        <f>SUM(D99:H99)</f>
        <v>374</v>
      </c>
      <c r="J99" s="145">
        <v>92</v>
      </c>
      <c r="K99" s="147" t="s">
        <v>124</v>
      </c>
      <c r="L99" s="147" t="s">
        <v>130</v>
      </c>
      <c r="M99" s="147" t="s">
        <v>114</v>
      </c>
      <c r="N99" s="147" t="s">
        <v>130</v>
      </c>
      <c r="O99" s="147" t="s">
        <v>124</v>
      </c>
      <c r="P99" s="147" t="s">
        <v>114</v>
      </c>
      <c r="Q99" s="148" t="s">
        <v>311</v>
      </c>
      <c r="R99" s="148" t="s">
        <v>118</v>
      </c>
      <c r="S99" s="148" t="s">
        <v>119</v>
      </c>
      <c r="T99" s="148" t="s">
        <v>126</v>
      </c>
      <c r="U99" s="145">
        <f>D99+E99</f>
        <v>139</v>
      </c>
      <c r="V99" s="149"/>
      <c r="W99" s="145">
        <f>D99+E99+F99</f>
        <v>210</v>
      </c>
      <c r="X99" s="149"/>
    </row>
    <row r="100" customHeight="1" spans="1:24">
      <c r="A100" s="153">
        <v>159</v>
      </c>
      <c r="B100" s="143" t="s">
        <v>312</v>
      </c>
      <c r="C100" s="144">
        <v>1</v>
      </c>
      <c r="D100" s="145">
        <v>16</v>
      </c>
      <c r="E100" s="145">
        <v>20</v>
      </c>
      <c r="F100" s="145">
        <v>75</v>
      </c>
      <c r="G100" s="145">
        <v>86</v>
      </c>
      <c r="H100" s="145">
        <v>89</v>
      </c>
      <c r="I100" s="145">
        <f>SUM(D100:H100)</f>
        <v>286</v>
      </c>
      <c r="J100" s="145">
        <v>76</v>
      </c>
      <c r="K100" s="147" t="s">
        <v>124</v>
      </c>
      <c r="L100" s="147" t="s">
        <v>124</v>
      </c>
      <c r="M100" s="147" t="s">
        <v>124</v>
      </c>
      <c r="N100" s="147" t="s">
        <v>124</v>
      </c>
      <c r="O100" s="147" t="s">
        <v>124</v>
      </c>
      <c r="P100" s="147" t="s">
        <v>124</v>
      </c>
      <c r="Q100" s="148" t="s">
        <v>168</v>
      </c>
      <c r="R100" s="148" t="s">
        <v>118</v>
      </c>
      <c r="S100" s="148" t="s">
        <v>133</v>
      </c>
      <c r="T100" s="148" t="s">
        <v>148</v>
      </c>
      <c r="U100" s="145">
        <f>D100+E100</f>
        <v>36</v>
      </c>
      <c r="V100" s="149"/>
      <c r="W100" s="145">
        <f>D100+E100+F100</f>
        <v>111</v>
      </c>
      <c r="X100" s="149"/>
    </row>
    <row r="101" customHeight="1" spans="1:24">
      <c r="A101" s="153">
        <v>181</v>
      </c>
      <c r="B101" s="154" t="s">
        <v>313</v>
      </c>
      <c r="C101" s="144">
        <v>1</v>
      </c>
      <c r="D101" s="145">
        <v>19</v>
      </c>
      <c r="E101" s="145">
        <v>38</v>
      </c>
      <c r="F101" s="145">
        <v>72</v>
      </c>
      <c r="G101" s="145">
        <v>82</v>
      </c>
      <c r="H101" s="145">
        <v>89</v>
      </c>
      <c r="I101" s="145">
        <f>SUM(D101:H101)</f>
        <v>300</v>
      </c>
      <c r="J101" s="145">
        <v>89</v>
      </c>
      <c r="K101" s="147" t="s">
        <v>124</v>
      </c>
      <c r="L101" s="147" t="s">
        <v>124</v>
      </c>
      <c r="M101" s="147" t="s">
        <v>124</v>
      </c>
      <c r="N101" s="147" t="s">
        <v>124</v>
      </c>
      <c r="O101" s="147" t="s">
        <v>124</v>
      </c>
      <c r="P101" s="147" t="s">
        <v>124</v>
      </c>
      <c r="Q101" s="148" t="s">
        <v>314</v>
      </c>
      <c r="R101" s="148" t="s">
        <v>132</v>
      </c>
      <c r="S101" s="148" t="s">
        <v>136</v>
      </c>
      <c r="T101" s="148" t="s">
        <v>148</v>
      </c>
      <c r="U101" s="145">
        <f>D101+E101</f>
        <v>57</v>
      </c>
      <c r="V101" s="149"/>
      <c r="W101" s="145">
        <f>D101+E101+F101</f>
        <v>129</v>
      </c>
      <c r="X101" s="149"/>
    </row>
    <row r="102" customHeight="1" spans="1:24">
      <c r="A102" s="153">
        <v>397</v>
      </c>
      <c r="B102" s="154" t="s">
        <v>315</v>
      </c>
      <c r="C102" s="144">
        <v>5</v>
      </c>
      <c r="D102" s="145">
        <v>47</v>
      </c>
      <c r="E102" s="145">
        <v>37</v>
      </c>
      <c r="F102" s="145">
        <v>82</v>
      </c>
      <c r="G102" s="145">
        <v>90</v>
      </c>
      <c r="H102" s="145">
        <v>89</v>
      </c>
      <c r="I102" s="145">
        <f>SUM(D102:H102)</f>
        <v>345</v>
      </c>
      <c r="J102" s="145">
        <v>144</v>
      </c>
      <c r="K102" s="147" t="s">
        <v>124</v>
      </c>
      <c r="L102" s="147" t="s">
        <v>124</v>
      </c>
      <c r="M102" s="147" t="s">
        <v>124</v>
      </c>
      <c r="N102" s="147" t="s">
        <v>124</v>
      </c>
      <c r="O102" s="147" t="s">
        <v>124</v>
      </c>
      <c r="P102" s="147" t="s">
        <v>124</v>
      </c>
      <c r="Q102" s="148" t="s">
        <v>316</v>
      </c>
      <c r="R102" s="148" t="s">
        <v>132</v>
      </c>
      <c r="S102" s="148" t="s">
        <v>119</v>
      </c>
      <c r="T102" s="148" t="s">
        <v>148</v>
      </c>
      <c r="U102" s="145">
        <f>D102+E102</f>
        <v>84</v>
      </c>
      <c r="V102" s="149"/>
      <c r="W102" s="145">
        <f>D102+E102+F102</f>
        <v>166</v>
      </c>
      <c r="X102" s="149"/>
    </row>
    <row r="103" customHeight="1" spans="1:24">
      <c r="A103" s="153">
        <v>430</v>
      </c>
      <c r="B103" s="156" t="s">
        <v>317</v>
      </c>
      <c r="C103" s="144">
        <v>9</v>
      </c>
      <c r="D103" s="145">
        <v>77</v>
      </c>
      <c r="E103" s="145">
        <v>87</v>
      </c>
      <c r="F103" s="145">
        <v>64</v>
      </c>
      <c r="G103" s="145">
        <v>43</v>
      </c>
      <c r="H103" s="145">
        <v>89</v>
      </c>
      <c r="I103" s="145">
        <f>SUM(D103:H103)</f>
        <v>360</v>
      </c>
      <c r="J103" s="145">
        <v>75</v>
      </c>
      <c r="K103" s="147" t="s">
        <v>124</v>
      </c>
      <c r="L103" s="147" t="s">
        <v>130</v>
      </c>
      <c r="M103" s="147" t="s">
        <v>114</v>
      </c>
      <c r="N103" s="147" t="s">
        <v>115</v>
      </c>
      <c r="O103" s="147" t="s">
        <v>124</v>
      </c>
      <c r="P103" s="147" t="s">
        <v>124</v>
      </c>
      <c r="Q103" s="148" t="s">
        <v>318</v>
      </c>
      <c r="R103" s="148" t="s">
        <v>319</v>
      </c>
      <c r="S103" s="148" t="s">
        <v>119</v>
      </c>
      <c r="T103" s="148" t="s">
        <v>126</v>
      </c>
      <c r="U103" s="145">
        <f>D103+E103</f>
        <v>164</v>
      </c>
      <c r="V103" s="149"/>
      <c r="W103" s="145">
        <f>D103+E103+F103</f>
        <v>228</v>
      </c>
      <c r="X103" s="149"/>
    </row>
    <row r="104" customHeight="1" spans="1:24">
      <c r="A104" s="153">
        <v>371</v>
      </c>
      <c r="B104" s="154" t="s">
        <v>320</v>
      </c>
      <c r="C104" s="144">
        <v>2</v>
      </c>
      <c r="D104" s="145">
        <v>35</v>
      </c>
      <c r="E104" s="145">
        <v>35</v>
      </c>
      <c r="F104" s="145">
        <v>71</v>
      </c>
      <c r="G104" s="145">
        <v>77</v>
      </c>
      <c r="H104" s="145">
        <v>88</v>
      </c>
      <c r="I104" s="145">
        <f>SUM(D104:H104)</f>
        <v>306</v>
      </c>
      <c r="J104" s="145">
        <v>85</v>
      </c>
      <c r="K104" s="147" t="s">
        <v>124</v>
      </c>
      <c r="L104" s="147" t="s">
        <v>124</v>
      </c>
      <c r="M104" s="147" t="s">
        <v>124</v>
      </c>
      <c r="N104" s="147" t="s">
        <v>124</v>
      </c>
      <c r="O104" s="147" t="s">
        <v>124</v>
      </c>
      <c r="P104" s="147" t="s">
        <v>124</v>
      </c>
      <c r="Q104" s="148" t="s">
        <v>321</v>
      </c>
      <c r="R104" s="148" t="s">
        <v>118</v>
      </c>
      <c r="S104" s="148" t="s">
        <v>133</v>
      </c>
      <c r="T104" s="148" t="s">
        <v>126</v>
      </c>
      <c r="U104" s="145">
        <f>D104+E104</f>
        <v>70</v>
      </c>
      <c r="V104" s="149"/>
      <c r="W104" s="145">
        <f>D104+E104+F104</f>
        <v>141</v>
      </c>
      <c r="X104" s="149"/>
    </row>
    <row r="105" customHeight="1" spans="1:24">
      <c r="A105" s="153">
        <v>216</v>
      </c>
      <c r="B105" s="154" t="s">
        <v>322</v>
      </c>
      <c r="C105" s="144">
        <v>5</v>
      </c>
      <c r="D105" s="145">
        <v>39</v>
      </c>
      <c r="E105" s="145">
        <v>41</v>
      </c>
      <c r="F105" s="145">
        <v>73</v>
      </c>
      <c r="G105" s="145">
        <v>86</v>
      </c>
      <c r="H105" s="145">
        <v>88</v>
      </c>
      <c r="I105" s="145">
        <f>SUM(D105:H105)</f>
        <v>327</v>
      </c>
      <c r="J105" s="145">
        <v>71</v>
      </c>
      <c r="K105" s="147" t="s">
        <v>124</v>
      </c>
      <c r="L105" s="147" t="s">
        <v>124</v>
      </c>
      <c r="M105" s="147" t="s">
        <v>124</v>
      </c>
      <c r="N105" s="147" t="s">
        <v>124</v>
      </c>
      <c r="O105" s="147" t="s">
        <v>124</v>
      </c>
      <c r="P105" s="147" t="s">
        <v>124</v>
      </c>
      <c r="Q105" s="148" t="s">
        <v>170</v>
      </c>
      <c r="R105" s="148" t="s">
        <v>118</v>
      </c>
      <c r="S105" s="148" t="s">
        <v>119</v>
      </c>
      <c r="T105" s="148" t="s">
        <v>126</v>
      </c>
      <c r="U105" s="145">
        <f>D105+E105</f>
        <v>80</v>
      </c>
      <c r="V105" s="149"/>
      <c r="W105" s="145">
        <f>D105+E105+F105</f>
        <v>153</v>
      </c>
      <c r="X105" s="149"/>
    </row>
    <row r="106" customHeight="1" spans="1:24">
      <c r="A106" s="153">
        <v>387</v>
      </c>
      <c r="B106" s="143" t="s">
        <v>323</v>
      </c>
      <c r="C106" s="144">
        <v>1</v>
      </c>
      <c r="D106" s="145">
        <v>36</v>
      </c>
      <c r="E106" s="145">
        <v>49</v>
      </c>
      <c r="F106" s="145">
        <v>70</v>
      </c>
      <c r="G106" s="145">
        <v>85</v>
      </c>
      <c r="H106" s="145">
        <v>88</v>
      </c>
      <c r="I106" s="145">
        <f>SUM(D106:H106)</f>
        <v>328</v>
      </c>
      <c r="J106" s="145">
        <v>89</v>
      </c>
      <c r="K106" s="147" t="s">
        <v>124</v>
      </c>
      <c r="L106" s="147" t="s">
        <v>124</v>
      </c>
      <c r="M106" s="147" t="s">
        <v>124</v>
      </c>
      <c r="N106" s="147" t="s">
        <v>124</v>
      </c>
      <c r="O106" s="147" t="s">
        <v>124</v>
      </c>
      <c r="P106" s="147" t="s">
        <v>124</v>
      </c>
      <c r="Q106" s="149"/>
      <c r="R106" s="148" t="s">
        <v>118</v>
      </c>
      <c r="S106" s="148" t="s">
        <v>119</v>
      </c>
      <c r="T106" s="148" t="s">
        <v>120</v>
      </c>
      <c r="U106" s="145">
        <f>D106+E106</f>
        <v>85</v>
      </c>
      <c r="V106" s="149"/>
      <c r="W106" s="145">
        <f>D106+E106+F106</f>
        <v>155</v>
      </c>
      <c r="X106" s="149"/>
    </row>
    <row r="107" customHeight="1" spans="1:24">
      <c r="A107" s="153">
        <v>58</v>
      </c>
      <c r="B107" s="154" t="s">
        <v>324</v>
      </c>
      <c r="C107" s="144">
        <v>11</v>
      </c>
      <c r="D107" s="145">
        <v>41</v>
      </c>
      <c r="E107" s="145">
        <v>35</v>
      </c>
      <c r="F107" s="145">
        <v>85</v>
      </c>
      <c r="G107" s="145">
        <v>91</v>
      </c>
      <c r="H107" s="145">
        <v>88</v>
      </c>
      <c r="I107" s="145">
        <f>SUM(D107:H107)</f>
        <v>340</v>
      </c>
      <c r="J107" s="145">
        <v>1</v>
      </c>
      <c r="K107" s="147" t="s">
        <v>124</v>
      </c>
      <c r="L107" s="147" t="s">
        <v>124</v>
      </c>
      <c r="M107" s="147" t="s">
        <v>130</v>
      </c>
      <c r="N107" s="147" t="s">
        <v>124</v>
      </c>
      <c r="O107" s="147" t="s">
        <v>124</v>
      </c>
      <c r="P107" s="147" t="s">
        <v>124</v>
      </c>
      <c r="Q107" s="148" t="s">
        <v>302</v>
      </c>
      <c r="R107" s="148" t="s">
        <v>132</v>
      </c>
      <c r="S107" s="148" t="s">
        <v>133</v>
      </c>
      <c r="T107" s="148" t="s">
        <v>148</v>
      </c>
      <c r="U107" s="145">
        <f>D107+E107</f>
        <v>76</v>
      </c>
      <c r="V107" s="149"/>
      <c r="W107" s="145">
        <f>D107+E107+F107</f>
        <v>161</v>
      </c>
      <c r="X107" s="149"/>
    </row>
    <row r="108" customHeight="1" spans="1:24">
      <c r="A108" s="153">
        <v>499</v>
      </c>
      <c r="B108" s="154" t="s">
        <v>325</v>
      </c>
      <c r="C108" s="144">
        <v>8</v>
      </c>
      <c r="D108" s="145">
        <v>37</v>
      </c>
      <c r="E108" s="145">
        <v>42</v>
      </c>
      <c r="F108" s="145">
        <v>82</v>
      </c>
      <c r="G108" s="145">
        <v>95</v>
      </c>
      <c r="H108" s="145">
        <v>88</v>
      </c>
      <c r="I108" s="145">
        <f>SUM(D108:H108)</f>
        <v>344</v>
      </c>
      <c r="J108" s="145">
        <v>47</v>
      </c>
      <c r="K108" s="147" t="s">
        <v>124</v>
      </c>
      <c r="L108" s="147" t="s">
        <v>124</v>
      </c>
      <c r="M108" s="147" t="s">
        <v>124</v>
      </c>
      <c r="N108" s="147" t="s">
        <v>124</v>
      </c>
      <c r="O108" s="147" t="s">
        <v>124</v>
      </c>
      <c r="P108" s="147" t="s">
        <v>124</v>
      </c>
      <c r="Q108" s="148" t="s">
        <v>281</v>
      </c>
      <c r="R108" s="148" t="s">
        <v>132</v>
      </c>
      <c r="S108" s="148" t="s">
        <v>119</v>
      </c>
      <c r="T108" s="148" t="s">
        <v>126</v>
      </c>
      <c r="U108" s="145">
        <f>D108+E108</f>
        <v>79</v>
      </c>
      <c r="V108" s="149"/>
      <c r="W108" s="145">
        <f>D108+E108+F108</f>
        <v>161</v>
      </c>
      <c r="X108" s="149"/>
    </row>
    <row r="109" customHeight="1" spans="1:24">
      <c r="A109" s="153">
        <v>580</v>
      </c>
      <c r="B109" s="154" t="s">
        <v>326</v>
      </c>
      <c r="C109" s="144">
        <v>1</v>
      </c>
      <c r="D109" s="145">
        <v>36</v>
      </c>
      <c r="E109" s="145">
        <v>46</v>
      </c>
      <c r="F109" s="145">
        <v>74</v>
      </c>
      <c r="G109" s="145">
        <v>77</v>
      </c>
      <c r="H109" s="145">
        <v>87</v>
      </c>
      <c r="I109" s="145">
        <f>SUM(D109:H109)</f>
        <v>320</v>
      </c>
      <c r="J109" s="145">
        <v>32</v>
      </c>
      <c r="K109" s="147" t="s">
        <v>124</v>
      </c>
      <c r="L109" s="147" t="s">
        <v>124</v>
      </c>
      <c r="M109" s="147" t="s">
        <v>124</v>
      </c>
      <c r="N109" s="147" t="s">
        <v>124</v>
      </c>
      <c r="O109" s="147" t="s">
        <v>124</v>
      </c>
      <c r="P109" s="147" t="s">
        <v>124</v>
      </c>
      <c r="Q109" s="148" t="s">
        <v>286</v>
      </c>
      <c r="R109" s="148" t="s">
        <v>175</v>
      </c>
      <c r="S109" s="148" t="s">
        <v>119</v>
      </c>
      <c r="T109" s="148" t="s">
        <v>148</v>
      </c>
      <c r="U109" s="145">
        <f>D109+E109</f>
        <v>82</v>
      </c>
      <c r="V109" s="149"/>
      <c r="W109" s="145">
        <f>D109+E109+F109</f>
        <v>156</v>
      </c>
      <c r="X109" s="149"/>
    </row>
    <row r="110" customHeight="1" spans="1:24">
      <c r="A110" s="153">
        <v>378</v>
      </c>
      <c r="B110" s="154" t="s">
        <v>327</v>
      </c>
      <c r="C110" s="144">
        <v>20</v>
      </c>
      <c r="D110" s="145">
        <v>74</v>
      </c>
      <c r="E110" s="145">
        <v>73</v>
      </c>
      <c r="F110" s="145">
        <v>81</v>
      </c>
      <c r="G110" s="145">
        <v>96</v>
      </c>
      <c r="H110" s="145">
        <v>87</v>
      </c>
      <c r="I110" s="145">
        <f>SUM(D110:H110)</f>
        <v>411</v>
      </c>
      <c r="J110" s="145">
        <v>145</v>
      </c>
      <c r="K110" s="147" t="s">
        <v>130</v>
      </c>
      <c r="L110" s="147" t="s">
        <v>130</v>
      </c>
      <c r="M110" s="147" t="s">
        <v>130</v>
      </c>
      <c r="N110" s="147" t="s">
        <v>114</v>
      </c>
      <c r="O110" s="147" t="s">
        <v>124</v>
      </c>
      <c r="P110" s="147" t="s">
        <v>124</v>
      </c>
      <c r="Q110" s="148" t="s">
        <v>328</v>
      </c>
      <c r="R110" s="148" t="s">
        <v>132</v>
      </c>
      <c r="S110" s="148" t="s">
        <v>136</v>
      </c>
      <c r="T110" s="148" t="s">
        <v>120</v>
      </c>
      <c r="U110" s="145">
        <f>D110+E110</f>
        <v>147</v>
      </c>
      <c r="V110" s="149"/>
      <c r="W110" s="145">
        <f>D110+E110+F110</f>
        <v>228</v>
      </c>
      <c r="X110" s="149"/>
    </row>
    <row r="111" customHeight="1" spans="1:24">
      <c r="A111" s="153">
        <v>74</v>
      </c>
      <c r="B111" s="154" t="s">
        <v>329</v>
      </c>
      <c r="C111" s="144">
        <v>1</v>
      </c>
      <c r="D111" s="145">
        <v>25</v>
      </c>
      <c r="E111" s="145">
        <v>40</v>
      </c>
      <c r="F111" s="145">
        <v>80</v>
      </c>
      <c r="G111" s="145">
        <v>76</v>
      </c>
      <c r="H111" s="145">
        <v>86</v>
      </c>
      <c r="I111" s="145">
        <f>SUM(D111:H111)</f>
        <v>307</v>
      </c>
      <c r="J111" s="145">
        <v>2</v>
      </c>
      <c r="K111" s="147" t="s">
        <v>124</v>
      </c>
      <c r="L111" s="147" t="s">
        <v>124</v>
      </c>
      <c r="M111" s="147" t="s">
        <v>124</v>
      </c>
      <c r="N111" s="147" t="s">
        <v>124</v>
      </c>
      <c r="O111" s="147" t="s">
        <v>124</v>
      </c>
      <c r="P111" s="147" t="s">
        <v>124</v>
      </c>
      <c r="Q111" s="148" t="s">
        <v>330</v>
      </c>
      <c r="R111" s="148" t="s">
        <v>119</v>
      </c>
      <c r="S111" s="148" t="s">
        <v>145</v>
      </c>
      <c r="T111" s="148" t="s">
        <v>120</v>
      </c>
      <c r="U111" s="145">
        <f>D111+E111</f>
        <v>65</v>
      </c>
      <c r="V111" s="149"/>
      <c r="W111" s="145">
        <f>D111+E111+F111</f>
        <v>145</v>
      </c>
      <c r="X111" s="252"/>
    </row>
    <row r="112" customHeight="1" spans="1:24">
      <c r="A112" s="153">
        <v>446</v>
      </c>
      <c r="B112" s="154" t="s">
        <v>331</v>
      </c>
      <c r="C112" s="144">
        <v>11</v>
      </c>
      <c r="D112" s="145">
        <v>40</v>
      </c>
      <c r="E112" s="145">
        <v>48</v>
      </c>
      <c r="F112" s="145">
        <v>84</v>
      </c>
      <c r="G112" s="145">
        <v>97</v>
      </c>
      <c r="H112" s="145">
        <v>86</v>
      </c>
      <c r="I112" s="145">
        <f>SUM(D112:H112)</f>
        <v>355</v>
      </c>
      <c r="J112" s="145">
        <v>14</v>
      </c>
      <c r="K112" s="147" t="s">
        <v>124</v>
      </c>
      <c r="L112" s="147" t="s">
        <v>124</v>
      </c>
      <c r="M112" s="147" t="s">
        <v>124</v>
      </c>
      <c r="N112" s="147" t="s">
        <v>124</v>
      </c>
      <c r="O112" s="147" t="s">
        <v>124</v>
      </c>
      <c r="P112" s="147" t="s">
        <v>124</v>
      </c>
      <c r="Q112" s="148" t="s">
        <v>302</v>
      </c>
      <c r="R112" s="148" t="s">
        <v>118</v>
      </c>
      <c r="S112" s="148" t="s">
        <v>119</v>
      </c>
      <c r="T112" s="148" t="s">
        <v>148</v>
      </c>
      <c r="U112" s="145">
        <f>D112+E112</f>
        <v>88</v>
      </c>
      <c r="V112" s="149"/>
      <c r="W112" s="145">
        <f>D112+E112+F112</f>
        <v>172</v>
      </c>
      <c r="X112" s="149"/>
    </row>
    <row r="113" customHeight="1" spans="1:24">
      <c r="A113" s="153">
        <v>273</v>
      </c>
      <c r="B113" s="154" t="s">
        <v>332</v>
      </c>
      <c r="C113" s="144">
        <v>2</v>
      </c>
      <c r="D113" s="145">
        <v>57</v>
      </c>
      <c r="E113" s="145">
        <v>56</v>
      </c>
      <c r="F113" s="145">
        <v>81</v>
      </c>
      <c r="G113" s="145">
        <v>85</v>
      </c>
      <c r="H113" s="145">
        <v>86</v>
      </c>
      <c r="I113" s="145">
        <f>SUM(D113:H113)</f>
        <v>365</v>
      </c>
      <c r="J113" s="145">
        <v>64</v>
      </c>
      <c r="K113" s="147" t="s">
        <v>124</v>
      </c>
      <c r="L113" s="147" t="s">
        <v>130</v>
      </c>
      <c r="M113" s="147" t="s">
        <v>130</v>
      </c>
      <c r="N113" s="147" t="s">
        <v>124</v>
      </c>
      <c r="O113" s="147" t="s">
        <v>124</v>
      </c>
      <c r="P113" s="147" t="s">
        <v>124</v>
      </c>
      <c r="Q113" s="148" t="s">
        <v>333</v>
      </c>
      <c r="R113" s="148" t="s">
        <v>132</v>
      </c>
      <c r="S113" s="148" t="s">
        <v>119</v>
      </c>
      <c r="T113" s="148" t="s">
        <v>120</v>
      </c>
      <c r="U113" s="145">
        <f>D113+E113</f>
        <v>113</v>
      </c>
      <c r="V113" s="149"/>
      <c r="W113" s="145">
        <f>D113+E113+F113</f>
        <v>194</v>
      </c>
      <c r="X113" s="149"/>
    </row>
    <row r="114" customHeight="1" spans="1:24">
      <c r="A114" s="153">
        <v>160</v>
      </c>
      <c r="B114" s="154" t="s">
        <v>334</v>
      </c>
      <c r="C114" s="144">
        <v>16</v>
      </c>
      <c r="D114" s="145">
        <v>52</v>
      </c>
      <c r="E114" s="145">
        <v>69</v>
      </c>
      <c r="F114" s="145">
        <v>76</v>
      </c>
      <c r="G114" s="145">
        <v>90</v>
      </c>
      <c r="H114" s="145">
        <v>86</v>
      </c>
      <c r="I114" s="145">
        <f>SUM(D114:H114)</f>
        <v>373</v>
      </c>
      <c r="J114" s="145">
        <v>75</v>
      </c>
      <c r="K114" s="147" t="s">
        <v>124</v>
      </c>
      <c r="L114" s="147" t="s">
        <v>124</v>
      </c>
      <c r="M114" s="147" t="s">
        <v>124</v>
      </c>
      <c r="N114" s="147" t="s">
        <v>124</v>
      </c>
      <c r="O114" s="147" t="s">
        <v>124</v>
      </c>
      <c r="P114" s="147" t="s">
        <v>124</v>
      </c>
      <c r="Q114" s="148" t="s">
        <v>292</v>
      </c>
      <c r="R114" s="148" t="s">
        <v>118</v>
      </c>
      <c r="S114" s="148" t="s">
        <v>136</v>
      </c>
      <c r="T114" s="148" t="s">
        <v>120</v>
      </c>
      <c r="U114" s="145">
        <f>D114+E114</f>
        <v>121</v>
      </c>
      <c r="V114" s="149"/>
      <c r="W114" s="145">
        <f>D114+E114+F114</f>
        <v>197</v>
      </c>
      <c r="X114" s="149"/>
    </row>
    <row r="115" customHeight="1" spans="1:24">
      <c r="A115" s="153">
        <v>38</v>
      </c>
      <c r="B115" s="154" t="s">
        <v>335</v>
      </c>
      <c r="C115" s="144">
        <v>2</v>
      </c>
      <c r="D115" s="145">
        <v>61</v>
      </c>
      <c r="E115" s="145">
        <v>60</v>
      </c>
      <c r="F115" s="145">
        <v>87</v>
      </c>
      <c r="G115" s="145">
        <v>82</v>
      </c>
      <c r="H115" s="145">
        <v>86</v>
      </c>
      <c r="I115" s="145">
        <f>SUM(D115:H115)</f>
        <v>376</v>
      </c>
      <c r="J115" s="145">
        <v>23</v>
      </c>
      <c r="K115" s="147" t="s">
        <v>130</v>
      </c>
      <c r="L115" s="147" t="s">
        <v>124</v>
      </c>
      <c r="M115" s="147" t="s">
        <v>124</v>
      </c>
      <c r="N115" s="147" t="s">
        <v>130</v>
      </c>
      <c r="O115" s="147" t="s">
        <v>124</v>
      </c>
      <c r="P115" s="147" t="s">
        <v>124</v>
      </c>
      <c r="Q115" s="148" t="s">
        <v>333</v>
      </c>
      <c r="R115" s="148" t="s">
        <v>118</v>
      </c>
      <c r="S115" s="148" t="s">
        <v>119</v>
      </c>
      <c r="T115" s="148" t="s">
        <v>126</v>
      </c>
      <c r="U115" s="145">
        <f>D115+E115</f>
        <v>121</v>
      </c>
      <c r="V115" s="149"/>
      <c r="W115" s="145">
        <f>D115+E115+F115</f>
        <v>208</v>
      </c>
      <c r="X115" s="149"/>
    </row>
    <row r="116" customHeight="1" spans="1:24">
      <c r="A116" s="153">
        <v>476</v>
      </c>
      <c r="B116" s="154" t="s">
        <v>336</v>
      </c>
      <c r="C116" s="144">
        <v>2</v>
      </c>
      <c r="D116" s="145">
        <v>58</v>
      </c>
      <c r="E116" s="145">
        <v>71</v>
      </c>
      <c r="F116" s="145">
        <v>81</v>
      </c>
      <c r="G116" s="145">
        <v>84</v>
      </c>
      <c r="H116" s="145">
        <v>86</v>
      </c>
      <c r="I116" s="145">
        <f>SUM(D116:H116)</f>
        <v>380</v>
      </c>
      <c r="J116" s="145">
        <v>45</v>
      </c>
      <c r="K116" s="147" t="s">
        <v>130</v>
      </c>
      <c r="L116" s="147" t="s">
        <v>114</v>
      </c>
      <c r="M116" s="147" t="s">
        <v>130</v>
      </c>
      <c r="N116" s="147" t="s">
        <v>124</v>
      </c>
      <c r="O116" s="147" t="s">
        <v>124</v>
      </c>
      <c r="P116" s="147" t="s">
        <v>130</v>
      </c>
      <c r="Q116" s="148" t="s">
        <v>337</v>
      </c>
      <c r="R116" s="148" t="s">
        <v>132</v>
      </c>
      <c r="S116" s="148" t="s">
        <v>119</v>
      </c>
      <c r="T116" s="148" t="s">
        <v>120</v>
      </c>
      <c r="U116" s="145">
        <f>D116+E116</f>
        <v>129</v>
      </c>
      <c r="V116" s="149"/>
      <c r="W116" s="145">
        <f>D116+E116+F116</f>
        <v>210</v>
      </c>
      <c r="X116" s="149"/>
    </row>
    <row r="117" customHeight="1" spans="1:24">
      <c r="A117" s="153">
        <v>264</v>
      </c>
      <c r="B117" s="154" t="s">
        <v>338</v>
      </c>
      <c r="C117" s="144">
        <v>2</v>
      </c>
      <c r="D117" s="145">
        <v>69</v>
      </c>
      <c r="E117" s="145">
        <v>75</v>
      </c>
      <c r="F117" s="145">
        <v>73</v>
      </c>
      <c r="G117" s="145">
        <v>82</v>
      </c>
      <c r="H117" s="145">
        <v>86</v>
      </c>
      <c r="I117" s="145">
        <f>SUM(D117:H117)</f>
        <v>385</v>
      </c>
      <c r="J117" s="145">
        <v>5</v>
      </c>
      <c r="K117" s="147" t="s">
        <v>130</v>
      </c>
      <c r="L117" s="147" t="s">
        <v>130</v>
      </c>
      <c r="M117" s="147" t="s">
        <v>130</v>
      </c>
      <c r="N117" s="147" t="s">
        <v>114</v>
      </c>
      <c r="O117" s="147" t="s">
        <v>124</v>
      </c>
      <c r="P117" s="147" t="s">
        <v>124</v>
      </c>
      <c r="Q117" s="148" t="s">
        <v>339</v>
      </c>
      <c r="R117" s="148" t="s">
        <v>132</v>
      </c>
      <c r="S117" s="148" t="s">
        <v>136</v>
      </c>
      <c r="T117" s="148" t="s">
        <v>126</v>
      </c>
      <c r="U117" s="145">
        <f>D117+E117</f>
        <v>144</v>
      </c>
      <c r="V117" s="149"/>
      <c r="W117" s="145">
        <f>D117+E117+F117</f>
        <v>217</v>
      </c>
      <c r="X117" s="149"/>
    </row>
    <row r="118" customHeight="1" spans="1:24">
      <c r="A118" s="153">
        <v>780</v>
      </c>
      <c r="B118" s="143" t="s">
        <v>340</v>
      </c>
      <c r="C118" s="144">
        <v>1</v>
      </c>
      <c r="D118" s="145">
        <v>38</v>
      </c>
      <c r="E118" s="145">
        <v>16</v>
      </c>
      <c r="F118" s="145">
        <v>75</v>
      </c>
      <c r="G118" s="145">
        <v>78</v>
      </c>
      <c r="H118" s="145">
        <v>85</v>
      </c>
      <c r="I118" s="145">
        <f>SUM(D118:H118)</f>
        <v>292</v>
      </c>
      <c r="J118" s="145">
        <v>61</v>
      </c>
      <c r="K118" s="147" t="s">
        <v>124</v>
      </c>
      <c r="L118" s="147" t="s">
        <v>124</v>
      </c>
      <c r="M118" s="147" t="s">
        <v>124</v>
      </c>
      <c r="N118" s="147" t="s">
        <v>124</v>
      </c>
      <c r="O118" s="147" t="s">
        <v>124</v>
      </c>
      <c r="P118" s="147" t="s">
        <v>124</v>
      </c>
      <c r="Q118" s="148" t="s">
        <v>168</v>
      </c>
      <c r="R118" s="148" t="s">
        <v>132</v>
      </c>
      <c r="S118" s="148" t="s">
        <v>133</v>
      </c>
      <c r="T118" s="148" t="s">
        <v>126</v>
      </c>
      <c r="U118" s="145">
        <f>D118+E118</f>
        <v>54</v>
      </c>
      <c r="V118" s="149"/>
      <c r="W118" s="145">
        <f>D118+E118+F118</f>
        <v>129</v>
      </c>
      <c r="X118" s="252"/>
    </row>
    <row r="119" customHeight="1" spans="1:24">
      <c r="A119" s="153">
        <v>218</v>
      </c>
      <c r="B119" s="154" t="s">
        <v>341</v>
      </c>
      <c r="C119" s="144">
        <v>1</v>
      </c>
      <c r="D119" s="145">
        <v>44</v>
      </c>
      <c r="E119" s="145">
        <v>31</v>
      </c>
      <c r="F119" s="145">
        <v>70</v>
      </c>
      <c r="G119" s="145">
        <v>78</v>
      </c>
      <c r="H119" s="145">
        <v>85</v>
      </c>
      <c r="I119" s="145">
        <f>SUM(D119:H119)</f>
        <v>308</v>
      </c>
      <c r="J119" s="145">
        <v>71</v>
      </c>
      <c r="K119" s="147" t="s">
        <v>124</v>
      </c>
      <c r="L119" s="147" t="s">
        <v>124</v>
      </c>
      <c r="M119" s="147" t="s">
        <v>124</v>
      </c>
      <c r="N119" s="147" t="s">
        <v>124</v>
      </c>
      <c r="O119" s="147" t="s">
        <v>124</v>
      </c>
      <c r="P119" s="147" t="s">
        <v>124</v>
      </c>
      <c r="Q119" s="148" t="s">
        <v>342</v>
      </c>
      <c r="R119" s="148" t="s">
        <v>118</v>
      </c>
      <c r="S119" s="148" t="s">
        <v>119</v>
      </c>
      <c r="T119" s="148" t="s">
        <v>120</v>
      </c>
      <c r="U119" s="145">
        <f>D119+E119</f>
        <v>75</v>
      </c>
      <c r="V119" s="149"/>
      <c r="W119" s="145">
        <f>D119+E119+F119</f>
        <v>145</v>
      </c>
      <c r="X119" s="149"/>
    </row>
    <row r="120" customHeight="1" spans="1:24">
      <c r="A120" s="153">
        <v>631</v>
      </c>
      <c r="B120" s="154" t="s">
        <v>343</v>
      </c>
      <c r="C120" s="144">
        <v>2</v>
      </c>
      <c r="D120" s="145">
        <v>33</v>
      </c>
      <c r="E120" s="145">
        <v>40</v>
      </c>
      <c r="F120" s="145">
        <v>74</v>
      </c>
      <c r="G120" s="145">
        <v>80</v>
      </c>
      <c r="H120" s="145">
        <v>85</v>
      </c>
      <c r="I120" s="145">
        <f>SUM(D120:H120)</f>
        <v>312</v>
      </c>
      <c r="J120" s="145">
        <v>61</v>
      </c>
      <c r="K120" s="147" t="s">
        <v>124</v>
      </c>
      <c r="L120" s="147" t="s">
        <v>124</v>
      </c>
      <c r="M120" s="147" t="s">
        <v>124</v>
      </c>
      <c r="N120" s="147" t="s">
        <v>124</v>
      </c>
      <c r="O120" s="147" t="s">
        <v>124</v>
      </c>
      <c r="P120" s="147" t="s">
        <v>124</v>
      </c>
      <c r="Q120" s="148" t="s">
        <v>344</v>
      </c>
      <c r="R120" s="148" t="s">
        <v>132</v>
      </c>
      <c r="S120" s="148" t="s">
        <v>133</v>
      </c>
      <c r="T120" s="148" t="s">
        <v>126</v>
      </c>
      <c r="U120" s="145">
        <f>D120+E120</f>
        <v>73</v>
      </c>
      <c r="V120" s="149"/>
      <c r="W120" s="145">
        <f>D120+E120+F120</f>
        <v>147</v>
      </c>
      <c r="X120" s="149"/>
    </row>
    <row r="121" customHeight="1" spans="1:24">
      <c r="A121" s="153">
        <v>172</v>
      </c>
      <c r="B121" s="154" t="s">
        <v>345</v>
      </c>
      <c r="C121" s="144">
        <v>2</v>
      </c>
      <c r="D121" s="145">
        <v>44</v>
      </c>
      <c r="E121" s="145">
        <v>71</v>
      </c>
      <c r="F121" s="145">
        <v>64</v>
      </c>
      <c r="G121" s="145">
        <v>73</v>
      </c>
      <c r="H121" s="145">
        <v>85</v>
      </c>
      <c r="I121" s="145">
        <f>SUM(D121:H121)</f>
        <v>337</v>
      </c>
      <c r="J121" s="145">
        <v>74</v>
      </c>
      <c r="K121" s="147" t="s">
        <v>124</v>
      </c>
      <c r="L121" s="147" t="s">
        <v>124</v>
      </c>
      <c r="M121" s="147" t="s">
        <v>124</v>
      </c>
      <c r="N121" s="147" t="s">
        <v>130</v>
      </c>
      <c r="O121" s="147" t="s">
        <v>124</v>
      </c>
      <c r="P121" s="147" t="s">
        <v>124</v>
      </c>
      <c r="Q121" s="148" t="s">
        <v>321</v>
      </c>
      <c r="R121" s="148" t="s">
        <v>118</v>
      </c>
      <c r="S121" s="148" t="s">
        <v>133</v>
      </c>
      <c r="T121" s="148" t="s">
        <v>126</v>
      </c>
      <c r="U121" s="145">
        <f>D121+E121</f>
        <v>115</v>
      </c>
      <c r="V121" s="149"/>
      <c r="W121" s="145">
        <f>D121+E121+F121</f>
        <v>179</v>
      </c>
      <c r="X121" s="149"/>
    </row>
    <row r="122" customHeight="1" spans="1:24">
      <c r="A122" s="153">
        <v>282</v>
      </c>
      <c r="B122" s="143" t="s">
        <v>346</v>
      </c>
      <c r="C122" s="144">
        <v>1</v>
      </c>
      <c r="D122" s="145">
        <v>64</v>
      </c>
      <c r="E122" s="145">
        <v>44</v>
      </c>
      <c r="F122" s="145">
        <v>70</v>
      </c>
      <c r="G122" s="145">
        <v>80</v>
      </c>
      <c r="H122" s="145">
        <v>85</v>
      </c>
      <c r="I122" s="145">
        <f>SUM(D122:H122)</f>
        <v>343</v>
      </c>
      <c r="J122" s="145">
        <v>123</v>
      </c>
      <c r="K122" s="147" t="s">
        <v>124</v>
      </c>
      <c r="L122" s="147" t="s">
        <v>130</v>
      </c>
      <c r="M122" s="147" t="s">
        <v>114</v>
      </c>
      <c r="N122" s="147" t="s">
        <v>124</v>
      </c>
      <c r="O122" s="147" t="s">
        <v>124</v>
      </c>
      <c r="P122" s="147" t="s">
        <v>114</v>
      </c>
      <c r="Q122" s="149"/>
      <c r="R122" s="148" t="s">
        <v>132</v>
      </c>
      <c r="S122" s="148" t="s">
        <v>133</v>
      </c>
      <c r="T122" s="148" t="s">
        <v>148</v>
      </c>
      <c r="U122" s="145">
        <f>D122+E122</f>
        <v>108</v>
      </c>
      <c r="V122" s="149"/>
      <c r="W122" s="145">
        <f>D122+E122+F122</f>
        <v>178</v>
      </c>
      <c r="X122" s="149"/>
    </row>
    <row r="123" customHeight="1" spans="1:24">
      <c r="A123" s="153">
        <v>98</v>
      </c>
      <c r="B123" s="154" t="s">
        <v>347</v>
      </c>
      <c r="C123" s="144">
        <v>32</v>
      </c>
      <c r="D123" s="145">
        <v>83</v>
      </c>
      <c r="E123" s="145">
        <v>102</v>
      </c>
      <c r="F123" s="145">
        <v>54</v>
      </c>
      <c r="G123" s="145">
        <v>42</v>
      </c>
      <c r="H123" s="145">
        <v>85</v>
      </c>
      <c r="I123" s="145">
        <f>SUM(D123:H123)</f>
        <v>366</v>
      </c>
      <c r="J123" s="145">
        <v>75</v>
      </c>
      <c r="K123" s="147" t="s">
        <v>114</v>
      </c>
      <c r="L123" s="147" t="s">
        <v>115</v>
      </c>
      <c r="M123" s="147" t="s">
        <v>130</v>
      </c>
      <c r="N123" s="147" t="s">
        <v>130</v>
      </c>
      <c r="O123" s="147" t="s">
        <v>124</v>
      </c>
      <c r="P123" s="147" t="s">
        <v>114</v>
      </c>
      <c r="Q123" s="158" t="s">
        <v>270</v>
      </c>
      <c r="R123" s="148" t="s">
        <v>118</v>
      </c>
      <c r="S123" s="148" t="s">
        <v>119</v>
      </c>
      <c r="T123" s="148" t="s">
        <v>126</v>
      </c>
      <c r="U123" s="145">
        <f>D123+E123</f>
        <v>185</v>
      </c>
      <c r="V123" s="148" t="s">
        <v>271</v>
      </c>
      <c r="W123" s="145">
        <f>D123+E123+F123</f>
        <v>239</v>
      </c>
      <c r="X123" s="149"/>
    </row>
    <row r="124" customHeight="1" spans="1:24">
      <c r="A124" s="153">
        <v>16</v>
      </c>
      <c r="B124" s="154" t="s">
        <v>348</v>
      </c>
      <c r="C124" s="144">
        <v>1</v>
      </c>
      <c r="D124" s="145">
        <v>32</v>
      </c>
      <c r="E124" s="145">
        <v>51</v>
      </c>
      <c r="F124" s="145">
        <v>84</v>
      </c>
      <c r="G124" s="145">
        <v>76</v>
      </c>
      <c r="H124" s="145">
        <v>84</v>
      </c>
      <c r="I124" s="145">
        <f>SUM(D124:H124)</f>
        <v>327</v>
      </c>
      <c r="J124" s="145">
        <v>62</v>
      </c>
      <c r="K124" s="147" t="s">
        <v>124</v>
      </c>
      <c r="L124" s="147" t="s">
        <v>124</v>
      </c>
      <c r="M124" s="147" t="s">
        <v>124</v>
      </c>
      <c r="N124" s="147" t="s">
        <v>124</v>
      </c>
      <c r="O124" s="147" t="s">
        <v>124</v>
      </c>
      <c r="P124" s="147" t="s">
        <v>124</v>
      </c>
      <c r="Q124" s="148" t="s">
        <v>333</v>
      </c>
      <c r="R124" s="148" t="s">
        <v>118</v>
      </c>
      <c r="S124" s="148" t="s">
        <v>279</v>
      </c>
      <c r="T124" s="148" t="s">
        <v>148</v>
      </c>
      <c r="U124" s="145">
        <f>D124+E124</f>
        <v>83</v>
      </c>
      <c r="V124" s="149"/>
      <c r="W124" s="145">
        <f>D124+E124+F124</f>
        <v>167</v>
      </c>
      <c r="X124" s="252"/>
    </row>
    <row r="125" customHeight="1" spans="1:24">
      <c r="A125" s="153">
        <v>674</v>
      </c>
      <c r="B125" s="143" t="s">
        <v>349</v>
      </c>
      <c r="C125" s="144">
        <v>1</v>
      </c>
      <c r="D125" s="145">
        <v>18</v>
      </c>
      <c r="E125" s="145">
        <v>22</v>
      </c>
      <c r="F125" s="145">
        <v>73</v>
      </c>
      <c r="G125" s="145">
        <v>80</v>
      </c>
      <c r="H125" s="145">
        <v>83</v>
      </c>
      <c r="I125" s="145">
        <f>SUM(D125:H125)</f>
        <v>276</v>
      </c>
      <c r="J125" s="145">
        <v>61</v>
      </c>
      <c r="K125" s="147" t="s">
        <v>124</v>
      </c>
      <c r="L125" s="147" t="s">
        <v>124</v>
      </c>
      <c r="M125" s="147" t="s">
        <v>124</v>
      </c>
      <c r="N125" s="147" t="s">
        <v>124</v>
      </c>
      <c r="O125" s="147" t="s">
        <v>124</v>
      </c>
      <c r="P125" s="147" t="s">
        <v>124</v>
      </c>
      <c r="Q125" s="148" t="s">
        <v>147</v>
      </c>
      <c r="R125" s="148" t="s">
        <v>132</v>
      </c>
      <c r="S125" s="148" t="s">
        <v>133</v>
      </c>
      <c r="T125" s="148" t="s">
        <v>120</v>
      </c>
      <c r="U125" s="145">
        <f>D125+E125</f>
        <v>40</v>
      </c>
      <c r="V125" s="149"/>
      <c r="W125" s="145">
        <f>D125+E125+F125</f>
        <v>113</v>
      </c>
      <c r="X125" s="149"/>
    </row>
    <row r="126" customHeight="1" spans="1:24">
      <c r="A126" s="153">
        <v>333</v>
      </c>
      <c r="B126" s="154" t="s">
        <v>350</v>
      </c>
      <c r="C126" s="144">
        <v>1</v>
      </c>
      <c r="D126" s="145">
        <v>34</v>
      </c>
      <c r="E126" s="145">
        <v>23</v>
      </c>
      <c r="F126" s="145">
        <v>84</v>
      </c>
      <c r="G126" s="145">
        <v>78</v>
      </c>
      <c r="H126" s="145">
        <v>83</v>
      </c>
      <c r="I126" s="145">
        <f>SUM(D126:H126)</f>
        <v>302</v>
      </c>
      <c r="J126" s="145">
        <v>67</v>
      </c>
      <c r="K126" s="147" t="s">
        <v>124</v>
      </c>
      <c r="L126" s="147" t="s">
        <v>124</v>
      </c>
      <c r="M126" s="147" t="s">
        <v>124</v>
      </c>
      <c r="N126" s="147" t="s">
        <v>124</v>
      </c>
      <c r="O126" s="147" t="s">
        <v>124</v>
      </c>
      <c r="P126" s="147" t="s">
        <v>124</v>
      </c>
      <c r="Q126" s="148" t="s">
        <v>342</v>
      </c>
      <c r="R126" s="148" t="s">
        <v>118</v>
      </c>
      <c r="S126" s="148" t="s">
        <v>119</v>
      </c>
      <c r="T126" s="148" t="s">
        <v>120</v>
      </c>
      <c r="U126" s="145">
        <f>D126+E126</f>
        <v>57</v>
      </c>
      <c r="V126" s="149"/>
      <c r="W126" s="145">
        <f>D126+E126+F126</f>
        <v>141</v>
      </c>
      <c r="X126" s="252"/>
    </row>
    <row r="127" customHeight="1" spans="1:24">
      <c r="A127" s="153">
        <v>391</v>
      </c>
      <c r="B127" s="154" t="s">
        <v>351</v>
      </c>
      <c r="C127" s="144">
        <v>2</v>
      </c>
      <c r="D127" s="145">
        <v>27</v>
      </c>
      <c r="E127" s="145">
        <v>28</v>
      </c>
      <c r="F127" s="145">
        <v>82</v>
      </c>
      <c r="G127" s="145">
        <v>86</v>
      </c>
      <c r="H127" s="145">
        <v>83</v>
      </c>
      <c r="I127" s="145">
        <f>SUM(D127:H127)</f>
        <v>306</v>
      </c>
      <c r="J127" s="145">
        <v>146</v>
      </c>
      <c r="K127" s="147" t="s">
        <v>124</v>
      </c>
      <c r="L127" s="147" t="s">
        <v>124</v>
      </c>
      <c r="M127" s="147" t="s">
        <v>124</v>
      </c>
      <c r="N127" s="147" t="s">
        <v>124</v>
      </c>
      <c r="O127" s="147" t="s">
        <v>124</v>
      </c>
      <c r="P127" s="147" t="s">
        <v>124</v>
      </c>
      <c r="Q127" s="148" t="s">
        <v>168</v>
      </c>
      <c r="R127" s="148" t="s">
        <v>118</v>
      </c>
      <c r="S127" s="148" t="s">
        <v>133</v>
      </c>
      <c r="T127" s="148" t="s">
        <v>126</v>
      </c>
      <c r="U127" s="145">
        <f>D127+E127</f>
        <v>55</v>
      </c>
      <c r="V127" s="149"/>
      <c r="W127" s="145">
        <f>D127+E127+F127</f>
        <v>137</v>
      </c>
      <c r="X127" s="149"/>
    </row>
    <row r="128" customHeight="1" spans="1:24">
      <c r="A128" s="153">
        <v>166</v>
      </c>
      <c r="B128" s="154" t="s">
        <v>352</v>
      </c>
      <c r="C128" s="144">
        <v>5</v>
      </c>
      <c r="D128" s="145">
        <v>48</v>
      </c>
      <c r="E128" s="145">
        <v>39</v>
      </c>
      <c r="F128" s="145">
        <v>72</v>
      </c>
      <c r="G128" s="145">
        <v>90</v>
      </c>
      <c r="H128" s="145">
        <v>83</v>
      </c>
      <c r="I128" s="145">
        <f>SUM(D128:H128)</f>
        <v>332</v>
      </c>
      <c r="J128" s="145">
        <v>75</v>
      </c>
      <c r="K128" s="147" t="s">
        <v>124</v>
      </c>
      <c r="L128" s="147" t="s">
        <v>130</v>
      </c>
      <c r="M128" s="147" t="s">
        <v>124</v>
      </c>
      <c r="N128" s="147" t="s">
        <v>124</v>
      </c>
      <c r="O128" s="147" t="s">
        <v>124</v>
      </c>
      <c r="P128" s="147" t="s">
        <v>124</v>
      </c>
      <c r="Q128" s="148" t="s">
        <v>353</v>
      </c>
      <c r="R128" s="148" t="s">
        <v>132</v>
      </c>
      <c r="S128" s="148" t="s">
        <v>133</v>
      </c>
      <c r="T128" s="148" t="s">
        <v>148</v>
      </c>
      <c r="U128" s="145">
        <f>D128+E128</f>
        <v>87</v>
      </c>
      <c r="V128" s="149"/>
      <c r="W128" s="145">
        <f>D128+E128+F128</f>
        <v>159</v>
      </c>
      <c r="X128" s="149"/>
    </row>
    <row r="129" customHeight="1" spans="1:24">
      <c r="A129" s="153">
        <v>259</v>
      </c>
      <c r="B129" s="154" t="s">
        <v>354</v>
      </c>
      <c r="C129" s="144">
        <v>4</v>
      </c>
      <c r="D129" s="145">
        <v>53</v>
      </c>
      <c r="E129" s="145">
        <v>26</v>
      </c>
      <c r="F129" s="145">
        <v>94</v>
      </c>
      <c r="G129" s="145">
        <v>83</v>
      </c>
      <c r="H129" s="145">
        <v>83</v>
      </c>
      <c r="I129" s="145">
        <f>SUM(D129:H129)</f>
        <v>339</v>
      </c>
      <c r="J129" s="145">
        <v>26</v>
      </c>
      <c r="K129" s="147" t="s">
        <v>130</v>
      </c>
      <c r="L129" s="147" t="s">
        <v>130</v>
      </c>
      <c r="M129" s="147" t="s">
        <v>124</v>
      </c>
      <c r="N129" s="147" t="s">
        <v>124</v>
      </c>
      <c r="O129" s="147" t="s">
        <v>124</v>
      </c>
      <c r="P129" s="147" t="s">
        <v>124</v>
      </c>
      <c r="Q129" s="148" t="s">
        <v>215</v>
      </c>
      <c r="R129" s="148" t="s">
        <v>132</v>
      </c>
      <c r="S129" s="148" t="s">
        <v>119</v>
      </c>
      <c r="T129" s="148" t="s">
        <v>120</v>
      </c>
      <c r="U129" s="145">
        <f>D129+E129</f>
        <v>79</v>
      </c>
      <c r="V129" s="149"/>
      <c r="W129" s="145">
        <f>D129+E129+F129</f>
        <v>173</v>
      </c>
      <c r="X129" s="149"/>
    </row>
    <row r="130" customHeight="1" spans="1:24">
      <c r="A130" s="153">
        <v>544</v>
      </c>
      <c r="B130" s="156" t="s">
        <v>355</v>
      </c>
      <c r="C130" s="144">
        <v>9</v>
      </c>
      <c r="D130" s="145">
        <v>66</v>
      </c>
      <c r="E130" s="145">
        <v>27</v>
      </c>
      <c r="F130" s="145">
        <v>82</v>
      </c>
      <c r="G130" s="145">
        <v>89</v>
      </c>
      <c r="H130" s="145">
        <v>83</v>
      </c>
      <c r="I130" s="145">
        <f>SUM(D130:H130)</f>
        <v>347</v>
      </c>
      <c r="J130" s="145">
        <v>140</v>
      </c>
      <c r="K130" s="147" t="s">
        <v>124</v>
      </c>
      <c r="L130" s="147" t="s">
        <v>124</v>
      </c>
      <c r="M130" s="147" t="s">
        <v>124</v>
      </c>
      <c r="N130" s="147" t="s">
        <v>124</v>
      </c>
      <c r="O130" s="147" t="s">
        <v>124</v>
      </c>
      <c r="P130" s="147" t="s">
        <v>115</v>
      </c>
      <c r="Q130" s="148" t="s">
        <v>268</v>
      </c>
      <c r="R130" s="148" t="s">
        <v>118</v>
      </c>
      <c r="S130" s="148" t="s">
        <v>119</v>
      </c>
      <c r="T130" s="148" t="s">
        <v>120</v>
      </c>
      <c r="U130" s="145">
        <f>D130+E130</f>
        <v>93</v>
      </c>
      <c r="V130" s="149"/>
      <c r="W130" s="145">
        <f>D130+E130+F130</f>
        <v>175</v>
      </c>
      <c r="X130" s="149"/>
    </row>
    <row r="131" customHeight="1" spans="1:24">
      <c r="A131" s="153">
        <v>480</v>
      </c>
      <c r="B131" s="154" t="s">
        <v>356</v>
      </c>
      <c r="C131" s="144">
        <v>7</v>
      </c>
      <c r="D131" s="145">
        <v>45</v>
      </c>
      <c r="E131" s="145">
        <v>35</v>
      </c>
      <c r="F131" s="145">
        <v>97</v>
      </c>
      <c r="G131" s="145">
        <v>93</v>
      </c>
      <c r="H131" s="145">
        <v>83</v>
      </c>
      <c r="I131" s="145">
        <f>SUM(D131:H131)</f>
        <v>353</v>
      </c>
      <c r="J131" s="145">
        <v>46</v>
      </c>
      <c r="K131" s="147" t="s">
        <v>124</v>
      </c>
      <c r="L131" s="147" t="s">
        <v>124</v>
      </c>
      <c r="M131" s="147" t="s">
        <v>124</v>
      </c>
      <c r="N131" s="147" t="s">
        <v>124</v>
      </c>
      <c r="O131" s="147" t="s">
        <v>124</v>
      </c>
      <c r="P131" s="147" t="s">
        <v>124</v>
      </c>
      <c r="Q131" s="148" t="s">
        <v>215</v>
      </c>
      <c r="R131" s="148" t="s">
        <v>132</v>
      </c>
      <c r="S131" s="148" t="s">
        <v>119</v>
      </c>
      <c r="T131" s="148" t="s">
        <v>148</v>
      </c>
      <c r="U131" s="145">
        <f>D131+E131</f>
        <v>80</v>
      </c>
      <c r="V131" s="149"/>
      <c r="W131" s="145">
        <f>D131+E131+F131</f>
        <v>177</v>
      </c>
      <c r="X131" s="149"/>
    </row>
    <row r="132" customHeight="1" spans="1:24">
      <c r="A132" s="153">
        <v>652</v>
      </c>
      <c r="B132" s="154" t="s">
        <v>357</v>
      </c>
      <c r="C132" s="144">
        <v>3</v>
      </c>
      <c r="D132" s="145">
        <v>55</v>
      </c>
      <c r="E132" s="145">
        <v>44</v>
      </c>
      <c r="F132" s="145">
        <v>83</v>
      </c>
      <c r="G132" s="145">
        <v>89</v>
      </c>
      <c r="H132" s="145">
        <v>83</v>
      </c>
      <c r="I132" s="145">
        <f>SUM(D132:H132)</f>
        <v>354</v>
      </c>
      <c r="J132" s="145">
        <v>60</v>
      </c>
      <c r="K132" s="147" t="s">
        <v>124</v>
      </c>
      <c r="L132" s="147" t="s">
        <v>124</v>
      </c>
      <c r="M132" s="147" t="s">
        <v>124</v>
      </c>
      <c r="N132" s="147" t="s">
        <v>124</v>
      </c>
      <c r="O132" s="147" t="s">
        <v>124</v>
      </c>
      <c r="P132" s="147" t="s">
        <v>130</v>
      </c>
      <c r="Q132" s="148" t="s">
        <v>358</v>
      </c>
      <c r="R132" s="148" t="s">
        <v>118</v>
      </c>
      <c r="S132" s="148" t="s">
        <v>119</v>
      </c>
      <c r="T132" s="148" t="s">
        <v>120</v>
      </c>
      <c r="U132" s="145">
        <f>D132+E132</f>
        <v>99</v>
      </c>
      <c r="V132" s="149"/>
      <c r="W132" s="145">
        <f>D132+E132+F132</f>
        <v>182</v>
      </c>
      <c r="X132" s="149"/>
    </row>
    <row r="133" customHeight="1" spans="1:24">
      <c r="A133" s="153">
        <v>782</v>
      </c>
      <c r="B133" s="156" t="s">
        <v>359</v>
      </c>
      <c r="C133" s="144">
        <v>2</v>
      </c>
      <c r="D133" s="145">
        <v>23</v>
      </c>
      <c r="E133" s="145">
        <v>13</v>
      </c>
      <c r="F133" s="145">
        <v>74</v>
      </c>
      <c r="G133" s="145">
        <v>76</v>
      </c>
      <c r="H133" s="145">
        <v>82</v>
      </c>
      <c r="I133" s="145">
        <f>SUM(D133:H133)</f>
        <v>268</v>
      </c>
      <c r="J133" s="145">
        <v>17</v>
      </c>
      <c r="K133" s="147" t="s">
        <v>124</v>
      </c>
      <c r="L133" s="147" t="s">
        <v>124</v>
      </c>
      <c r="M133" s="147" t="s">
        <v>124</v>
      </c>
      <c r="N133" s="147" t="s">
        <v>124</v>
      </c>
      <c r="O133" s="147" t="s">
        <v>124</v>
      </c>
      <c r="P133" s="147" t="s">
        <v>115</v>
      </c>
      <c r="Q133" s="148" t="s">
        <v>360</v>
      </c>
      <c r="R133" s="148" t="s">
        <v>319</v>
      </c>
      <c r="S133" s="148" t="s">
        <v>119</v>
      </c>
      <c r="T133" s="148" t="s">
        <v>120</v>
      </c>
      <c r="U133" s="145">
        <f>D133+E133</f>
        <v>36</v>
      </c>
      <c r="V133" s="149"/>
      <c r="W133" s="145">
        <f>D133+E133+F133</f>
        <v>110</v>
      </c>
      <c r="X133" s="149"/>
    </row>
    <row r="134" customHeight="1" spans="1:24">
      <c r="A134" s="153">
        <v>564</v>
      </c>
      <c r="B134" s="154" t="s">
        <v>361</v>
      </c>
      <c r="C134" s="144">
        <v>14</v>
      </c>
      <c r="D134" s="145">
        <v>24</v>
      </c>
      <c r="E134" s="145">
        <v>19</v>
      </c>
      <c r="F134" s="145">
        <v>71</v>
      </c>
      <c r="G134" s="145">
        <v>87</v>
      </c>
      <c r="H134" s="145">
        <v>82</v>
      </c>
      <c r="I134" s="145">
        <f>SUM(D134:H134)</f>
        <v>283</v>
      </c>
      <c r="J134" s="145">
        <v>35</v>
      </c>
      <c r="K134" s="147" t="s">
        <v>124</v>
      </c>
      <c r="L134" s="147" t="s">
        <v>124</v>
      </c>
      <c r="M134" s="147" t="s">
        <v>124</v>
      </c>
      <c r="N134" s="147" t="s">
        <v>124</v>
      </c>
      <c r="O134" s="147" t="s">
        <v>124</v>
      </c>
      <c r="P134" s="147" t="s">
        <v>124</v>
      </c>
      <c r="Q134" s="148" t="s">
        <v>362</v>
      </c>
      <c r="R134" s="148" t="s">
        <v>118</v>
      </c>
      <c r="S134" s="148" t="s">
        <v>133</v>
      </c>
      <c r="T134" s="148" t="s">
        <v>126</v>
      </c>
      <c r="U134" s="145">
        <f>D134+E134</f>
        <v>43</v>
      </c>
      <c r="V134" s="149"/>
      <c r="W134" s="145">
        <f>D134+E134+F134</f>
        <v>114</v>
      </c>
      <c r="X134" s="149"/>
    </row>
    <row r="135" customHeight="1" spans="1:24">
      <c r="A135" s="153">
        <v>524</v>
      </c>
      <c r="B135" s="143" t="s">
        <v>363</v>
      </c>
      <c r="C135" s="144">
        <v>1</v>
      </c>
      <c r="D135" s="145">
        <v>34</v>
      </c>
      <c r="E135" s="145">
        <v>35</v>
      </c>
      <c r="F135" s="145">
        <v>75</v>
      </c>
      <c r="G135" s="145">
        <v>78</v>
      </c>
      <c r="H135" s="145">
        <v>82</v>
      </c>
      <c r="I135" s="145">
        <f>SUM(D135:H135)</f>
        <v>304</v>
      </c>
      <c r="J135" s="145">
        <v>43</v>
      </c>
      <c r="K135" s="147" t="s">
        <v>124</v>
      </c>
      <c r="L135" s="147" t="s">
        <v>124</v>
      </c>
      <c r="M135" s="147" t="s">
        <v>124</v>
      </c>
      <c r="N135" s="147" t="s">
        <v>124</v>
      </c>
      <c r="O135" s="147" t="s">
        <v>124</v>
      </c>
      <c r="P135" s="147" t="s">
        <v>124</v>
      </c>
      <c r="Q135" s="148" t="s">
        <v>147</v>
      </c>
      <c r="R135" s="148" t="s">
        <v>118</v>
      </c>
      <c r="S135" s="148" t="s">
        <v>133</v>
      </c>
      <c r="T135" s="148" t="s">
        <v>126</v>
      </c>
      <c r="U135" s="145">
        <f>D135+E135</f>
        <v>69</v>
      </c>
      <c r="V135" s="149"/>
      <c r="W135" s="145">
        <f>D135+E135+F135</f>
        <v>144</v>
      </c>
      <c r="X135" s="252"/>
    </row>
    <row r="136" customHeight="1" spans="1:24">
      <c r="A136" s="153">
        <v>52</v>
      </c>
      <c r="B136" s="154" t="s">
        <v>364</v>
      </c>
      <c r="C136" s="144">
        <v>1</v>
      </c>
      <c r="D136" s="145">
        <v>37</v>
      </c>
      <c r="E136" s="145">
        <v>29</v>
      </c>
      <c r="F136" s="145">
        <v>77</v>
      </c>
      <c r="G136" s="145">
        <v>83</v>
      </c>
      <c r="H136" s="145">
        <v>82</v>
      </c>
      <c r="I136" s="145">
        <f>SUM(D136:H136)</f>
        <v>308</v>
      </c>
      <c r="J136" s="145">
        <v>16</v>
      </c>
      <c r="K136" s="147" t="s">
        <v>124</v>
      </c>
      <c r="L136" s="147" t="s">
        <v>124</v>
      </c>
      <c r="M136" s="147" t="s">
        <v>124</v>
      </c>
      <c r="N136" s="147" t="s">
        <v>124</v>
      </c>
      <c r="O136" s="147" t="s">
        <v>124</v>
      </c>
      <c r="P136" s="147" t="s">
        <v>124</v>
      </c>
      <c r="Q136" s="148" t="s">
        <v>365</v>
      </c>
      <c r="R136" s="148" t="s">
        <v>119</v>
      </c>
      <c r="S136" s="148" t="s">
        <v>119</v>
      </c>
      <c r="T136" s="148" t="s">
        <v>148</v>
      </c>
      <c r="U136" s="145">
        <f>D136+E136</f>
        <v>66</v>
      </c>
      <c r="V136" s="149"/>
      <c r="W136" s="145">
        <f>D136+E136+F136</f>
        <v>143</v>
      </c>
      <c r="X136" s="252"/>
    </row>
    <row r="137" customHeight="1" spans="1:24">
      <c r="A137" s="153">
        <v>104</v>
      </c>
      <c r="B137" s="154" t="s">
        <v>366</v>
      </c>
      <c r="C137" s="144">
        <v>1</v>
      </c>
      <c r="D137" s="145">
        <v>35</v>
      </c>
      <c r="E137" s="145">
        <v>31</v>
      </c>
      <c r="F137" s="145">
        <v>78</v>
      </c>
      <c r="G137" s="145">
        <v>86</v>
      </c>
      <c r="H137" s="145">
        <v>82</v>
      </c>
      <c r="I137" s="145">
        <f>SUM(D137:H137)</f>
        <v>312</v>
      </c>
      <c r="J137" s="145">
        <v>96</v>
      </c>
      <c r="K137" s="147" t="s">
        <v>124</v>
      </c>
      <c r="L137" s="147" t="s">
        <v>124</v>
      </c>
      <c r="M137" s="147" t="s">
        <v>124</v>
      </c>
      <c r="N137" s="147" t="s">
        <v>124</v>
      </c>
      <c r="O137" s="147" t="s">
        <v>124</v>
      </c>
      <c r="P137" s="147" t="s">
        <v>124</v>
      </c>
      <c r="Q137" s="148" t="s">
        <v>147</v>
      </c>
      <c r="R137" s="148" t="s">
        <v>119</v>
      </c>
      <c r="S137" s="148" t="s">
        <v>133</v>
      </c>
      <c r="T137" s="148" t="s">
        <v>148</v>
      </c>
      <c r="U137" s="145">
        <f>D137+E137</f>
        <v>66</v>
      </c>
      <c r="V137" s="149"/>
      <c r="W137" s="145">
        <f>D137+E137+F137</f>
        <v>144</v>
      </c>
      <c r="X137" s="149"/>
    </row>
    <row r="138" customHeight="1" spans="1:24">
      <c r="A138" s="153">
        <v>380</v>
      </c>
      <c r="B138" s="154" t="s">
        <v>367</v>
      </c>
      <c r="C138" s="144">
        <v>1</v>
      </c>
      <c r="D138" s="145">
        <v>63</v>
      </c>
      <c r="E138" s="145">
        <v>49</v>
      </c>
      <c r="F138" s="145">
        <v>74</v>
      </c>
      <c r="G138" s="145">
        <v>77</v>
      </c>
      <c r="H138" s="145">
        <v>82</v>
      </c>
      <c r="I138" s="145">
        <f>SUM(D138:H138)</f>
        <v>345</v>
      </c>
      <c r="J138" s="145">
        <v>145</v>
      </c>
      <c r="K138" s="147" t="s">
        <v>124</v>
      </c>
      <c r="L138" s="147" t="s">
        <v>130</v>
      </c>
      <c r="M138" s="147" t="s">
        <v>130</v>
      </c>
      <c r="N138" s="147" t="s">
        <v>130</v>
      </c>
      <c r="O138" s="147" t="s">
        <v>124</v>
      </c>
      <c r="P138" s="147" t="s">
        <v>130</v>
      </c>
      <c r="Q138" s="148" t="s">
        <v>284</v>
      </c>
      <c r="R138" s="148" t="s">
        <v>132</v>
      </c>
      <c r="S138" s="148" t="s">
        <v>133</v>
      </c>
      <c r="T138" s="148" t="s">
        <v>120</v>
      </c>
      <c r="U138" s="145">
        <f>D138+E138</f>
        <v>112</v>
      </c>
      <c r="V138" s="149"/>
      <c r="W138" s="145">
        <f>D138+E138+F138</f>
        <v>186</v>
      </c>
      <c r="X138" s="252"/>
    </row>
    <row r="139" customHeight="1" spans="1:24">
      <c r="A139" s="153">
        <v>675</v>
      </c>
      <c r="B139" s="143" t="s">
        <v>368</v>
      </c>
      <c r="C139" s="144">
        <v>1</v>
      </c>
      <c r="D139" s="145">
        <v>19</v>
      </c>
      <c r="E139" s="145">
        <v>32</v>
      </c>
      <c r="F139" s="145">
        <v>72</v>
      </c>
      <c r="G139" s="145">
        <v>79</v>
      </c>
      <c r="H139" s="145">
        <v>81</v>
      </c>
      <c r="I139" s="145">
        <f>SUM(D139:H139)</f>
        <v>283</v>
      </c>
      <c r="J139" s="145">
        <v>61</v>
      </c>
      <c r="K139" s="147" t="s">
        <v>124</v>
      </c>
      <c r="L139" s="147" t="s">
        <v>124</v>
      </c>
      <c r="M139" s="147" t="s">
        <v>124</v>
      </c>
      <c r="N139" s="147" t="s">
        <v>124</v>
      </c>
      <c r="O139" s="147" t="s">
        <v>124</v>
      </c>
      <c r="P139" s="147" t="s">
        <v>124</v>
      </c>
      <c r="Q139" s="148" t="s">
        <v>147</v>
      </c>
      <c r="R139" s="148" t="s">
        <v>132</v>
      </c>
      <c r="S139" s="148" t="s">
        <v>133</v>
      </c>
      <c r="T139" s="148" t="s">
        <v>120</v>
      </c>
      <c r="U139" s="145">
        <f>D139+E139</f>
        <v>51</v>
      </c>
      <c r="V139" s="149"/>
      <c r="W139" s="145">
        <f>D139+E139+F139</f>
        <v>123</v>
      </c>
      <c r="X139" s="149"/>
    </row>
    <row r="140" customHeight="1" spans="1:24">
      <c r="A140" s="153">
        <v>342</v>
      </c>
      <c r="B140" s="154" t="s">
        <v>369</v>
      </c>
      <c r="C140" s="144">
        <v>4</v>
      </c>
      <c r="D140" s="145">
        <v>28</v>
      </c>
      <c r="E140" s="145">
        <v>17</v>
      </c>
      <c r="F140" s="145">
        <v>82</v>
      </c>
      <c r="G140" s="145">
        <v>88</v>
      </c>
      <c r="H140" s="145">
        <v>81</v>
      </c>
      <c r="I140" s="145">
        <f>SUM(D140:H140)</f>
        <v>296</v>
      </c>
      <c r="J140" s="145">
        <v>88</v>
      </c>
      <c r="K140" s="147" t="s">
        <v>124</v>
      </c>
      <c r="L140" s="147" t="s">
        <v>124</v>
      </c>
      <c r="M140" s="147" t="s">
        <v>124</v>
      </c>
      <c r="N140" s="147" t="s">
        <v>124</v>
      </c>
      <c r="O140" s="147" t="s">
        <v>124</v>
      </c>
      <c r="P140" s="147" t="s">
        <v>124</v>
      </c>
      <c r="Q140" s="148" t="s">
        <v>344</v>
      </c>
      <c r="R140" s="148" t="s">
        <v>119</v>
      </c>
      <c r="S140" s="148" t="s">
        <v>119</v>
      </c>
      <c r="T140" s="148" t="s">
        <v>120</v>
      </c>
      <c r="U140" s="145">
        <f>D140+E140</f>
        <v>45</v>
      </c>
      <c r="V140" s="149"/>
      <c r="W140" s="145">
        <f>D140+E140+F140</f>
        <v>127</v>
      </c>
      <c r="X140" s="149"/>
    </row>
    <row r="141" customHeight="1" spans="1:24">
      <c r="A141" s="153">
        <v>59</v>
      </c>
      <c r="B141" s="154" t="s">
        <v>370</v>
      </c>
      <c r="C141" s="144">
        <v>4</v>
      </c>
      <c r="D141" s="145">
        <v>34</v>
      </c>
      <c r="E141" s="145">
        <v>26</v>
      </c>
      <c r="F141" s="145">
        <v>88</v>
      </c>
      <c r="G141" s="145">
        <v>88</v>
      </c>
      <c r="H141" s="145">
        <v>81</v>
      </c>
      <c r="I141" s="145">
        <f>SUM(D141:H141)</f>
        <v>317</v>
      </c>
      <c r="J141" s="145">
        <v>1</v>
      </c>
      <c r="K141" s="147" t="s">
        <v>124</v>
      </c>
      <c r="L141" s="147" t="s">
        <v>124</v>
      </c>
      <c r="M141" s="147" t="s">
        <v>124</v>
      </c>
      <c r="N141" s="147" t="s">
        <v>124</v>
      </c>
      <c r="O141" s="147" t="s">
        <v>124</v>
      </c>
      <c r="P141" s="147" t="s">
        <v>124</v>
      </c>
      <c r="Q141" s="148" t="s">
        <v>342</v>
      </c>
      <c r="R141" s="148" t="s">
        <v>132</v>
      </c>
      <c r="S141" s="148" t="s">
        <v>119</v>
      </c>
      <c r="T141" s="148" t="s">
        <v>120</v>
      </c>
      <c r="U141" s="145">
        <f>D141+E141</f>
        <v>60</v>
      </c>
      <c r="V141" s="149"/>
      <c r="W141" s="145">
        <f>D141+E141+F141</f>
        <v>148</v>
      </c>
      <c r="X141" s="149"/>
    </row>
    <row r="142" customHeight="1" spans="1:24">
      <c r="A142" s="153">
        <v>482</v>
      </c>
      <c r="B142" s="154" t="s">
        <v>371</v>
      </c>
      <c r="C142" s="144">
        <v>6</v>
      </c>
      <c r="D142" s="145">
        <v>30</v>
      </c>
      <c r="E142" s="145">
        <v>44</v>
      </c>
      <c r="F142" s="145">
        <v>96</v>
      </c>
      <c r="G142" s="145">
        <v>91</v>
      </c>
      <c r="H142" s="145">
        <v>81</v>
      </c>
      <c r="I142" s="145">
        <f>SUM(D142:H142)</f>
        <v>342</v>
      </c>
      <c r="J142" s="145">
        <v>46</v>
      </c>
      <c r="K142" s="147" t="s">
        <v>124</v>
      </c>
      <c r="L142" s="147" t="s">
        <v>124</v>
      </c>
      <c r="M142" s="147" t="s">
        <v>124</v>
      </c>
      <c r="N142" s="147" t="s">
        <v>124</v>
      </c>
      <c r="O142" s="147" t="s">
        <v>124</v>
      </c>
      <c r="P142" s="147" t="s">
        <v>124</v>
      </c>
      <c r="Q142" s="148" t="s">
        <v>372</v>
      </c>
      <c r="R142" s="148" t="s">
        <v>132</v>
      </c>
      <c r="S142" s="148" t="s">
        <v>119</v>
      </c>
      <c r="T142" s="148" t="s">
        <v>120</v>
      </c>
      <c r="U142" s="145">
        <f>D142+E142</f>
        <v>74</v>
      </c>
      <c r="V142" s="149"/>
      <c r="W142" s="145">
        <f>D142+E142+F142</f>
        <v>170</v>
      </c>
      <c r="X142" s="149"/>
    </row>
    <row r="143" customHeight="1" spans="1:24">
      <c r="A143" s="153">
        <v>513</v>
      </c>
      <c r="B143" s="154" t="s">
        <v>373</v>
      </c>
      <c r="C143" s="144">
        <v>15</v>
      </c>
      <c r="D143" s="145">
        <v>61</v>
      </c>
      <c r="E143" s="145">
        <v>27</v>
      </c>
      <c r="F143" s="145">
        <v>106</v>
      </c>
      <c r="G143" s="145">
        <v>86</v>
      </c>
      <c r="H143" s="145">
        <v>81</v>
      </c>
      <c r="I143" s="145">
        <f>SUM(D143:H143)</f>
        <v>361</v>
      </c>
      <c r="J143" s="145">
        <v>45</v>
      </c>
      <c r="K143" s="147" t="s">
        <v>124</v>
      </c>
      <c r="L143" s="147" t="s">
        <v>124</v>
      </c>
      <c r="M143" s="147" t="s">
        <v>124</v>
      </c>
      <c r="N143" s="147" t="s">
        <v>124</v>
      </c>
      <c r="O143" s="147" t="s">
        <v>124</v>
      </c>
      <c r="P143" s="147" t="s">
        <v>124</v>
      </c>
      <c r="Q143" s="170" t="s">
        <v>150</v>
      </c>
      <c r="R143" s="148" t="s">
        <v>132</v>
      </c>
      <c r="S143" s="148" t="s">
        <v>133</v>
      </c>
      <c r="T143" s="148" t="s">
        <v>148</v>
      </c>
      <c r="U143" s="145">
        <f>D143+E143</f>
        <v>88</v>
      </c>
      <c r="V143" s="193" t="s">
        <v>151</v>
      </c>
      <c r="W143" s="145">
        <f>D143+E143+F143</f>
        <v>194</v>
      </c>
      <c r="X143" s="149"/>
    </row>
    <row r="144" customHeight="1" spans="1:24">
      <c r="A144" s="153">
        <v>125</v>
      </c>
      <c r="B144" s="154" t="s">
        <v>374</v>
      </c>
      <c r="C144" s="144">
        <v>2</v>
      </c>
      <c r="D144" s="145">
        <v>78</v>
      </c>
      <c r="E144" s="145">
        <v>72</v>
      </c>
      <c r="F144" s="145">
        <v>68</v>
      </c>
      <c r="G144" s="145">
        <v>62</v>
      </c>
      <c r="H144" s="145">
        <v>81</v>
      </c>
      <c r="I144" s="145">
        <f>SUM(D144:H144)</f>
        <v>361</v>
      </c>
      <c r="J144" s="145">
        <v>100</v>
      </c>
      <c r="K144" s="147" t="s">
        <v>114</v>
      </c>
      <c r="L144" s="147" t="s">
        <v>114</v>
      </c>
      <c r="M144" s="147" t="s">
        <v>130</v>
      </c>
      <c r="N144" s="147" t="s">
        <v>124</v>
      </c>
      <c r="O144" s="147" t="s">
        <v>124</v>
      </c>
      <c r="P144" s="147" t="s">
        <v>114</v>
      </c>
      <c r="Q144" s="149"/>
      <c r="R144" s="148" t="s">
        <v>119</v>
      </c>
      <c r="S144" s="148" t="s">
        <v>136</v>
      </c>
      <c r="T144" s="148" t="s">
        <v>250</v>
      </c>
      <c r="U144" s="145">
        <f>D144+E144</f>
        <v>150</v>
      </c>
      <c r="V144" s="149"/>
      <c r="W144" s="145">
        <f>D144+E144+F144</f>
        <v>218</v>
      </c>
      <c r="X144" s="149"/>
    </row>
    <row r="145" customHeight="1" spans="1:24">
      <c r="A145" s="153">
        <v>676</v>
      </c>
      <c r="B145" s="154" t="s">
        <v>375</v>
      </c>
      <c r="C145" s="144">
        <v>1</v>
      </c>
      <c r="D145" s="145">
        <v>40</v>
      </c>
      <c r="E145" s="145">
        <v>43</v>
      </c>
      <c r="F145" s="145">
        <v>76</v>
      </c>
      <c r="G145" s="145">
        <v>81</v>
      </c>
      <c r="H145" s="145">
        <v>80</v>
      </c>
      <c r="I145" s="145">
        <f>SUM(D145:H145)</f>
        <v>320</v>
      </c>
      <c r="J145" s="145">
        <v>62</v>
      </c>
      <c r="K145" s="147" t="s">
        <v>124</v>
      </c>
      <c r="L145" s="147" t="s">
        <v>124</v>
      </c>
      <c r="M145" s="147" t="s">
        <v>124</v>
      </c>
      <c r="N145" s="147" t="s">
        <v>124</v>
      </c>
      <c r="O145" s="147" t="s">
        <v>124</v>
      </c>
      <c r="P145" s="147" t="s">
        <v>124</v>
      </c>
      <c r="Q145" s="148" t="s">
        <v>147</v>
      </c>
      <c r="R145" s="148" t="s">
        <v>132</v>
      </c>
      <c r="S145" s="148" t="s">
        <v>119</v>
      </c>
      <c r="T145" s="148" t="s">
        <v>120</v>
      </c>
      <c r="U145" s="145">
        <f>D145+E145</f>
        <v>83</v>
      </c>
      <c r="V145" s="149"/>
      <c r="W145" s="145">
        <f>D145+E145+F145</f>
        <v>159</v>
      </c>
      <c r="X145" s="252"/>
    </row>
    <row r="146" customHeight="1" spans="1:24">
      <c r="A146" s="153">
        <v>589</v>
      </c>
      <c r="B146" s="143" t="s">
        <v>376</v>
      </c>
      <c r="C146" s="144">
        <v>1</v>
      </c>
      <c r="D146" s="145">
        <v>56</v>
      </c>
      <c r="E146" s="145">
        <v>52</v>
      </c>
      <c r="F146" s="145">
        <v>82</v>
      </c>
      <c r="G146" s="145">
        <v>75</v>
      </c>
      <c r="H146" s="145">
        <v>80</v>
      </c>
      <c r="I146" s="145">
        <f>SUM(D146:H146)</f>
        <v>345</v>
      </c>
      <c r="J146" s="145">
        <v>58</v>
      </c>
      <c r="K146" s="147" t="s">
        <v>130</v>
      </c>
      <c r="L146" s="147" t="s">
        <v>130</v>
      </c>
      <c r="M146" s="147" t="s">
        <v>124</v>
      </c>
      <c r="N146" s="147" t="s">
        <v>124</v>
      </c>
      <c r="O146" s="147" t="s">
        <v>124</v>
      </c>
      <c r="P146" s="147" t="s">
        <v>124</v>
      </c>
      <c r="Q146" s="149"/>
      <c r="R146" s="148" t="s">
        <v>119</v>
      </c>
      <c r="S146" s="148" t="s">
        <v>119</v>
      </c>
      <c r="T146" s="148" t="s">
        <v>120</v>
      </c>
      <c r="U146" s="145">
        <f>D146+E146</f>
        <v>108</v>
      </c>
      <c r="V146" s="149"/>
      <c r="W146" s="145">
        <f>D146+E146+F146</f>
        <v>190</v>
      </c>
      <c r="X146" s="149"/>
    </row>
    <row r="147" customHeight="1" spans="1:24">
      <c r="A147" s="153">
        <v>57</v>
      </c>
      <c r="B147" s="154" t="s">
        <v>377</v>
      </c>
      <c r="C147" s="144">
        <v>2</v>
      </c>
      <c r="D147" s="145">
        <v>74</v>
      </c>
      <c r="E147" s="145">
        <v>65</v>
      </c>
      <c r="F147" s="145">
        <v>67</v>
      </c>
      <c r="G147" s="145">
        <v>81</v>
      </c>
      <c r="H147" s="145">
        <v>80</v>
      </c>
      <c r="I147" s="145">
        <f>SUM(D147:H147)</f>
        <v>367</v>
      </c>
      <c r="J147" s="145">
        <v>0</v>
      </c>
      <c r="K147" s="147" t="s">
        <v>114</v>
      </c>
      <c r="L147" s="147" t="s">
        <v>130</v>
      </c>
      <c r="M147" s="147" t="s">
        <v>130</v>
      </c>
      <c r="N147" s="147" t="s">
        <v>114</v>
      </c>
      <c r="O147" s="147" t="s">
        <v>124</v>
      </c>
      <c r="P147" s="147" t="s">
        <v>124</v>
      </c>
      <c r="Q147" s="148" t="s">
        <v>378</v>
      </c>
      <c r="R147" s="148" t="s">
        <v>119</v>
      </c>
      <c r="S147" s="148" t="s">
        <v>136</v>
      </c>
      <c r="T147" s="148" t="s">
        <v>120</v>
      </c>
      <c r="U147" s="145">
        <f>D147+E147</f>
        <v>139</v>
      </c>
      <c r="V147" s="149"/>
      <c r="W147" s="145">
        <f>D147+E147+F147</f>
        <v>206</v>
      </c>
      <c r="X147" s="149"/>
    </row>
    <row r="148" customHeight="1" spans="1:24">
      <c r="A148" s="153">
        <v>771</v>
      </c>
      <c r="B148" s="143" t="s">
        <v>379</v>
      </c>
      <c r="C148" s="144">
        <v>1</v>
      </c>
      <c r="D148" s="145">
        <v>69</v>
      </c>
      <c r="E148" s="145">
        <v>70</v>
      </c>
      <c r="F148" s="145">
        <v>78</v>
      </c>
      <c r="G148" s="145">
        <v>79</v>
      </c>
      <c r="H148" s="145">
        <v>80</v>
      </c>
      <c r="I148" s="145">
        <f>SUM(D148:H148)</f>
        <v>376</v>
      </c>
      <c r="J148" s="145">
        <v>71</v>
      </c>
      <c r="K148" s="147" t="s">
        <v>130</v>
      </c>
      <c r="L148" s="147" t="s">
        <v>114</v>
      </c>
      <c r="M148" s="147" t="s">
        <v>130</v>
      </c>
      <c r="N148" s="147" t="s">
        <v>130</v>
      </c>
      <c r="O148" s="147" t="s">
        <v>124</v>
      </c>
      <c r="P148" s="147" t="s">
        <v>130</v>
      </c>
      <c r="Q148" s="149"/>
      <c r="R148" s="148" t="s">
        <v>132</v>
      </c>
      <c r="S148" s="148" t="s">
        <v>119</v>
      </c>
      <c r="T148" s="148" t="s">
        <v>148</v>
      </c>
      <c r="U148" s="145">
        <f>D148+E148</f>
        <v>139</v>
      </c>
      <c r="V148" s="149"/>
      <c r="W148" s="145">
        <f>D148+E148+F148</f>
        <v>217</v>
      </c>
      <c r="X148" s="252"/>
    </row>
    <row r="149" customHeight="1" spans="1:24">
      <c r="A149" s="153">
        <v>261</v>
      </c>
      <c r="B149" s="154" t="s">
        <v>380</v>
      </c>
      <c r="C149" s="157">
        <v>6</v>
      </c>
      <c r="D149" s="145">
        <v>68</v>
      </c>
      <c r="E149" s="145">
        <v>87</v>
      </c>
      <c r="F149" s="145">
        <v>19</v>
      </c>
      <c r="G149" s="145">
        <v>16</v>
      </c>
      <c r="H149" s="145">
        <v>79</v>
      </c>
      <c r="I149" s="145">
        <f>SUM(D149:H149)</f>
        <v>269</v>
      </c>
      <c r="J149" s="145">
        <v>144</v>
      </c>
      <c r="K149" s="147" t="s">
        <v>114</v>
      </c>
      <c r="L149" s="147" t="s">
        <v>130</v>
      </c>
      <c r="M149" s="147" t="s">
        <v>124</v>
      </c>
      <c r="N149" s="147" t="s">
        <v>130</v>
      </c>
      <c r="O149" s="147" t="s">
        <v>124</v>
      </c>
      <c r="P149" s="147" t="s">
        <v>124</v>
      </c>
      <c r="Q149" s="158" t="s">
        <v>381</v>
      </c>
      <c r="R149" s="148" t="s">
        <v>175</v>
      </c>
      <c r="S149" s="148" t="s">
        <v>136</v>
      </c>
      <c r="T149" s="148" t="s">
        <v>250</v>
      </c>
      <c r="U149" s="145">
        <f>D149+E149</f>
        <v>155</v>
      </c>
      <c r="V149" s="148" t="s">
        <v>382</v>
      </c>
      <c r="W149" s="145">
        <f>D149+E149+F149</f>
        <v>174</v>
      </c>
      <c r="X149" s="149"/>
    </row>
    <row r="150" customHeight="1" spans="1:24">
      <c r="A150" s="153">
        <v>497</v>
      </c>
      <c r="B150" s="154" t="s">
        <v>383</v>
      </c>
      <c r="C150" s="144">
        <v>1</v>
      </c>
      <c r="D150" s="145">
        <v>16</v>
      </c>
      <c r="E150" s="145">
        <v>22</v>
      </c>
      <c r="F150" s="145">
        <v>74</v>
      </c>
      <c r="G150" s="145">
        <v>87</v>
      </c>
      <c r="H150" s="145">
        <v>79</v>
      </c>
      <c r="I150" s="145">
        <f>SUM(D150:H150)</f>
        <v>278</v>
      </c>
      <c r="J150" s="145">
        <v>48</v>
      </c>
      <c r="K150" s="147" t="s">
        <v>124</v>
      </c>
      <c r="L150" s="147" t="s">
        <v>124</v>
      </c>
      <c r="M150" s="147" t="s">
        <v>124</v>
      </c>
      <c r="N150" s="147" t="s">
        <v>124</v>
      </c>
      <c r="O150" s="147" t="s">
        <v>124</v>
      </c>
      <c r="P150" s="147" t="s">
        <v>124</v>
      </c>
      <c r="Q150" s="148" t="s">
        <v>284</v>
      </c>
      <c r="R150" s="148" t="s">
        <v>132</v>
      </c>
      <c r="S150" s="148" t="s">
        <v>119</v>
      </c>
      <c r="T150" s="148" t="s">
        <v>126</v>
      </c>
      <c r="U150" s="145">
        <f>D150+E150</f>
        <v>38</v>
      </c>
      <c r="V150" s="149"/>
      <c r="W150" s="145">
        <f>D150+E150+F150</f>
        <v>112</v>
      </c>
      <c r="X150" s="149"/>
    </row>
    <row r="151" customHeight="1" spans="1:24">
      <c r="A151" s="153">
        <v>642</v>
      </c>
      <c r="B151" s="154" t="s">
        <v>384</v>
      </c>
      <c r="C151" s="144">
        <v>1</v>
      </c>
      <c r="D151" s="145">
        <v>35</v>
      </c>
      <c r="E151" s="145">
        <v>45</v>
      </c>
      <c r="F151" s="145">
        <v>72</v>
      </c>
      <c r="G151" s="145">
        <v>76</v>
      </c>
      <c r="H151" s="145">
        <v>79</v>
      </c>
      <c r="I151" s="145">
        <f>SUM(D151:H151)</f>
        <v>307</v>
      </c>
      <c r="J151" s="145">
        <v>64</v>
      </c>
      <c r="K151" s="147" t="s">
        <v>124</v>
      </c>
      <c r="L151" s="147" t="s">
        <v>124</v>
      </c>
      <c r="M151" s="147" t="s">
        <v>124</v>
      </c>
      <c r="N151" s="147" t="s">
        <v>124</v>
      </c>
      <c r="O151" s="147" t="s">
        <v>124</v>
      </c>
      <c r="P151" s="147" t="s">
        <v>124</v>
      </c>
      <c r="Q151" s="148" t="s">
        <v>314</v>
      </c>
      <c r="R151" s="148" t="s">
        <v>132</v>
      </c>
      <c r="S151" s="148" t="s">
        <v>119</v>
      </c>
      <c r="T151" s="148" t="s">
        <v>250</v>
      </c>
      <c r="U151" s="145">
        <f>D151+E151</f>
        <v>80</v>
      </c>
      <c r="V151" s="149"/>
      <c r="W151" s="145">
        <f>D151+E151+F151</f>
        <v>152</v>
      </c>
      <c r="X151" s="252"/>
    </row>
    <row r="152" customHeight="1" spans="1:24">
      <c r="A152" s="153">
        <v>143</v>
      </c>
      <c r="B152" s="154" t="s">
        <v>385</v>
      </c>
      <c r="C152" s="144">
        <v>7</v>
      </c>
      <c r="D152" s="145">
        <v>43</v>
      </c>
      <c r="E152" s="145">
        <v>31</v>
      </c>
      <c r="F152" s="145">
        <v>85</v>
      </c>
      <c r="G152" s="145">
        <v>101</v>
      </c>
      <c r="H152" s="145">
        <v>79</v>
      </c>
      <c r="I152" s="145">
        <f>SUM(D152:H152)</f>
        <v>339</v>
      </c>
      <c r="J152" s="145">
        <v>75</v>
      </c>
      <c r="K152" s="147" t="s">
        <v>124</v>
      </c>
      <c r="L152" s="147" t="s">
        <v>124</v>
      </c>
      <c r="M152" s="147" t="s">
        <v>124</v>
      </c>
      <c r="N152" s="147" t="s">
        <v>124</v>
      </c>
      <c r="O152" s="147" t="s">
        <v>124</v>
      </c>
      <c r="P152" s="147" t="s">
        <v>124</v>
      </c>
      <c r="Q152" s="148" t="s">
        <v>386</v>
      </c>
      <c r="R152" s="148" t="s">
        <v>132</v>
      </c>
      <c r="S152" s="148" t="s">
        <v>119</v>
      </c>
      <c r="T152" s="148" t="s">
        <v>120</v>
      </c>
      <c r="U152" s="145">
        <f>D152+E152</f>
        <v>74</v>
      </c>
      <c r="V152" s="149"/>
      <c r="W152" s="145">
        <f>D152+E152+F152</f>
        <v>159</v>
      </c>
      <c r="X152" s="149"/>
    </row>
    <row r="153" customHeight="1" spans="1:24">
      <c r="A153" s="153">
        <v>203</v>
      </c>
      <c r="B153" s="154" t="s">
        <v>387</v>
      </c>
      <c r="C153" s="144">
        <v>9</v>
      </c>
      <c r="D153" s="145">
        <v>80</v>
      </c>
      <c r="E153" s="145">
        <v>88</v>
      </c>
      <c r="F153" s="145">
        <v>56</v>
      </c>
      <c r="G153" s="145">
        <v>70</v>
      </c>
      <c r="H153" s="145">
        <v>79</v>
      </c>
      <c r="I153" s="145">
        <f>SUM(D153:H153)</f>
        <v>373</v>
      </c>
      <c r="J153" s="145">
        <v>74</v>
      </c>
      <c r="K153" s="147" t="s">
        <v>114</v>
      </c>
      <c r="L153" s="147" t="s">
        <v>130</v>
      </c>
      <c r="M153" s="147" t="s">
        <v>114</v>
      </c>
      <c r="N153" s="147" t="s">
        <v>115</v>
      </c>
      <c r="O153" s="147" t="s">
        <v>124</v>
      </c>
      <c r="P153" s="147" t="s">
        <v>124</v>
      </c>
      <c r="Q153" s="148" t="s">
        <v>339</v>
      </c>
      <c r="R153" s="148" t="s">
        <v>118</v>
      </c>
      <c r="S153" s="148" t="s">
        <v>279</v>
      </c>
      <c r="T153" s="148" t="s">
        <v>148</v>
      </c>
      <c r="U153" s="145">
        <f>D153+E153</f>
        <v>168</v>
      </c>
      <c r="V153" s="149"/>
      <c r="W153" s="145">
        <f>D153+E153+F153</f>
        <v>224</v>
      </c>
      <c r="X153" s="149"/>
    </row>
    <row r="154" customHeight="1" spans="1:24">
      <c r="A154" s="153">
        <v>280</v>
      </c>
      <c r="B154" s="154" t="s">
        <v>388</v>
      </c>
      <c r="C154" s="144">
        <v>1</v>
      </c>
      <c r="D154" s="145">
        <v>22</v>
      </c>
      <c r="E154" s="145">
        <v>29</v>
      </c>
      <c r="F154" s="145">
        <v>76</v>
      </c>
      <c r="G154" s="145">
        <v>81</v>
      </c>
      <c r="H154" s="145">
        <v>78</v>
      </c>
      <c r="I154" s="145">
        <f>SUM(D154:H154)</f>
        <v>286</v>
      </c>
      <c r="J154" s="145">
        <v>72</v>
      </c>
      <c r="K154" s="147" t="s">
        <v>124</v>
      </c>
      <c r="L154" s="147" t="s">
        <v>124</v>
      </c>
      <c r="M154" s="147" t="s">
        <v>124</v>
      </c>
      <c r="N154" s="147" t="s">
        <v>124</v>
      </c>
      <c r="O154" s="147" t="s">
        <v>124</v>
      </c>
      <c r="P154" s="147" t="s">
        <v>124</v>
      </c>
      <c r="Q154" s="148" t="s">
        <v>314</v>
      </c>
      <c r="R154" s="148" t="s">
        <v>132</v>
      </c>
      <c r="S154" s="148" t="s">
        <v>133</v>
      </c>
      <c r="T154" s="148" t="s">
        <v>148</v>
      </c>
      <c r="U154" s="145">
        <f>D154+E154</f>
        <v>51</v>
      </c>
      <c r="V154" s="149"/>
      <c r="W154" s="145">
        <f>D154+E154+F154</f>
        <v>127</v>
      </c>
      <c r="X154" s="252"/>
    </row>
    <row r="155" customHeight="1" spans="1:24">
      <c r="A155" s="153">
        <v>161</v>
      </c>
      <c r="B155" s="143" t="s">
        <v>389</v>
      </c>
      <c r="C155" s="144">
        <v>1</v>
      </c>
      <c r="D155" s="145">
        <v>26</v>
      </c>
      <c r="E155" s="145">
        <v>64</v>
      </c>
      <c r="F155" s="145">
        <v>81</v>
      </c>
      <c r="G155" s="145">
        <v>69</v>
      </c>
      <c r="H155" s="145">
        <v>78</v>
      </c>
      <c r="I155" s="145">
        <f>SUM(D155:H155)</f>
        <v>318</v>
      </c>
      <c r="J155" s="145">
        <v>77</v>
      </c>
      <c r="K155" s="147" t="s">
        <v>124</v>
      </c>
      <c r="L155" s="147" t="s">
        <v>124</v>
      </c>
      <c r="M155" s="147" t="s">
        <v>124</v>
      </c>
      <c r="N155" s="147" t="s">
        <v>124</v>
      </c>
      <c r="O155" s="147" t="s">
        <v>124</v>
      </c>
      <c r="P155" s="147" t="s">
        <v>124</v>
      </c>
      <c r="Q155" s="148" t="s">
        <v>284</v>
      </c>
      <c r="R155" s="148" t="s">
        <v>119</v>
      </c>
      <c r="S155" s="148" t="s">
        <v>133</v>
      </c>
      <c r="T155" s="148" t="s">
        <v>148</v>
      </c>
      <c r="U155" s="145">
        <f>D155+E155</f>
        <v>90</v>
      </c>
      <c r="V155" s="149"/>
      <c r="W155" s="145">
        <f>D155+E155+F155</f>
        <v>171</v>
      </c>
      <c r="X155" s="149"/>
    </row>
    <row r="156" customHeight="1" spans="1:24">
      <c r="A156" s="153">
        <v>176</v>
      </c>
      <c r="B156" s="154" t="s">
        <v>390</v>
      </c>
      <c r="C156" s="144">
        <v>7</v>
      </c>
      <c r="D156" s="145">
        <v>23</v>
      </c>
      <c r="E156" s="145">
        <v>56</v>
      </c>
      <c r="F156" s="145">
        <v>71</v>
      </c>
      <c r="G156" s="145">
        <v>93</v>
      </c>
      <c r="H156" s="145">
        <v>78</v>
      </c>
      <c r="I156" s="145">
        <f>SUM(D156:H156)</f>
        <v>321</v>
      </c>
      <c r="J156" s="145">
        <v>76</v>
      </c>
      <c r="K156" s="147" t="s">
        <v>124</v>
      </c>
      <c r="L156" s="147" t="s">
        <v>124</v>
      </c>
      <c r="M156" s="147" t="s">
        <v>124</v>
      </c>
      <c r="N156" s="147" t="s">
        <v>124</v>
      </c>
      <c r="O156" s="147" t="s">
        <v>124</v>
      </c>
      <c r="P156" s="147" t="s">
        <v>124</v>
      </c>
      <c r="Q156" s="148" t="s">
        <v>281</v>
      </c>
      <c r="R156" s="148" t="s">
        <v>132</v>
      </c>
      <c r="S156" s="148" t="s">
        <v>133</v>
      </c>
      <c r="T156" s="148" t="s">
        <v>148</v>
      </c>
      <c r="U156" s="145">
        <f>D156+E156</f>
        <v>79</v>
      </c>
      <c r="V156" s="149"/>
      <c r="W156" s="145">
        <f>D156+E156+F156</f>
        <v>150</v>
      </c>
      <c r="X156" s="149"/>
    </row>
    <row r="157" customHeight="1" spans="1:24">
      <c r="A157" s="153">
        <v>633</v>
      </c>
      <c r="B157" s="154" t="s">
        <v>391</v>
      </c>
      <c r="C157" s="144">
        <v>1</v>
      </c>
      <c r="D157" s="145">
        <v>46</v>
      </c>
      <c r="E157" s="145">
        <v>42</v>
      </c>
      <c r="F157" s="145">
        <v>79</v>
      </c>
      <c r="G157" s="145">
        <v>83</v>
      </c>
      <c r="H157" s="145">
        <v>78</v>
      </c>
      <c r="I157" s="145">
        <f>SUM(D157:H157)</f>
        <v>328</v>
      </c>
      <c r="J157" s="145">
        <v>58</v>
      </c>
      <c r="K157" s="147" t="s">
        <v>124</v>
      </c>
      <c r="L157" s="147" t="s">
        <v>124</v>
      </c>
      <c r="M157" s="147" t="s">
        <v>124</v>
      </c>
      <c r="N157" s="147" t="s">
        <v>124</v>
      </c>
      <c r="O157" s="147" t="s">
        <v>124</v>
      </c>
      <c r="P157" s="147" t="s">
        <v>124</v>
      </c>
      <c r="Q157" s="148" t="s">
        <v>342</v>
      </c>
      <c r="R157" s="148" t="s">
        <v>118</v>
      </c>
      <c r="S157" s="148" t="s">
        <v>119</v>
      </c>
      <c r="T157" s="148" t="s">
        <v>148</v>
      </c>
      <c r="U157" s="145">
        <f>D157+E157</f>
        <v>88</v>
      </c>
      <c r="V157" s="149"/>
      <c r="W157" s="145">
        <f>D157+E157+F157</f>
        <v>167</v>
      </c>
      <c r="X157" s="252"/>
    </row>
    <row r="158" customHeight="1" spans="1:24">
      <c r="A158" s="153">
        <v>389</v>
      </c>
      <c r="B158" s="154" t="s">
        <v>392</v>
      </c>
      <c r="C158" s="144">
        <v>7</v>
      </c>
      <c r="D158" s="145">
        <v>72</v>
      </c>
      <c r="E158" s="145">
        <v>90</v>
      </c>
      <c r="F158" s="145">
        <v>50</v>
      </c>
      <c r="G158" s="145">
        <v>56</v>
      </c>
      <c r="H158" s="145">
        <v>78</v>
      </c>
      <c r="I158" s="145">
        <f>SUM(D158:H158)</f>
        <v>346</v>
      </c>
      <c r="J158" s="145">
        <v>122</v>
      </c>
      <c r="K158" s="147" t="s">
        <v>124</v>
      </c>
      <c r="L158" s="147" t="s">
        <v>130</v>
      </c>
      <c r="M158" s="147" t="s">
        <v>114</v>
      </c>
      <c r="N158" s="147" t="s">
        <v>114</v>
      </c>
      <c r="O158" s="147" t="s">
        <v>124</v>
      </c>
      <c r="P158" s="147" t="s">
        <v>130</v>
      </c>
      <c r="Q158" s="148" t="s">
        <v>393</v>
      </c>
      <c r="R158" s="148" t="s">
        <v>132</v>
      </c>
      <c r="S158" s="148" t="s">
        <v>119</v>
      </c>
      <c r="T158" s="148" t="s">
        <v>126</v>
      </c>
      <c r="U158" s="145">
        <f>D158+E158</f>
        <v>162</v>
      </c>
      <c r="V158" s="149"/>
      <c r="W158" s="145">
        <f>D158+E158+F158</f>
        <v>212</v>
      </c>
      <c r="X158" s="149"/>
    </row>
    <row r="159" customHeight="1" spans="1:24">
      <c r="A159" s="153">
        <v>433</v>
      </c>
      <c r="B159" s="154" t="s">
        <v>394</v>
      </c>
      <c r="C159" s="144">
        <v>5</v>
      </c>
      <c r="D159" s="145">
        <v>42</v>
      </c>
      <c r="E159" s="145">
        <v>71</v>
      </c>
      <c r="F159" s="145">
        <v>72</v>
      </c>
      <c r="G159" s="145">
        <v>89</v>
      </c>
      <c r="H159" s="145">
        <v>78</v>
      </c>
      <c r="I159" s="145">
        <f>SUM(D159:H159)</f>
        <v>352</v>
      </c>
      <c r="J159" s="145">
        <v>4</v>
      </c>
      <c r="K159" s="147" t="s">
        <v>124</v>
      </c>
      <c r="L159" s="147" t="s">
        <v>130</v>
      </c>
      <c r="M159" s="147" t="s">
        <v>124</v>
      </c>
      <c r="N159" s="147" t="s">
        <v>124</v>
      </c>
      <c r="O159" s="147" t="s">
        <v>124</v>
      </c>
      <c r="P159" s="147" t="s">
        <v>124</v>
      </c>
      <c r="Q159" s="148" t="s">
        <v>170</v>
      </c>
      <c r="R159" s="148" t="s">
        <v>132</v>
      </c>
      <c r="S159" s="148" t="s">
        <v>119</v>
      </c>
      <c r="T159" s="148" t="s">
        <v>148</v>
      </c>
      <c r="U159" s="145">
        <f>D159+E159</f>
        <v>113</v>
      </c>
      <c r="V159" s="149"/>
      <c r="W159" s="145">
        <f>D159+E159+F159</f>
        <v>185</v>
      </c>
      <c r="X159" s="149"/>
    </row>
    <row r="160" customHeight="1" spans="1:24">
      <c r="A160" s="153">
        <v>484</v>
      </c>
      <c r="B160" s="154" t="s">
        <v>395</v>
      </c>
      <c r="C160" s="144">
        <v>5</v>
      </c>
      <c r="D160" s="145">
        <v>46</v>
      </c>
      <c r="E160" s="145">
        <v>56</v>
      </c>
      <c r="F160" s="145">
        <v>87</v>
      </c>
      <c r="G160" s="145">
        <v>88</v>
      </c>
      <c r="H160" s="145">
        <v>78</v>
      </c>
      <c r="I160" s="145">
        <f>SUM(D160:H160)</f>
        <v>355</v>
      </c>
      <c r="J160" s="145">
        <v>41</v>
      </c>
      <c r="K160" s="147" t="s">
        <v>124</v>
      </c>
      <c r="L160" s="147" t="s">
        <v>124</v>
      </c>
      <c r="M160" s="147" t="s">
        <v>124</v>
      </c>
      <c r="N160" s="147" t="s">
        <v>124</v>
      </c>
      <c r="O160" s="147" t="s">
        <v>124</v>
      </c>
      <c r="P160" s="147" t="s">
        <v>124</v>
      </c>
      <c r="Q160" s="148" t="s">
        <v>290</v>
      </c>
      <c r="R160" s="148" t="s">
        <v>119</v>
      </c>
      <c r="S160" s="148" t="s">
        <v>119</v>
      </c>
      <c r="T160" s="148" t="s">
        <v>126</v>
      </c>
      <c r="U160" s="145">
        <f>D160+E160</f>
        <v>102</v>
      </c>
      <c r="V160" s="149"/>
      <c r="W160" s="145">
        <f>D160+E160+F160</f>
        <v>189</v>
      </c>
      <c r="X160" s="149"/>
    </row>
    <row r="161" customHeight="1" spans="1:24">
      <c r="A161" s="153">
        <v>367</v>
      </c>
      <c r="B161" s="154" t="s">
        <v>396</v>
      </c>
      <c r="C161" s="144">
        <v>2</v>
      </c>
      <c r="D161" s="145">
        <v>65</v>
      </c>
      <c r="E161" s="145">
        <v>82</v>
      </c>
      <c r="F161" s="145">
        <v>81</v>
      </c>
      <c r="G161" s="145">
        <v>87</v>
      </c>
      <c r="H161" s="145">
        <v>78</v>
      </c>
      <c r="I161" s="145">
        <f>SUM(D161:H161)</f>
        <v>393</v>
      </c>
      <c r="J161" s="145">
        <v>125</v>
      </c>
      <c r="K161" s="147" t="s">
        <v>130</v>
      </c>
      <c r="L161" s="147" t="s">
        <v>130</v>
      </c>
      <c r="M161" s="147" t="s">
        <v>124</v>
      </c>
      <c r="N161" s="147" t="s">
        <v>124</v>
      </c>
      <c r="O161" s="147" t="s">
        <v>124</v>
      </c>
      <c r="P161" s="147" t="s">
        <v>114</v>
      </c>
      <c r="Q161" s="148" t="s">
        <v>168</v>
      </c>
      <c r="R161" s="148" t="s">
        <v>119</v>
      </c>
      <c r="S161" s="148" t="s">
        <v>145</v>
      </c>
      <c r="T161" s="148" t="s">
        <v>126</v>
      </c>
      <c r="U161" s="145">
        <f>D161+E161</f>
        <v>147</v>
      </c>
      <c r="V161" s="149"/>
      <c r="W161" s="145">
        <f>D161+E161+F161</f>
        <v>228</v>
      </c>
      <c r="X161" s="149"/>
    </row>
    <row r="162" customHeight="1" spans="1:24">
      <c r="A162" s="153">
        <v>210</v>
      </c>
      <c r="B162" s="143" t="s">
        <v>397</v>
      </c>
      <c r="C162" s="144">
        <v>1</v>
      </c>
      <c r="D162" s="145">
        <v>18</v>
      </c>
      <c r="E162" s="145">
        <v>46</v>
      </c>
      <c r="F162" s="145">
        <v>72</v>
      </c>
      <c r="G162" s="145">
        <v>80</v>
      </c>
      <c r="H162" s="145">
        <v>77</v>
      </c>
      <c r="I162" s="145">
        <f>SUM(D162:H162)</f>
        <v>293</v>
      </c>
      <c r="J162" s="145">
        <v>67</v>
      </c>
      <c r="K162" s="147" t="s">
        <v>124</v>
      </c>
      <c r="L162" s="147" t="s">
        <v>124</v>
      </c>
      <c r="M162" s="147" t="s">
        <v>124</v>
      </c>
      <c r="N162" s="147" t="s">
        <v>124</v>
      </c>
      <c r="O162" s="147" t="s">
        <v>124</v>
      </c>
      <c r="P162" s="147" t="s">
        <v>124</v>
      </c>
      <c r="Q162" s="148" t="s">
        <v>147</v>
      </c>
      <c r="R162" s="148" t="s">
        <v>118</v>
      </c>
      <c r="S162" s="148" t="s">
        <v>133</v>
      </c>
      <c r="T162" s="148" t="s">
        <v>120</v>
      </c>
      <c r="U162" s="145">
        <f>D162+E162</f>
        <v>64</v>
      </c>
      <c r="V162" s="149"/>
      <c r="W162" s="145">
        <f>D162+E162+F162</f>
        <v>136</v>
      </c>
      <c r="X162" s="149"/>
    </row>
    <row r="163" customHeight="1" spans="1:24">
      <c r="A163" s="153">
        <v>601</v>
      </c>
      <c r="B163" s="156" t="s">
        <v>398</v>
      </c>
      <c r="C163" s="144">
        <v>11</v>
      </c>
      <c r="D163" s="145">
        <v>36</v>
      </c>
      <c r="E163" s="145">
        <v>32</v>
      </c>
      <c r="F163" s="145">
        <v>70</v>
      </c>
      <c r="G163" s="145">
        <v>83</v>
      </c>
      <c r="H163" s="145">
        <v>77</v>
      </c>
      <c r="I163" s="145">
        <f>SUM(D163:H163)</f>
        <v>298</v>
      </c>
      <c r="J163" s="145">
        <v>63</v>
      </c>
      <c r="K163" s="147" t="s">
        <v>124</v>
      </c>
      <c r="L163" s="147" t="s">
        <v>124</v>
      </c>
      <c r="M163" s="147" t="s">
        <v>124</v>
      </c>
      <c r="N163" s="147" t="s">
        <v>124</v>
      </c>
      <c r="O163" s="147" t="s">
        <v>124</v>
      </c>
      <c r="P163" s="147" t="s">
        <v>124</v>
      </c>
      <c r="Q163" s="148" t="s">
        <v>263</v>
      </c>
      <c r="R163" s="148" t="s">
        <v>175</v>
      </c>
      <c r="S163" s="148" t="s">
        <v>133</v>
      </c>
      <c r="T163" s="148" t="s">
        <v>120</v>
      </c>
      <c r="U163" s="145">
        <f>D163+E163</f>
        <v>68</v>
      </c>
      <c r="V163" s="149"/>
      <c r="W163" s="145">
        <f>D163+E163+F163</f>
        <v>138</v>
      </c>
      <c r="X163" s="149"/>
    </row>
    <row r="164" customHeight="1" spans="1:24">
      <c r="A164" s="153">
        <v>337</v>
      </c>
      <c r="B164" s="154" t="s">
        <v>399</v>
      </c>
      <c r="C164" s="144">
        <v>9</v>
      </c>
      <c r="D164" s="145">
        <v>32</v>
      </c>
      <c r="E164" s="145">
        <v>38</v>
      </c>
      <c r="F164" s="145">
        <v>68</v>
      </c>
      <c r="G164" s="145">
        <v>84</v>
      </c>
      <c r="H164" s="145">
        <v>77</v>
      </c>
      <c r="I164" s="145">
        <f>SUM(D164:H164)</f>
        <v>299</v>
      </c>
      <c r="J164" s="145">
        <v>69</v>
      </c>
      <c r="K164" s="147" t="s">
        <v>124</v>
      </c>
      <c r="L164" s="147" t="s">
        <v>124</v>
      </c>
      <c r="M164" s="147" t="s">
        <v>124</v>
      </c>
      <c r="N164" s="147" t="s">
        <v>124</v>
      </c>
      <c r="O164" s="147" t="s">
        <v>124</v>
      </c>
      <c r="P164" s="147" t="s">
        <v>124</v>
      </c>
      <c r="Q164" s="148" t="s">
        <v>268</v>
      </c>
      <c r="R164" s="148" t="s">
        <v>119</v>
      </c>
      <c r="S164" s="148" t="s">
        <v>119</v>
      </c>
      <c r="T164" s="148" t="s">
        <v>148</v>
      </c>
      <c r="U164" s="145">
        <f>D164+E164</f>
        <v>70</v>
      </c>
      <c r="V164" s="149"/>
      <c r="W164" s="145">
        <f>D164+E164+F164</f>
        <v>138</v>
      </c>
      <c r="X164" s="149"/>
    </row>
    <row r="165" customHeight="1" spans="1:24">
      <c r="A165" s="153">
        <v>543</v>
      </c>
      <c r="B165" s="154" t="s">
        <v>400</v>
      </c>
      <c r="C165" s="144">
        <v>1</v>
      </c>
      <c r="D165" s="145">
        <v>54</v>
      </c>
      <c r="E165" s="145">
        <v>42</v>
      </c>
      <c r="F165" s="145">
        <v>81</v>
      </c>
      <c r="G165" s="145">
        <v>83</v>
      </c>
      <c r="H165" s="145">
        <v>77</v>
      </c>
      <c r="I165" s="145">
        <f>SUM(D165:H165)</f>
        <v>337</v>
      </c>
      <c r="J165" s="145">
        <v>64</v>
      </c>
      <c r="K165" s="147" t="s">
        <v>124</v>
      </c>
      <c r="L165" s="147" t="s">
        <v>124</v>
      </c>
      <c r="M165" s="147" t="s">
        <v>130</v>
      </c>
      <c r="N165" s="147" t="s">
        <v>124</v>
      </c>
      <c r="O165" s="147" t="s">
        <v>124</v>
      </c>
      <c r="P165" s="147" t="s">
        <v>130</v>
      </c>
      <c r="Q165" s="148" t="s">
        <v>284</v>
      </c>
      <c r="R165" s="148" t="s">
        <v>132</v>
      </c>
      <c r="S165" s="148" t="s">
        <v>133</v>
      </c>
      <c r="T165" s="148" t="s">
        <v>120</v>
      </c>
      <c r="U165" s="145">
        <f>D165+E165</f>
        <v>96</v>
      </c>
      <c r="V165" s="149"/>
      <c r="W165" s="145">
        <f>D165+E165+F165</f>
        <v>177</v>
      </c>
      <c r="X165" s="149"/>
    </row>
    <row r="166" customHeight="1" spans="1:24">
      <c r="A166" s="153">
        <v>284</v>
      </c>
      <c r="B166" s="154" t="s">
        <v>401</v>
      </c>
      <c r="C166" s="144">
        <v>6</v>
      </c>
      <c r="D166" s="145">
        <v>71</v>
      </c>
      <c r="E166" s="145">
        <v>80</v>
      </c>
      <c r="F166" s="145">
        <v>56</v>
      </c>
      <c r="G166" s="145">
        <v>58</v>
      </c>
      <c r="H166" s="145">
        <v>77</v>
      </c>
      <c r="I166" s="145">
        <f>SUM(D166:H166)</f>
        <v>342</v>
      </c>
      <c r="J166" s="145">
        <v>135</v>
      </c>
      <c r="K166" s="147" t="s">
        <v>130</v>
      </c>
      <c r="L166" s="147" t="s">
        <v>130</v>
      </c>
      <c r="M166" s="147" t="s">
        <v>115</v>
      </c>
      <c r="N166" s="147" t="s">
        <v>114</v>
      </c>
      <c r="O166" s="147" t="s">
        <v>124</v>
      </c>
      <c r="P166" s="147" t="s">
        <v>124</v>
      </c>
      <c r="Q166" s="148" t="s">
        <v>402</v>
      </c>
      <c r="R166" s="148" t="s">
        <v>118</v>
      </c>
      <c r="S166" s="148" t="s">
        <v>119</v>
      </c>
      <c r="T166" s="148" t="s">
        <v>126</v>
      </c>
      <c r="U166" s="145">
        <f>D166+E166</f>
        <v>151</v>
      </c>
      <c r="V166" s="149"/>
      <c r="W166" s="145">
        <f>D166+E166+F166</f>
        <v>207</v>
      </c>
      <c r="X166" s="149"/>
    </row>
    <row r="167" customHeight="1" spans="1:24">
      <c r="A167" s="153">
        <v>249</v>
      </c>
      <c r="B167" s="154" t="s">
        <v>403</v>
      </c>
      <c r="C167" s="144">
        <v>6</v>
      </c>
      <c r="D167" s="145">
        <v>74</v>
      </c>
      <c r="E167" s="145">
        <v>85</v>
      </c>
      <c r="F167" s="145">
        <v>55</v>
      </c>
      <c r="G167" s="145">
        <v>61</v>
      </c>
      <c r="H167" s="145">
        <v>77</v>
      </c>
      <c r="I167" s="145">
        <f>SUM(D167:H167)</f>
        <v>352</v>
      </c>
      <c r="J167" s="145">
        <v>85</v>
      </c>
      <c r="K167" s="147" t="s">
        <v>114</v>
      </c>
      <c r="L167" s="147" t="s">
        <v>114</v>
      </c>
      <c r="M167" s="147" t="s">
        <v>114</v>
      </c>
      <c r="N167" s="147" t="s">
        <v>130</v>
      </c>
      <c r="O167" s="147" t="s">
        <v>124</v>
      </c>
      <c r="P167" s="147" t="s">
        <v>124</v>
      </c>
      <c r="Q167" s="148" t="s">
        <v>404</v>
      </c>
      <c r="R167" s="148" t="s">
        <v>132</v>
      </c>
      <c r="S167" s="148" t="s">
        <v>136</v>
      </c>
      <c r="T167" s="148" t="s">
        <v>126</v>
      </c>
      <c r="U167" s="145">
        <f>D167+E167</f>
        <v>159</v>
      </c>
      <c r="V167" s="149"/>
      <c r="W167" s="145">
        <f>D167+E167+F167</f>
        <v>214</v>
      </c>
      <c r="X167" s="149"/>
    </row>
    <row r="168" customHeight="1" spans="1:24">
      <c r="A168" s="153">
        <v>395</v>
      </c>
      <c r="B168" s="154" t="s">
        <v>405</v>
      </c>
      <c r="C168" s="144">
        <v>9</v>
      </c>
      <c r="D168" s="145">
        <v>74</v>
      </c>
      <c r="E168" s="145">
        <v>94</v>
      </c>
      <c r="F168" s="145">
        <v>63</v>
      </c>
      <c r="G168" s="145">
        <v>61</v>
      </c>
      <c r="H168" s="145">
        <v>77</v>
      </c>
      <c r="I168" s="145">
        <f>SUM(D168:H168)</f>
        <v>369</v>
      </c>
      <c r="J168" s="145">
        <v>74</v>
      </c>
      <c r="K168" s="147" t="s">
        <v>130</v>
      </c>
      <c r="L168" s="147" t="s">
        <v>130</v>
      </c>
      <c r="M168" s="147" t="s">
        <v>115</v>
      </c>
      <c r="N168" s="147" t="s">
        <v>114</v>
      </c>
      <c r="O168" s="147" t="s">
        <v>124</v>
      </c>
      <c r="P168" s="147" t="s">
        <v>130</v>
      </c>
      <c r="Q168" s="148" t="s">
        <v>311</v>
      </c>
      <c r="R168" s="148" t="s">
        <v>118</v>
      </c>
      <c r="S168" s="148" t="s">
        <v>119</v>
      </c>
      <c r="T168" s="148" t="s">
        <v>126</v>
      </c>
      <c r="U168" s="145">
        <f>D168+E168</f>
        <v>168</v>
      </c>
      <c r="V168" s="149"/>
      <c r="W168" s="145">
        <f>D168+E168+F168</f>
        <v>231</v>
      </c>
      <c r="X168" s="149"/>
    </row>
    <row r="169" customHeight="1" spans="1:24">
      <c r="A169" s="153">
        <v>168</v>
      </c>
      <c r="B169" s="154" t="s">
        <v>406</v>
      </c>
      <c r="C169" s="144">
        <v>3</v>
      </c>
      <c r="D169" s="145">
        <v>31</v>
      </c>
      <c r="E169" s="145">
        <v>9</v>
      </c>
      <c r="F169" s="145">
        <v>73</v>
      </c>
      <c r="G169" s="145">
        <v>80</v>
      </c>
      <c r="H169" s="145">
        <v>76</v>
      </c>
      <c r="I169" s="145">
        <f>SUM(D169:H169)</f>
        <v>269</v>
      </c>
      <c r="J169" s="145">
        <v>76</v>
      </c>
      <c r="K169" s="147" t="s">
        <v>124</v>
      </c>
      <c r="L169" s="147" t="s">
        <v>124</v>
      </c>
      <c r="M169" s="147" t="s">
        <v>124</v>
      </c>
      <c r="N169" s="147" t="s">
        <v>124</v>
      </c>
      <c r="O169" s="147" t="s">
        <v>124</v>
      </c>
      <c r="P169" s="147" t="s">
        <v>124</v>
      </c>
      <c r="Q169" s="148" t="s">
        <v>290</v>
      </c>
      <c r="R169" s="148" t="s">
        <v>132</v>
      </c>
      <c r="S169" s="148" t="s">
        <v>119</v>
      </c>
      <c r="T169" s="148" t="s">
        <v>126</v>
      </c>
      <c r="U169" s="145">
        <f>D169+E169</f>
        <v>40</v>
      </c>
      <c r="V169" s="149"/>
      <c r="W169" s="145">
        <f>D169+E169+F169</f>
        <v>113</v>
      </c>
      <c r="X169" s="149"/>
    </row>
    <row r="170" customHeight="1" spans="1:24">
      <c r="A170" s="153">
        <v>199</v>
      </c>
      <c r="B170" s="154" t="s">
        <v>407</v>
      </c>
      <c r="C170" s="144">
        <v>9</v>
      </c>
      <c r="D170" s="145">
        <v>69</v>
      </c>
      <c r="E170" s="145">
        <v>94</v>
      </c>
      <c r="F170" s="145">
        <v>29</v>
      </c>
      <c r="G170" s="145">
        <v>51</v>
      </c>
      <c r="H170" s="145">
        <v>76</v>
      </c>
      <c r="I170" s="145">
        <f>SUM(D170:H170)</f>
        <v>319</v>
      </c>
      <c r="J170" s="145">
        <v>73</v>
      </c>
      <c r="K170" s="147" t="s">
        <v>114</v>
      </c>
      <c r="L170" s="147" t="s">
        <v>124</v>
      </c>
      <c r="M170" s="147" t="s">
        <v>124</v>
      </c>
      <c r="N170" s="147" t="s">
        <v>114</v>
      </c>
      <c r="O170" s="147" t="s">
        <v>124</v>
      </c>
      <c r="P170" s="147" t="s">
        <v>124</v>
      </c>
      <c r="Q170" s="148" t="s">
        <v>309</v>
      </c>
      <c r="R170" s="148" t="s">
        <v>118</v>
      </c>
      <c r="S170" s="148" t="s">
        <v>119</v>
      </c>
      <c r="T170" s="148" t="s">
        <v>250</v>
      </c>
      <c r="U170" s="145">
        <f>D170+E170</f>
        <v>163</v>
      </c>
      <c r="V170" s="149"/>
      <c r="W170" s="145">
        <f>D170+E170+F170</f>
        <v>192</v>
      </c>
      <c r="X170" s="253">
        <f>SUM(C135:C413)</f>
        <v>2043</v>
      </c>
    </row>
    <row r="171" customHeight="1" spans="1:24">
      <c r="A171" s="153">
        <v>83</v>
      </c>
      <c r="B171" s="143" t="s">
        <v>408</v>
      </c>
      <c r="C171" s="144">
        <v>1</v>
      </c>
      <c r="D171" s="145">
        <v>47</v>
      </c>
      <c r="E171" s="145">
        <v>60</v>
      </c>
      <c r="F171" s="145">
        <v>72</v>
      </c>
      <c r="G171" s="145">
        <v>83</v>
      </c>
      <c r="H171" s="145">
        <v>76</v>
      </c>
      <c r="I171" s="145">
        <f>SUM(D171:H171)</f>
        <v>338</v>
      </c>
      <c r="J171" s="145">
        <v>0</v>
      </c>
      <c r="K171" s="147" t="s">
        <v>124</v>
      </c>
      <c r="L171" s="147" t="s">
        <v>130</v>
      </c>
      <c r="M171" s="147" t="s">
        <v>124</v>
      </c>
      <c r="N171" s="147" t="s">
        <v>124</v>
      </c>
      <c r="O171" s="147" t="s">
        <v>124</v>
      </c>
      <c r="P171" s="147" t="s">
        <v>124</v>
      </c>
      <c r="Q171" s="149"/>
      <c r="R171" s="148" t="s">
        <v>119</v>
      </c>
      <c r="S171" s="148" t="s">
        <v>119</v>
      </c>
      <c r="T171" s="148" t="s">
        <v>120</v>
      </c>
      <c r="U171" s="145">
        <f>D171+E171</f>
        <v>107</v>
      </c>
      <c r="V171" s="149"/>
      <c r="W171" s="145">
        <f>D171+E171+F171</f>
        <v>179</v>
      </c>
      <c r="X171" s="252"/>
    </row>
    <row r="172" customHeight="1" spans="1:24">
      <c r="A172" s="153">
        <v>445</v>
      </c>
      <c r="B172" s="154" t="s">
        <v>409</v>
      </c>
      <c r="C172" s="144">
        <v>5</v>
      </c>
      <c r="D172" s="145">
        <v>66</v>
      </c>
      <c r="E172" s="145">
        <v>89</v>
      </c>
      <c r="F172" s="145">
        <v>58</v>
      </c>
      <c r="G172" s="145">
        <v>50</v>
      </c>
      <c r="H172" s="145">
        <v>76</v>
      </c>
      <c r="I172" s="145">
        <f>SUM(D172:H172)</f>
        <v>339</v>
      </c>
      <c r="J172" s="145">
        <v>9</v>
      </c>
      <c r="K172" s="147" t="s">
        <v>130</v>
      </c>
      <c r="L172" s="147" t="s">
        <v>130</v>
      </c>
      <c r="M172" s="147" t="s">
        <v>114</v>
      </c>
      <c r="N172" s="147" t="s">
        <v>130</v>
      </c>
      <c r="O172" s="147" t="s">
        <v>124</v>
      </c>
      <c r="P172" s="147" t="s">
        <v>124</v>
      </c>
      <c r="Q172" s="148" t="s">
        <v>393</v>
      </c>
      <c r="R172" s="148" t="s">
        <v>132</v>
      </c>
      <c r="S172" s="148" t="s">
        <v>133</v>
      </c>
      <c r="T172" s="148" t="s">
        <v>126</v>
      </c>
      <c r="U172" s="145">
        <f>D172+E172</f>
        <v>155</v>
      </c>
      <c r="V172" s="149"/>
      <c r="W172" s="145">
        <f>D172+E172+F172</f>
        <v>213</v>
      </c>
      <c r="X172" s="149"/>
    </row>
    <row r="173" customHeight="1" spans="1:24">
      <c r="A173" s="153">
        <v>461</v>
      </c>
      <c r="B173" s="156" t="s">
        <v>410</v>
      </c>
      <c r="C173" s="144">
        <v>6</v>
      </c>
      <c r="D173" s="145">
        <v>69</v>
      </c>
      <c r="E173" s="145">
        <v>79</v>
      </c>
      <c r="F173" s="145">
        <v>37</v>
      </c>
      <c r="G173" s="145">
        <v>80</v>
      </c>
      <c r="H173" s="145">
        <v>76</v>
      </c>
      <c r="I173" s="145">
        <f>SUM(D173:H173)</f>
        <v>341</v>
      </c>
      <c r="J173" s="145">
        <v>90</v>
      </c>
      <c r="K173" s="147" t="s">
        <v>115</v>
      </c>
      <c r="L173" s="147" t="s">
        <v>130</v>
      </c>
      <c r="M173" s="147" t="s">
        <v>124</v>
      </c>
      <c r="N173" s="147" t="s">
        <v>114</v>
      </c>
      <c r="O173" s="147" t="s">
        <v>124</v>
      </c>
      <c r="P173" s="147" t="s">
        <v>130</v>
      </c>
      <c r="Q173" s="148" t="s">
        <v>411</v>
      </c>
      <c r="R173" s="148" t="s">
        <v>275</v>
      </c>
      <c r="S173" s="148" t="s">
        <v>136</v>
      </c>
      <c r="T173" s="148" t="s">
        <v>250</v>
      </c>
      <c r="U173" s="145">
        <f>D173+E173</f>
        <v>148</v>
      </c>
      <c r="V173" s="149"/>
      <c r="W173" s="145">
        <f>D173+E173+F173</f>
        <v>185</v>
      </c>
      <c r="X173" s="149"/>
    </row>
    <row r="174" customHeight="1" spans="1:24">
      <c r="A174" s="153">
        <v>790</v>
      </c>
      <c r="B174" s="154" t="s">
        <v>412</v>
      </c>
      <c r="C174" s="144">
        <v>8</v>
      </c>
      <c r="D174" s="145">
        <v>76</v>
      </c>
      <c r="E174" s="145">
        <v>82</v>
      </c>
      <c r="F174" s="145">
        <v>64</v>
      </c>
      <c r="G174" s="145">
        <v>60</v>
      </c>
      <c r="H174" s="145">
        <v>76</v>
      </c>
      <c r="I174" s="145">
        <f>SUM(D174:H174)</f>
        <v>358</v>
      </c>
      <c r="J174" s="145">
        <v>58</v>
      </c>
      <c r="K174" s="147" t="s">
        <v>130</v>
      </c>
      <c r="L174" s="147" t="s">
        <v>130</v>
      </c>
      <c r="M174" s="147" t="s">
        <v>115</v>
      </c>
      <c r="N174" s="147" t="s">
        <v>114</v>
      </c>
      <c r="O174" s="147" t="s">
        <v>124</v>
      </c>
      <c r="P174" s="147" t="s">
        <v>114</v>
      </c>
      <c r="Q174" s="148" t="s">
        <v>253</v>
      </c>
      <c r="R174" s="148" t="s">
        <v>132</v>
      </c>
      <c r="S174" s="148" t="s">
        <v>119</v>
      </c>
      <c r="T174" s="148" t="s">
        <v>126</v>
      </c>
      <c r="U174" s="145">
        <f>D174+E174</f>
        <v>158</v>
      </c>
      <c r="V174" s="149"/>
      <c r="W174" s="145">
        <f>D174+E174+F174</f>
        <v>222</v>
      </c>
      <c r="X174" s="149"/>
    </row>
    <row r="175" customHeight="1" spans="1:24">
      <c r="A175" s="153">
        <v>386</v>
      </c>
      <c r="B175" s="154" t="s">
        <v>413</v>
      </c>
      <c r="C175" s="144">
        <v>2</v>
      </c>
      <c r="D175" s="145">
        <v>62</v>
      </c>
      <c r="E175" s="145">
        <v>55</v>
      </c>
      <c r="F175" s="145">
        <v>86</v>
      </c>
      <c r="G175" s="145">
        <v>89</v>
      </c>
      <c r="H175" s="145">
        <v>76</v>
      </c>
      <c r="I175" s="145">
        <f>SUM(D175:H175)</f>
        <v>368</v>
      </c>
      <c r="J175" s="145">
        <v>88</v>
      </c>
      <c r="K175" s="147" t="s">
        <v>130</v>
      </c>
      <c r="L175" s="147" t="s">
        <v>130</v>
      </c>
      <c r="M175" s="147" t="s">
        <v>124</v>
      </c>
      <c r="N175" s="147" t="s">
        <v>130</v>
      </c>
      <c r="O175" s="147" t="s">
        <v>124</v>
      </c>
      <c r="P175" s="147" t="s">
        <v>124</v>
      </c>
      <c r="Q175" s="148" t="s">
        <v>414</v>
      </c>
      <c r="R175" s="148" t="s">
        <v>132</v>
      </c>
      <c r="S175" s="148" t="s">
        <v>119</v>
      </c>
      <c r="T175" s="148" t="s">
        <v>126</v>
      </c>
      <c r="U175" s="145">
        <f>D175+E175</f>
        <v>117</v>
      </c>
      <c r="V175" s="149"/>
      <c r="W175" s="145">
        <f>D175+E175+F175</f>
        <v>203</v>
      </c>
      <c r="X175" s="149"/>
    </row>
    <row r="176" customHeight="1" spans="1:24">
      <c r="A176" s="153">
        <v>267</v>
      </c>
      <c r="B176" s="154" t="s">
        <v>415</v>
      </c>
      <c r="C176" s="144">
        <v>13</v>
      </c>
      <c r="D176" s="145">
        <v>84</v>
      </c>
      <c r="E176" s="145">
        <v>88</v>
      </c>
      <c r="F176" s="145">
        <v>65</v>
      </c>
      <c r="G176" s="145">
        <v>64</v>
      </c>
      <c r="H176" s="145">
        <v>76</v>
      </c>
      <c r="I176" s="145">
        <f>SUM(D176:H176)</f>
        <v>377</v>
      </c>
      <c r="J176" s="145">
        <v>5</v>
      </c>
      <c r="K176" s="147" t="s">
        <v>114</v>
      </c>
      <c r="L176" s="147" t="s">
        <v>114</v>
      </c>
      <c r="M176" s="147" t="s">
        <v>115</v>
      </c>
      <c r="N176" s="147" t="s">
        <v>115</v>
      </c>
      <c r="O176" s="147" t="s">
        <v>124</v>
      </c>
      <c r="P176" s="147" t="s">
        <v>124</v>
      </c>
      <c r="Q176" s="148" t="s">
        <v>416</v>
      </c>
      <c r="R176" s="148" t="s">
        <v>119</v>
      </c>
      <c r="S176" s="148" t="s">
        <v>119</v>
      </c>
      <c r="T176" s="148" t="s">
        <v>250</v>
      </c>
      <c r="U176" s="145">
        <f>D176+E176</f>
        <v>172</v>
      </c>
      <c r="V176" s="149"/>
      <c r="W176" s="145">
        <f>D176+E176+F176</f>
        <v>237</v>
      </c>
      <c r="X176" s="149"/>
    </row>
    <row r="177" customHeight="1" spans="1:24">
      <c r="A177" s="153">
        <v>56</v>
      </c>
      <c r="B177" s="154" t="s">
        <v>417</v>
      </c>
      <c r="C177" s="144">
        <v>1</v>
      </c>
      <c r="D177" s="145">
        <v>15</v>
      </c>
      <c r="E177" s="145">
        <v>38</v>
      </c>
      <c r="F177" s="145">
        <v>84</v>
      </c>
      <c r="G177" s="145">
        <v>66</v>
      </c>
      <c r="H177" s="145">
        <v>75</v>
      </c>
      <c r="I177" s="145">
        <f>SUM(D177:H177)</f>
        <v>278</v>
      </c>
      <c r="J177" s="145">
        <v>104</v>
      </c>
      <c r="K177" s="147" t="s">
        <v>124</v>
      </c>
      <c r="L177" s="147" t="s">
        <v>124</v>
      </c>
      <c r="M177" s="147" t="s">
        <v>124</v>
      </c>
      <c r="N177" s="147" t="s">
        <v>124</v>
      </c>
      <c r="O177" s="147" t="s">
        <v>124</v>
      </c>
      <c r="P177" s="147" t="s">
        <v>124</v>
      </c>
      <c r="Q177" s="148" t="s">
        <v>365</v>
      </c>
      <c r="R177" s="148" t="s">
        <v>132</v>
      </c>
      <c r="S177" s="148" t="s">
        <v>279</v>
      </c>
      <c r="T177" s="148" t="s">
        <v>148</v>
      </c>
      <c r="U177" s="145">
        <f>D177+E177</f>
        <v>53</v>
      </c>
      <c r="V177" s="149"/>
      <c r="W177" s="145">
        <f>D177+E177+F177</f>
        <v>137</v>
      </c>
      <c r="X177" s="252"/>
    </row>
    <row r="178" customHeight="1" spans="1:24">
      <c r="A178" s="153">
        <v>251</v>
      </c>
      <c r="B178" s="154" t="s">
        <v>418</v>
      </c>
      <c r="C178" s="144">
        <v>2</v>
      </c>
      <c r="D178" s="145">
        <v>29</v>
      </c>
      <c r="E178" s="145">
        <v>36</v>
      </c>
      <c r="F178" s="145">
        <v>71</v>
      </c>
      <c r="G178" s="145">
        <v>74</v>
      </c>
      <c r="H178" s="145">
        <v>75</v>
      </c>
      <c r="I178" s="145">
        <f>SUM(D178:H178)</f>
        <v>285</v>
      </c>
      <c r="J178" s="145">
        <v>141</v>
      </c>
      <c r="K178" s="147" t="s">
        <v>124</v>
      </c>
      <c r="L178" s="147" t="s">
        <v>124</v>
      </c>
      <c r="M178" s="147" t="s">
        <v>124</v>
      </c>
      <c r="N178" s="147" t="s">
        <v>124</v>
      </c>
      <c r="O178" s="147" t="s">
        <v>124</v>
      </c>
      <c r="P178" s="147" t="s">
        <v>124</v>
      </c>
      <c r="Q178" s="148" t="s">
        <v>321</v>
      </c>
      <c r="R178" s="148" t="s">
        <v>118</v>
      </c>
      <c r="S178" s="148" t="s">
        <v>133</v>
      </c>
      <c r="T178" s="148" t="s">
        <v>126</v>
      </c>
      <c r="U178" s="145">
        <f>D178+E178</f>
        <v>65</v>
      </c>
      <c r="V178" s="149"/>
      <c r="W178" s="145">
        <f>D178+E178+F178</f>
        <v>136</v>
      </c>
      <c r="X178" s="149"/>
    </row>
    <row r="179" customHeight="1" spans="1:24">
      <c r="A179" s="153">
        <v>320</v>
      </c>
      <c r="B179" s="154" t="s">
        <v>419</v>
      </c>
      <c r="C179" s="144">
        <v>6</v>
      </c>
      <c r="D179" s="145">
        <v>39</v>
      </c>
      <c r="E179" s="145">
        <v>46</v>
      </c>
      <c r="F179" s="145">
        <v>91</v>
      </c>
      <c r="G179" s="145">
        <v>94</v>
      </c>
      <c r="H179" s="145">
        <v>75</v>
      </c>
      <c r="I179" s="145">
        <f>SUM(D179:H179)</f>
        <v>345</v>
      </c>
      <c r="J179" s="145">
        <v>65</v>
      </c>
      <c r="K179" s="147" t="s">
        <v>124</v>
      </c>
      <c r="L179" s="147" t="s">
        <v>124</v>
      </c>
      <c r="M179" s="147" t="s">
        <v>124</v>
      </c>
      <c r="N179" s="147" t="s">
        <v>124</v>
      </c>
      <c r="O179" s="147" t="s">
        <v>124</v>
      </c>
      <c r="P179" s="147" t="s">
        <v>130</v>
      </c>
      <c r="Q179" s="148" t="s">
        <v>386</v>
      </c>
      <c r="R179" s="148" t="s">
        <v>118</v>
      </c>
      <c r="S179" s="148" t="s">
        <v>119</v>
      </c>
      <c r="T179" s="148" t="s">
        <v>120</v>
      </c>
      <c r="U179" s="145">
        <f>D179+E179</f>
        <v>85</v>
      </c>
      <c r="V179" s="149"/>
      <c r="W179" s="145">
        <f>D179+E179+F179</f>
        <v>176</v>
      </c>
      <c r="X179" s="149"/>
    </row>
    <row r="180" customHeight="1" spans="1:24">
      <c r="A180" s="153">
        <v>477</v>
      </c>
      <c r="B180" s="154" t="s">
        <v>420</v>
      </c>
      <c r="C180" s="144">
        <v>11</v>
      </c>
      <c r="D180" s="145">
        <v>82</v>
      </c>
      <c r="E180" s="145">
        <v>81</v>
      </c>
      <c r="F180" s="145">
        <v>60</v>
      </c>
      <c r="G180" s="145">
        <v>56</v>
      </c>
      <c r="H180" s="145">
        <v>75</v>
      </c>
      <c r="I180" s="145">
        <f>SUM(D180:H180)</f>
        <v>354</v>
      </c>
      <c r="J180" s="145">
        <v>45</v>
      </c>
      <c r="K180" s="147" t="s">
        <v>114</v>
      </c>
      <c r="L180" s="147" t="s">
        <v>130</v>
      </c>
      <c r="M180" s="147" t="s">
        <v>114</v>
      </c>
      <c r="N180" s="147" t="s">
        <v>115</v>
      </c>
      <c r="O180" s="147" t="s">
        <v>124</v>
      </c>
      <c r="P180" s="147" t="s">
        <v>130</v>
      </c>
      <c r="Q180" s="148" t="s">
        <v>198</v>
      </c>
      <c r="R180" s="148" t="s">
        <v>132</v>
      </c>
      <c r="S180" s="148" t="s">
        <v>119</v>
      </c>
      <c r="T180" s="148" t="s">
        <v>126</v>
      </c>
      <c r="U180" s="145">
        <f>D180+E180</f>
        <v>163</v>
      </c>
      <c r="V180" s="149"/>
      <c r="W180" s="145">
        <f>D180+E180+F180</f>
        <v>223</v>
      </c>
      <c r="X180" s="149"/>
    </row>
    <row r="181" customHeight="1" spans="1:24">
      <c r="A181" s="153">
        <v>177</v>
      </c>
      <c r="B181" s="154" t="s">
        <v>421</v>
      </c>
      <c r="C181" s="144">
        <v>4</v>
      </c>
      <c r="D181" s="145">
        <v>21</v>
      </c>
      <c r="E181" s="145">
        <v>22</v>
      </c>
      <c r="F181" s="145">
        <v>74</v>
      </c>
      <c r="G181" s="145">
        <v>83</v>
      </c>
      <c r="H181" s="145">
        <v>74</v>
      </c>
      <c r="I181" s="145">
        <f>SUM(D181:H181)</f>
        <v>274</v>
      </c>
      <c r="J181" s="145">
        <v>71</v>
      </c>
      <c r="K181" s="147" t="s">
        <v>124</v>
      </c>
      <c r="L181" s="147" t="s">
        <v>124</v>
      </c>
      <c r="M181" s="147" t="s">
        <v>124</v>
      </c>
      <c r="N181" s="147" t="s">
        <v>124</v>
      </c>
      <c r="O181" s="147" t="s">
        <v>124</v>
      </c>
      <c r="P181" s="147" t="s">
        <v>124</v>
      </c>
      <c r="Q181" s="148" t="s">
        <v>170</v>
      </c>
      <c r="R181" s="148" t="s">
        <v>132</v>
      </c>
      <c r="S181" s="148" t="s">
        <v>119</v>
      </c>
      <c r="T181" s="148" t="s">
        <v>126</v>
      </c>
      <c r="U181" s="145">
        <f>D181+E181</f>
        <v>43</v>
      </c>
      <c r="V181" s="149"/>
      <c r="W181" s="145">
        <f>D181+E181+F181</f>
        <v>117</v>
      </c>
      <c r="X181" s="149"/>
    </row>
    <row r="182" customHeight="1" spans="1:24">
      <c r="A182" s="153">
        <v>48</v>
      </c>
      <c r="B182" s="143" t="s">
        <v>422</v>
      </c>
      <c r="C182" s="144">
        <v>1</v>
      </c>
      <c r="D182" s="145">
        <v>46</v>
      </c>
      <c r="E182" s="145">
        <v>55</v>
      </c>
      <c r="F182" s="145">
        <v>74</v>
      </c>
      <c r="G182" s="145">
        <v>83</v>
      </c>
      <c r="H182" s="145">
        <v>74</v>
      </c>
      <c r="I182" s="145">
        <f>SUM(D182:H182)</f>
        <v>332</v>
      </c>
      <c r="J182" s="145">
        <v>17</v>
      </c>
      <c r="K182" s="147" t="s">
        <v>124</v>
      </c>
      <c r="L182" s="147" t="s">
        <v>124</v>
      </c>
      <c r="M182" s="147" t="s">
        <v>124</v>
      </c>
      <c r="N182" s="147" t="s">
        <v>124</v>
      </c>
      <c r="O182" s="147" t="s">
        <v>124</v>
      </c>
      <c r="P182" s="147" t="s">
        <v>124</v>
      </c>
      <c r="Q182" s="148" t="s">
        <v>344</v>
      </c>
      <c r="R182" s="148" t="s">
        <v>119</v>
      </c>
      <c r="S182" s="148" t="s">
        <v>119</v>
      </c>
      <c r="T182" s="148" t="s">
        <v>148</v>
      </c>
      <c r="U182" s="145">
        <f>D182+E182</f>
        <v>101</v>
      </c>
      <c r="V182" s="149"/>
      <c r="W182" s="145">
        <f>D182+E182+F182</f>
        <v>175</v>
      </c>
      <c r="X182" s="149"/>
    </row>
    <row r="183" customHeight="1" spans="1:24">
      <c r="A183" s="153">
        <v>167</v>
      </c>
      <c r="B183" s="154" t="s">
        <v>423</v>
      </c>
      <c r="C183" s="144">
        <v>5</v>
      </c>
      <c r="D183" s="145">
        <v>55</v>
      </c>
      <c r="E183" s="145">
        <v>73</v>
      </c>
      <c r="F183" s="145">
        <v>58</v>
      </c>
      <c r="G183" s="145">
        <v>72</v>
      </c>
      <c r="H183" s="145">
        <v>74</v>
      </c>
      <c r="I183" s="145">
        <f>SUM(D183:H183)</f>
        <v>332</v>
      </c>
      <c r="J183" s="145">
        <v>72</v>
      </c>
      <c r="K183" s="147" t="s">
        <v>124</v>
      </c>
      <c r="L183" s="147" t="s">
        <v>130</v>
      </c>
      <c r="M183" s="147" t="s">
        <v>130</v>
      </c>
      <c r="N183" s="147" t="s">
        <v>114</v>
      </c>
      <c r="O183" s="147" t="s">
        <v>124</v>
      </c>
      <c r="P183" s="147" t="s">
        <v>124</v>
      </c>
      <c r="Q183" s="148" t="s">
        <v>402</v>
      </c>
      <c r="R183" s="148" t="s">
        <v>118</v>
      </c>
      <c r="S183" s="148" t="s">
        <v>279</v>
      </c>
      <c r="T183" s="148" t="s">
        <v>148</v>
      </c>
      <c r="U183" s="145">
        <f>D183+E183</f>
        <v>128</v>
      </c>
      <c r="V183" s="149"/>
      <c r="W183" s="145">
        <f>D183+E183+F183</f>
        <v>186</v>
      </c>
      <c r="X183" s="149"/>
    </row>
    <row r="184" customHeight="1" spans="1:24">
      <c r="A184" s="153">
        <v>510</v>
      </c>
      <c r="B184" s="154" t="s">
        <v>424</v>
      </c>
      <c r="C184" s="144">
        <v>2</v>
      </c>
      <c r="D184" s="145">
        <v>52</v>
      </c>
      <c r="E184" s="145">
        <v>51</v>
      </c>
      <c r="F184" s="145">
        <v>88</v>
      </c>
      <c r="G184" s="145">
        <v>81</v>
      </c>
      <c r="H184" s="145">
        <v>74</v>
      </c>
      <c r="I184" s="145">
        <f>SUM(D184:H184)</f>
        <v>346</v>
      </c>
      <c r="J184" s="145">
        <v>48</v>
      </c>
      <c r="K184" s="147" t="s">
        <v>124</v>
      </c>
      <c r="L184" s="147" t="s">
        <v>130</v>
      </c>
      <c r="M184" s="147" t="s">
        <v>124</v>
      </c>
      <c r="N184" s="147" t="s">
        <v>124</v>
      </c>
      <c r="O184" s="147" t="s">
        <v>124</v>
      </c>
      <c r="P184" s="147" t="s">
        <v>124</v>
      </c>
      <c r="Q184" s="148" t="s">
        <v>342</v>
      </c>
      <c r="R184" s="148" t="s">
        <v>132</v>
      </c>
      <c r="S184" s="148" t="s">
        <v>119</v>
      </c>
      <c r="T184" s="148" t="s">
        <v>126</v>
      </c>
      <c r="U184" s="145">
        <f>D184+E184</f>
        <v>103</v>
      </c>
      <c r="V184" s="149"/>
      <c r="W184" s="145">
        <f>D184+E184+F184</f>
        <v>191</v>
      </c>
      <c r="X184" s="149"/>
    </row>
    <row r="185" customHeight="1" spans="1:24">
      <c r="A185" s="153">
        <v>292</v>
      </c>
      <c r="B185" s="154" t="s">
        <v>425</v>
      </c>
      <c r="C185" s="144">
        <v>3</v>
      </c>
      <c r="D185" s="145">
        <v>72</v>
      </c>
      <c r="E185" s="145">
        <v>79</v>
      </c>
      <c r="F185" s="145">
        <v>68</v>
      </c>
      <c r="G185" s="145">
        <v>56</v>
      </c>
      <c r="H185" s="145">
        <v>74</v>
      </c>
      <c r="I185" s="145">
        <f>SUM(D185:H185)</f>
        <v>349</v>
      </c>
      <c r="J185" s="145">
        <v>138</v>
      </c>
      <c r="K185" s="147" t="s">
        <v>114</v>
      </c>
      <c r="L185" s="147" t="s">
        <v>124</v>
      </c>
      <c r="M185" s="147" t="s">
        <v>114</v>
      </c>
      <c r="N185" s="147" t="s">
        <v>114</v>
      </c>
      <c r="O185" s="147" t="s">
        <v>124</v>
      </c>
      <c r="P185" s="147" t="s">
        <v>124</v>
      </c>
      <c r="Q185" s="148" t="s">
        <v>378</v>
      </c>
      <c r="R185" s="148" t="s">
        <v>175</v>
      </c>
      <c r="S185" s="148" t="s">
        <v>136</v>
      </c>
      <c r="T185" s="148" t="s">
        <v>126</v>
      </c>
      <c r="U185" s="145">
        <f>D185+E185</f>
        <v>151</v>
      </c>
      <c r="V185" s="149"/>
      <c r="W185" s="145">
        <f>D185+E185+F185</f>
        <v>219</v>
      </c>
      <c r="X185" s="149"/>
    </row>
    <row r="186" customHeight="1" spans="1:24">
      <c r="A186" s="153">
        <v>240</v>
      </c>
      <c r="B186" s="154" t="s">
        <v>426</v>
      </c>
      <c r="C186" s="144">
        <v>1</v>
      </c>
      <c r="D186" s="145">
        <v>33</v>
      </c>
      <c r="E186" s="145">
        <v>25</v>
      </c>
      <c r="F186" s="145">
        <v>70</v>
      </c>
      <c r="G186" s="145">
        <v>74</v>
      </c>
      <c r="H186" s="145">
        <v>73</v>
      </c>
      <c r="I186" s="145">
        <f>SUM(D186:H186)</f>
        <v>275</v>
      </c>
      <c r="J186" s="145">
        <v>32</v>
      </c>
      <c r="K186" s="147" t="s">
        <v>124</v>
      </c>
      <c r="L186" s="147" t="s">
        <v>124</v>
      </c>
      <c r="M186" s="147" t="s">
        <v>124</v>
      </c>
      <c r="N186" s="147" t="s">
        <v>124</v>
      </c>
      <c r="O186" s="147" t="s">
        <v>124</v>
      </c>
      <c r="P186" s="147" t="s">
        <v>130</v>
      </c>
      <c r="Q186" s="148" t="s">
        <v>314</v>
      </c>
      <c r="R186" s="148" t="s">
        <v>132</v>
      </c>
      <c r="S186" s="148" t="s">
        <v>133</v>
      </c>
      <c r="T186" s="148" t="s">
        <v>148</v>
      </c>
      <c r="U186" s="145">
        <f>D186+E186</f>
        <v>58</v>
      </c>
      <c r="V186" s="149"/>
      <c r="W186" s="145">
        <f>D186+E186+F186</f>
        <v>128</v>
      </c>
      <c r="X186" s="149"/>
    </row>
    <row r="187" customHeight="1" spans="1:24">
      <c r="A187" s="153">
        <v>519</v>
      </c>
      <c r="B187" s="143" t="s">
        <v>427</v>
      </c>
      <c r="C187" s="144">
        <v>1</v>
      </c>
      <c r="D187" s="145">
        <v>23</v>
      </c>
      <c r="E187" s="145">
        <v>30</v>
      </c>
      <c r="F187" s="145">
        <v>83</v>
      </c>
      <c r="G187" s="145">
        <v>88</v>
      </c>
      <c r="H187" s="145">
        <v>73</v>
      </c>
      <c r="I187" s="145">
        <f>SUM(D187:H187)</f>
        <v>297</v>
      </c>
      <c r="J187" s="145">
        <v>46</v>
      </c>
      <c r="K187" s="147" t="s">
        <v>124</v>
      </c>
      <c r="L187" s="147" t="s">
        <v>124</v>
      </c>
      <c r="M187" s="147" t="s">
        <v>124</v>
      </c>
      <c r="N187" s="147" t="s">
        <v>124</v>
      </c>
      <c r="O187" s="147" t="s">
        <v>124</v>
      </c>
      <c r="P187" s="147" t="s">
        <v>124</v>
      </c>
      <c r="Q187" s="148" t="s">
        <v>168</v>
      </c>
      <c r="R187" s="148" t="s">
        <v>118</v>
      </c>
      <c r="S187" s="148" t="s">
        <v>119</v>
      </c>
      <c r="T187" s="148" t="s">
        <v>148</v>
      </c>
      <c r="U187" s="145">
        <f>D187+E187</f>
        <v>53</v>
      </c>
      <c r="V187" s="149"/>
      <c r="W187" s="145">
        <f>D187+E187+F187</f>
        <v>136</v>
      </c>
      <c r="X187" s="252"/>
    </row>
    <row r="188" customHeight="1" spans="1:24">
      <c r="A188" s="153">
        <v>574</v>
      </c>
      <c r="B188" s="154" t="s">
        <v>428</v>
      </c>
      <c r="C188" s="144">
        <v>7</v>
      </c>
      <c r="D188" s="145">
        <v>76</v>
      </c>
      <c r="E188" s="145">
        <v>84</v>
      </c>
      <c r="F188" s="145">
        <v>52</v>
      </c>
      <c r="G188" s="145">
        <v>43</v>
      </c>
      <c r="H188" s="145">
        <v>73</v>
      </c>
      <c r="I188" s="145">
        <f>SUM(D188:H188)</f>
        <v>328</v>
      </c>
      <c r="J188" s="145">
        <v>37</v>
      </c>
      <c r="K188" s="147" t="s">
        <v>114</v>
      </c>
      <c r="L188" s="147" t="s">
        <v>130</v>
      </c>
      <c r="M188" s="147" t="s">
        <v>114</v>
      </c>
      <c r="N188" s="147" t="s">
        <v>115</v>
      </c>
      <c r="O188" s="147" t="s">
        <v>124</v>
      </c>
      <c r="P188" s="147" t="s">
        <v>124</v>
      </c>
      <c r="Q188" s="148" t="s">
        <v>429</v>
      </c>
      <c r="R188" s="148" t="s">
        <v>132</v>
      </c>
      <c r="S188" s="148" t="s">
        <v>119</v>
      </c>
      <c r="T188" s="148" t="s">
        <v>126</v>
      </c>
      <c r="U188" s="145">
        <f>D188+E188</f>
        <v>160</v>
      </c>
      <c r="V188" s="149"/>
      <c r="W188" s="145">
        <f>D188+E188+F188</f>
        <v>212</v>
      </c>
      <c r="X188" s="149"/>
    </row>
    <row r="189" customHeight="1" spans="1:24">
      <c r="A189" s="153">
        <v>92</v>
      </c>
      <c r="B189" s="154" t="s">
        <v>430</v>
      </c>
      <c r="C189" s="144">
        <v>13</v>
      </c>
      <c r="D189" s="145">
        <v>71</v>
      </c>
      <c r="E189" s="145">
        <v>89</v>
      </c>
      <c r="F189" s="145">
        <v>61</v>
      </c>
      <c r="G189" s="145">
        <v>37</v>
      </c>
      <c r="H189" s="145">
        <v>73</v>
      </c>
      <c r="I189" s="145">
        <f>SUM(D189:H189)</f>
        <v>331</v>
      </c>
      <c r="J189" s="145">
        <v>99</v>
      </c>
      <c r="K189" s="147" t="s">
        <v>124</v>
      </c>
      <c r="L189" s="147" t="s">
        <v>124</v>
      </c>
      <c r="M189" s="147" t="s">
        <v>115</v>
      </c>
      <c r="N189" s="147" t="s">
        <v>124</v>
      </c>
      <c r="O189" s="147" t="s">
        <v>124</v>
      </c>
      <c r="P189" s="147" t="s">
        <v>114</v>
      </c>
      <c r="Q189" s="158" t="s">
        <v>431</v>
      </c>
      <c r="R189" s="148" t="s">
        <v>132</v>
      </c>
      <c r="S189" s="148" t="s">
        <v>133</v>
      </c>
      <c r="T189" s="148" t="s">
        <v>250</v>
      </c>
      <c r="U189" s="145">
        <f>D189+E189</f>
        <v>160</v>
      </c>
      <c r="V189" s="148" t="s">
        <v>432</v>
      </c>
      <c r="W189" s="145">
        <f>D189+E189+F189</f>
        <v>221</v>
      </c>
      <c r="X189" s="149"/>
    </row>
    <row r="190" customHeight="1" spans="1:24">
      <c r="A190" s="153">
        <v>563</v>
      </c>
      <c r="B190" s="156" t="s">
        <v>433</v>
      </c>
      <c r="C190" s="144">
        <v>1</v>
      </c>
      <c r="D190" s="145">
        <v>55</v>
      </c>
      <c r="E190" s="145">
        <v>52</v>
      </c>
      <c r="F190" s="145">
        <v>88</v>
      </c>
      <c r="G190" s="145">
        <v>67</v>
      </c>
      <c r="H190" s="145">
        <v>73</v>
      </c>
      <c r="I190" s="145">
        <f>SUM(D190:H190)</f>
        <v>335</v>
      </c>
      <c r="J190" s="145">
        <v>140</v>
      </c>
      <c r="K190" s="147" t="s">
        <v>124</v>
      </c>
      <c r="L190" s="147" t="s">
        <v>124</v>
      </c>
      <c r="M190" s="147" t="s">
        <v>124</v>
      </c>
      <c r="N190" s="147" t="s">
        <v>124</v>
      </c>
      <c r="O190" s="147" t="s">
        <v>124</v>
      </c>
      <c r="P190" s="147" t="s">
        <v>124</v>
      </c>
      <c r="Q190" s="148" t="s">
        <v>365</v>
      </c>
      <c r="R190" s="148" t="s">
        <v>175</v>
      </c>
      <c r="S190" s="148" t="s">
        <v>136</v>
      </c>
      <c r="T190" s="148" t="s">
        <v>120</v>
      </c>
      <c r="U190" s="145">
        <f>D190+E190</f>
        <v>107</v>
      </c>
      <c r="V190" s="149"/>
      <c r="W190" s="145">
        <f>D190+E190+F190</f>
        <v>195</v>
      </c>
      <c r="X190" s="149"/>
    </row>
    <row r="191" customHeight="1" spans="1:24">
      <c r="A191" s="153">
        <v>628</v>
      </c>
      <c r="B191" s="154" t="s">
        <v>434</v>
      </c>
      <c r="C191" s="144">
        <v>11</v>
      </c>
      <c r="D191" s="145">
        <v>72</v>
      </c>
      <c r="E191" s="145">
        <v>96</v>
      </c>
      <c r="F191" s="145">
        <v>54</v>
      </c>
      <c r="G191" s="145">
        <v>45</v>
      </c>
      <c r="H191" s="145">
        <v>73</v>
      </c>
      <c r="I191" s="145">
        <f>SUM(D191:H191)</f>
        <v>340</v>
      </c>
      <c r="J191" s="145">
        <v>55</v>
      </c>
      <c r="K191" s="147" t="s">
        <v>114</v>
      </c>
      <c r="L191" s="147" t="s">
        <v>114</v>
      </c>
      <c r="M191" s="147" t="s">
        <v>114</v>
      </c>
      <c r="N191" s="147" t="s">
        <v>114</v>
      </c>
      <c r="O191" s="147" t="s">
        <v>124</v>
      </c>
      <c r="P191" s="147" t="s">
        <v>124</v>
      </c>
      <c r="Q191" s="148" t="s">
        <v>435</v>
      </c>
      <c r="R191" s="148" t="s">
        <v>118</v>
      </c>
      <c r="S191" s="148" t="s">
        <v>133</v>
      </c>
      <c r="T191" s="148" t="s">
        <v>126</v>
      </c>
      <c r="U191" s="145">
        <f>D191+E191</f>
        <v>168</v>
      </c>
      <c r="V191" s="149"/>
      <c r="W191" s="145">
        <f>D191+E191+F191</f>
        <v>222</v>
      </c>
      <c r="X191" s="149"/>
    </row>
    <row r="192" customHeight="1" spans="1:24">
      <c r="A192" s="153">
        <v>316</v>
      </c>
      <c r="B192" s="154" t="s">
        <v>436</v>
      </c>
      <c r="C192" s="144">
        <v>1</v>
      </c>
      <c r="D192" s="145">
        <v>62</v>
      </c>
      <c r="E192" s="145">
        <v>68</v>
      </c>
      <c r="F192" s="145">
        <v>71</v>
      </c>
      <c r="G192" s="145">
        <v>77</v>
      </c>
      <c r="H192" s="145">
        <v>73</v>
      </c>
      <c r="I192" s="145">
        <f>SUM(D192:H192)</f>
        <v>351</v>
      </c>
      <c r="J192" s="145">
        <v>85</v>
      </c>
      <c r="K192" s="147" t="s">
        <v>130</v>
      </c>
      <c r="L192" s="147" t="s">
        <v>130</v>
      </c>
      <c r="M192" s="147" t="s">
        <v>130</v>
      </c>
      <c r="N192" s="147" t="s">
        <v>124</v>
      </c>
      <c r="O192" s="147" t="s">
        <v>124</v>
      </c>
      <c r="P192" s="147" t="s">
        <v>130</v>
      </c>
      <c r="Q192" s="148" t="s">
        <v>203</v>
      </c>
      <c r="R192" s="148" t="s">
        <v>119</v>
      </c>
      <c r="S192" s="148" t="s">
        <v>119</v>
      </c>
      <c r="T192" s="148" t="s">
        <v>148</v>
      </c>
      <c r="U192" s="145">
        <f>D192+E192</f>
        <v>130</v>
      </c>
      <c r="V192" s="149"/>
      <c r="W192" s="145">
        <f>D192+E192+F192</f>
        <v>201</v>
      </c>
      <c r="X192" s="149"/>
    </row>
    <row r="193" customHeight="1" spans="1:24">
      <c r="A193" s="153">
        <v>302</v>
      </c>
      <c r="B193" s="154" t="s">
        <v>437</v>
      </c>
      <c r="C193" s="144">
        <v>4</v>
      </c>
      <c r="D193" s="145">
        <v>69</v>
      </c>
      <c r="E193" s="145">
        <v>77</v>
      </c>
      <c r="F193" s="145">
        <v>64</v>
      </c>
      <c r="G193" s="145">
        <v>74</v>
      </c>
      <c r="H193" s="145">
        <v>73</v>
      </c>
      <c r="I193" s="145">
        <f>SUM(D193:H193)</f>
        <v>357</v>
      </c>
      <c r="J193" s="145">
        <v>130</v>
      </c>
      <c r="K193" s="147" t="s">
        <v>114</v>
      </c>
      <c r="L193" s="147" t="s">
        <v>130</v>
      </c>
      <c r="M193" s="147" t="s">
        <v>114</v>
      </c>
      <c r="N193" s="147" t="s">
        <v>130</v>
      </c>
      <c r="O193" s="147" t="s">
        <v>124</v>
      </c>
      <c r="P193" s="147" t="s">
        <v>124</v>
      </c>
      <c r="Q193" s="148" t="s">
        <v>236</v>
      </c>
      <c r="R193" s="148" t="s">
        <v>132</v>
      </c>
      <c r="S193" s="148" t="s">
        <v>136</v>
      </c>
      <c r="T193" s="148" t="s">
        <v>126</v>
      </c>
      <c r="U193" s="145">
        <f>D193+E193</f>
        <v>146</v>
      </c>
      <c r="V193" s="149"/>
      <c r="W193" s="145">
        <f>D193+E193+F193</f>
        <v>210</v>
      </c>
      <c r="X193" s="149"/>
    </row>
    <row r="194" customHeight="1" spans="1:24">
      <c r="A194" s="153">
        <v>212</v>
      </c>
      <c r="B194" s="154" t="s">
        <v>438</v>
      </c>
      <c r="C194" s="144">
        <v>3</v>
      </c>
      <c r="D194" s="145">
        <v>82</v>
      </c>
      <c r="E194" s="145">
        <v>66</v>
      </c>
      <c r="F194" s="145">
        <v>69</v>
      </c>
      <c r="G194" s="145">
        <v>71</v>
      </c>
      <c r="H194" s="145">
        <v>73</v>
      </c>
      <c r="I194" s="145">
        <f>SUM(D194:H194)</f>
        <v>361</v>
      </c>
      <c r="J194" s="145">
        <v>67</v>
      </c>
      <c r="K194" s="147" t="s">
        <v>114</v>
      </c>
      <c r="L194" s="147" t="s">
        <v>114</v>
      </c>
      <c r="M194" s="147" t="s">
        <v>114</v>
      </c>
      <c r="N194" s="147" t="s">
        <v>114</v>
      </c>
      <c r="O194" s="147" t="s">
        <v>124</v>
      </c>
      <c r="P194" s="147" t="s">
        <v>124</v>
      </c>
      <c r="Q194" s="148" t="s">
        <v>378</v>
      </c>
      <c r="R194" s="148" t="s">
        <v>132</v>
      </c>
      <c r="S194" s="148" t="s">
        <v>119</v>
      </c>
      <c r="T194" s="148" t="s">
        <v>120</v>
      </c>
      <c r="U194" s="145">
        <f>D194+E194</f>
        <v>148</v>
      </c>
      <c r="V194" s="149"/>
      <c r="W194" s="145">
        <f>D194+E194+F194</f>
        <v>217</v>
      </c>
      <c r="X194" s="149"/>
    </row>
    <row r="195" customHeight="1" spans="1:24">
      <c r="A195" s="153">
        <v>431</v>
      </c>
      <c r="B195" s="143" t="s">
        <v>439</v>
      </c>
      <c r="C195" s="144">
        <v>1</v>
      </c>
      <c r="D195" s="145">
        <v>36</v>
      </c>
      <c r="E195" s="145">
        <v>34</v>
      </c>
      <c r="F195" s="145">
        <v>74</v>
      </c>
      <c r="G195" s="145">
        <v>80</v>
      </c>
      <c r="H195" s="145">
        <v>72</v>
      </c>
      <c r="I195" s="145">
        <f>SUM(D195:H195)</f>
        <v>296</v>
      </c>
      <c r="J195" s="145">
        <v>4</v>
      </c>
      <c r="K195" s="147" t="s">
        <v>124</v>
      </c>
      <c r="L195" s="147" t="s">
        <v>124</v>
      </c>
      <c r="M195" s="147" t="s">
        <v>124</v>
      </c>
      <c r="N195" s="147" t="s">
        <v>124</v>
      </c>
      <c r="O195" s="147" t="s">
        <v>124</v>
      </c>
      <c r="P195" s="147" t="s">
        <v>124</v>
      </c>
      <c r="Q195" s="148" t="s">
        <v>344</v>
      </c>
      <c r="R195" s="148" t="s">
        <v>132</v>
      </c>
      <c r="S195" s="148" t="s">
        <v>119</v>
      </c>
      <c r="T195" s="148" t="s">
        <v>120</v>
      </c>
      <c r="U195" s="145">
        <f>D195+E195</f>
        <v>70</v>
      </c>
      <c r="V195" s="149"/>
      <c r="W195" s="145">
        <f>D195+E195+F195</f>
        <v>144</v>
      </c>
      <c r="X195" s="149"/>
    </row>
    <row r="196" customHeight="1" spans="1:24">
      <c r="A196" s="153">
        <v>538</v>
      </c>
      <c r="B196" s="154" t="s">
        <v>440</v>
      </c>
      <c r="C196" s="144">
        <v>9</v>
      </c>
      <c r="D196" s="145">
        <v>26</v>
      </c>
      <c r="E196" s="145">
        <v>40</v>
      </c>
      <c r="F196" s="145">
        <v>92</v>
      </c>
      <c r="G196" s="145">
        <v>74</v>
      </c>
      <c r="H196" s="145">
        <v>72</v>
      </c>
      <c r="I196" s="145">
        <f>SUM(D196:H196)</f>
        <v>304</v>
      </c>
      <c r="J196" s="145">
        <v>130</v>
      </c>
      <c r="K196" s="147" t="s">
        <v>124</v>
      </c>
      <c r="L196" s="147" t="s">
        <v>124</v>
      </c>
      <c r="M196" s="147" t="s">
        <v>124</v>
      </c>
      <c r="N196" s="147" t="s">
        <v>124</v>
      </c>
      <c r="O196" s="147" t="s">
        <v>124</v>
      </c>
      <c r="P196" s="147" t="s">
        <v>124</v>
      </c>
      <c r="Q196" s="158" t="s">
        <v>296</v>
      </c>
      <c r="R196" s="148" t="s">
        <v>132</v>
      </c>
      <c r="S196" s="148" t="s">
        <v>119</v>
      </c>
      <c r="T196" s="148" t="s">
        <v>120</v>
      </c>
      <c r="U196" s="145">
        <f>D196+E196</f>
        <v>66</v>
      </c>
      <c r="V196" s="148" t="s">
        <v>297</v>
      </c>
      <c r="W196" s="145">
        <f>D196+E196+F196</f>
        <v>158</v>
      </c>
      <c r="X196" s="149"/>
    </row>
    <row r="197" customHeight="1" spans="1:24">
      <c r="A197" s="153">
        <v>262</v>
      </c>
      <c r="B197" s="143" t="s">
        <v>441</v>
      </c>
      <c r="C197" s="144">
        <v>1</v>
      </c>
      <c r="D197" s="145">
        <v>58</v>
      </c>
      <c r="E197" s="145">
        <v>28</v>
      </c>
      <c r="F197" s="145">
        <v>70</v>
      </c>
      <c r="G197" s="145">
        <v>83</v>
      </c>
      <c r="H197" s="145">
        <v>72</v>
      </c>
      <c r="I197" s="145">
        <f>SUM(D197:H197)</f>
        <v>311</v>
      </c>
      <c r="J197" s="145">
        <v>77</v>
      </c>
      <c r="K197" s="147" t="s">
        <v>124</v>
      </c>
      <c r="L197" s="147" t="s">
        <v>124</v>
      </c>
      <c r="M197" s="147" t="s">
        <v>130</v>
      </c>
      <c r="N197" s="147" t="s">
        <v>124</v>
      </c>
      <c r="O197" s="147" t="s">
        <v>124</v>
      </c>
      <c r="P197" s="147" t="s">
        <v>130</v>
      </c>
      <c r="Q197" s="149"/>
      <c r="R197" s="148" t="s">
        <v>132</v>
      </c>
      <c r="S197" s="148" t="s">
        <v>119</v>
      </c>
      <c r="T197" s="148" t="s">
        <v>148</v>
      </c>
      <c r="U197" s="145">
        <f>D197+E197</f>
        <v>86</v>
      </c>
      <c r="V197" s="149"/>
      <c r="W197" s="145">
        <f>D197+E197+F197</f>
        <v>156</v>
      </c>
      <c r="X197" s="149"/>
    </row>
    <row r="198" customHeight="1" spans="1:24">
      <c r="A198" s="153">
        <v>568</v>
      </c>
      <c r="B198" s="156" t="s">
        <v>442</v>
      </c>
      <c r="C198" s="144">
        <v>2</v>
      </c>
      <c r="D198" s="145">
        <v>54</v>
      </c>
      <c r="E198" s="145">
        <v>55</v>
      </c>
      <c r="F198" s="145">
        <v>79</v>
      </c>
      <c r="G198" s="145">
        <v>65</v>
      </c>
      <c r="H198" s="145">
        <v>72</v>
      </c>
      <c r="I198" s="145">
        <f>SUM(D198:H198)</f>
        <v>325</v>
      </c>
      <c r="J198" s="145">
        <v>100</v>
      </c>
      <c r="K198" s="147" t="s">
        <v>130</v>
      </c>
      <c r="L198" s="147" t="s">
        <v>130</v>
      </c>
      <c r="M198" s="147" t="s">
        <v>114</v>
      </c>
      <c r="N198" s="147" t="s">
        <v>124</v>
      </c>
      <c r="O198" s="147" t="s">
        <v>124</v>
      </c>
      <c r="P198" s="147" t="s">
        <v>115</v>
      </c>
      <c r="Q198" s="148" t="s">
        <v>245</v>
      </c>
      <c r="R198" s="148" t="s">
        <v>132</v>
      </c>
      <c r="S198" s="148" t="s">
        <v>119</v>
      </c>
      <c r="T198" s="148" t="s">
        <v>148</v>
      </c>
      <c r="U198" s="145">
        <f>D198+E198</f>
        <v>109</v>
      </c>
      <c r="V198" s="149"/>
      <c r="W198" s="145">
        <f>D198+E198+F198</f>
        <v>188</v>
      </c>
      <c r="X198" s="149"/>
    </row>
    <row r="199" customHeight="1" spans="1:24">
      <c r="A199" s="153">
        <v>788</v>
      </c>
      <c r="B199" s="143" t="s">
        <v>443</v>
      </c>
      <c r="C199" s="144">
        <v>1</v>
      </c>
      <c r="D199" s="145">
        <v>54</v>
      </c>
      <c r="E199" s="145">
        <v>51</v>
      </c>
      <c r="F199" s="145">
        <v>78</v>
      </c>
      <c r="G199" s="145">
        <v>86</v>
      </c>
      <c r="H199" s="145">
        <v>72</v>
      </c>
      <c r="I199" s="145">
        <f>SUM(D199:H199)</f>
        <v>341</v>
      </c>
      <c r="J199" s="145">
        <v>1</v>
      </c>
      <c r="K199" s="147" t="s">
        <v>124</v>
      </c>
      <c r="L199" s="147" t="s">
        <v>124</v>
      </c>
      <c r="M199" s="147" t="s">
        <v>130</v>
      </c>
      <c r="N199" s="147" t="s">
        <v>130</v>
      </c>
      <c r="O199" s="147" t="s">
        <v>124</v>
      </c>
      <c r="P199" s="147" t="s">
        <v>124</v>
      </c>
      <c r="Q199" s="149"/>
      <c r="R199" s="148" t="s">
        <v>132</v>
      </c>
      <c r="S199" s="148" t="s">
        <v>119</v>
      </c>
      <c r="T199" s="148" t="s">
        <v>120</v>
      </c>
      <c r="U199" s="145">
        <f>D199+E199</f>
        <v>105</v>
      </c>
      <c r="V199" s="149"/>
      <c r="W199" s="145">
        <f>D199+E199+F199</f>
        <v>183</v>
      </c>
      <c r="X199" s="149"/>
    </row>
    <row r="200" customHeight="1" spans="1:24">
      <c r="A200" s="153">
        <v>483</v>
      </c>
      <c r="B200" s="154" t="s">
        <v>444</v>
      </c>
      <c r="C200" s="144">
        <v>1</v>
      </c>
      <c r="D200" s="145">
        <v>53</v>
      </c>
      <c r="E200" s="145">
        <v>58</v>
      </c>
      <c r="F200" s="145">
        <v>77</v>
      </c>
      <c r="G200" s="145">
        <v>83</v>
      </c>
      <c r="H200" s="145">
        <v>72</v>
      </c>
      <c r="I200" s="145">
        <f>SUM(D200:H200)</f>
        <v>343</v>
      </c>
      <c r="J200" s="145">
        <v>44</v>
      </c>
      <c r="K200" s="147" t="s">
        <v>130</v>
      </c>
      <c r="L200" s="147" t="s">
        <v>130</v>
      </c>
      <c r="M200" s="147" t="s">
        <v>130</v>
      </c>
      <c r="N200" s="147" t="s">
        <v>124</v>
      </c>
      <c r="O200" s="147" t="s">
        <v>124</v>
      </c>
      <c r="P200" s="147" t="s">
        <v>130</v>
      </c>
      <c r="Q200" s="148" t="s">
        <v>205</v>
      </c>
      <c r="R200" s="148" t="s">
        <v>132</v>
      </c>
      <c r="S200" s="148" t="s">
        <v>119</v>
      </c>
      <c r="T200" s="148" t="s">
        <v>148</v>
      </c>
      <c r="U200" s="145">
        <f>D200+E200</f>
        <v>111</v>
      </c>
      <c r="V200" s="149"/>
      <c r="W200" s="145">
        <f>D200+E200+F200</f>
        <v>188</v>
      </c>
      <c r="X200" s="252"/>
    </row>
    <row r="201" customHeight="1" spans="1:24">
      <c r="A201" s="153">
        <v>598</v>
      </c>
      <c r="B201" s="154" t="s">
        <v>445</v>
      </c>
      <c r="C201" s="144">
        <v>13</v>
      </c>
      <c r="D201" s="145">
        <v>33</v>
      </c>
      <c r="E201" s="145">
        <v>33</v>
      </c>
      <c r="F201" s="145">
        <v>68</v>
      </c>
      <c r="G201" s="145">
        <v>84</v>
      </c>
      <c r="H201" s="145">
        <v>71</v>
      </c>
      <c r="I201" s="145">
        <f>SUM(D201:H201)</f>
        <v>289</v>
      </c>
      <c r="J201" s="145">
        <v>112</v>
      </c>
      <c r="K201" s="147" t="s">
        <v>124</v>
      </c>
      <c r="L201" s="147" t="s">
        <v>124</v>
      </c>
      <c r="M201" s="147" t="s">
        <v>124</v>
      </c>
      <c r="N201" s="147" t="s">
        <v>124</v>
      </c>
      <c r="O201" s="147" t="s">
        <v>124</v>
      </c>
      <c r="P201" s="147" t="s">
        <v>124</v>
      </c>
      <c r="Q201" s="148" t="s">
        <v>446</v>
      </c>
      <c r="R201" s="148" t="s">
        <v>132</v>
      </c>
      <c r="S201" s="148" t="s">
        <v>119</v>
      </c>
      <c r="T201" s="148" t="s">
        <v>148</v>
      </c>
      <c r="U201" s="145">
        <f>D201+E201</f>
        <v>66</v>
      </c>
      <c r="V201" s="149"/>
      <c r="W201" s="145">
        <f>D201+E201+F201</f>
        <v>134</v>
      </c>
      <c r="X201" s="149"/>
    </row>
    <row r="202" customHeight="1" spans="1:24">
      <c r="A202" s="153">
        <v>448</v>
      </c>
      <c r="B202" s="154" t="s">
        <v>447</v>
      </c>
      <c r="C202" s="144">
        <v>1</v>
      </c>
      <c r="D202" s="145">
        <v>20</v>
      </c>
      <c r="E202" s="145">
        <v>39</v>
      </c>
      <c r="F202" s="145">
        <v>82</v>
      </c>
      <c r="G202" s="145">
        <v>79</v>
      </c>
      <c r="H202" s="145">
        <v>71</v>
      </c>
      <c r="I202" s="145">
        <f>SUM(D202:H202)</f>
        <v>291</v>
      </c>
      <c r="J202" s="145">
        <v>76</v>
      </c>
      <c r="K202" s="147" t="s">
        <v>124</v>
      </c>
      <c r="L202" s="147" t="s">
        <v>124</v>
      </c>
      <c r="M202" s="147" t="s">
        <v>124</v>
      </c>
      <c r="N202" s="147" t="s">
        <v>124</v>
      </c>
      <c r="O202" s="147" t="s">
        <v>124</v>
      </c>
      <c r="P202" s="147" t="s">
        <v>124</v>
      </c>
      <c r="Q202" s="148" t="s">
        <v>299</v>
      </c>
      <c r="R202" s="148" t="s">
        <v>132</v>
      </c>
      <c r="S202" s="148" t="s">
        <v>119</v>
      </c>
      <c r="T202" s="148" t="s">
        <v>120</v>
      </c>
      <c r="U202" s="145">
        <f>D202+E202</f>
        <v>59</v>
      </c>
      <c r="V202" s="149"/>
      <c r="W202" s="145">
        <f>D202+E202+F202</f>
        <v>141</v>
      </c>
      <c r="X202" s="252"/>
    </row>
    <row r="203" customHeight="1" spans="1:24">
      <c r="A203" s="153">
        <v>520</v>
      </c>
      <c r="B203" s="154" t="s">
        <v>448</v>
      </c>
      <c r="C203" s="144">
        <v>1</v>
      </c>
      <c r="D203" s="145">
        <v>32</v>
      </c>
      <c r="E203" s="145">
        <v>25</v>
      </c>
      <c r="F203" s="145">
        <v>80</v>
      </c>
      <c r="G203" s="145">
        <v>89</v>
      </c>
      <c r="H203" s="145">
        <v>71</v>
      </c>
      <c r="I203" s="145">
        <f>SUM(D203:H203)</f>
        <v>297</v>
      </c>
      <c r="J203" s="145">
        <v>48</v>
      </c>
      <c r="K203" s="147" t="s">
        <v>124</v>
      </c>
      <c r="L203" s="147" t="s">
        <v>124</v>
      </c>
      <c r="M203" s="147" t="s">
        <v>124</v>
      </c>
      <c r="N203" s="147" t="s">
        <v>124</v>
      </c>
      <c r="O203" s="147" t="s">
        <v>124</v>
      </c>
      <c r="P203" s="147" t="s">
        <v>130</v>
      </c>
      <c r="Q203" s="148" t="s">
        <v>414</v>
      </c>
      <c r="R203" s="148" t="s">
        <v>132</v>
      </c>
      <c r="S203" s="148" t="s">
        <v>119</v>
      </c>
      <c r="T203" s="148" t="s">
        <v>148</v>
      </c>
      <c r="U203" s="145">
        <f>D203+E203</f>
        <v>57</v>
      </c>
      <c r="V203" s="149"/>
      <c r="W203" s="145">
        <f>D203+E203+F203</f>
        <v>137</v>
      </c>
      <c r="X203" s="252"/>
    </row>
    <row r="204" customHeight="1" spans="1:24">
      <c r="A204" s="153">
        <v>30</v>
      </c>
      <c r="B204" s="154" t="s">
        <v>449</v>
      </c>
      <c r="C204" s="144">
        <v>1</v>
      </c>
      <c r="D204" s="145">
        <v>34</v>
      </c>
      <c r="E204" s="145">
        <v>40</v>
      </c>
      <c r="F204" s="145">
        <v>85</v>
      </c>
      <c r="G204" s="145">
        <v>72</v>
      </c>
      <c r="H204" s="145">
        <v>71</v>
      </c>
      <c r="I204" s="145">
        <f>SUM(D204:H204)</f>
        <v>302</v>
      </c>
      <c r="J204" s="145">
        <v>21</v>
      </c>
      <c r="K204" s="147" t="s">
        <v>124</v>
      </c>
      <c r="L204" s="147" t="s">
        <v>124</v>
      </c>
      <c r="M204" s="147" t="s">
        <v>124</v>
      </c>
      <c r="N204" s="147" t="s">
        <v>124</v>
      </c>
      <c r="O204" s="147" t="s">
        <v>124</v>
      </c>
      <c r="P204" s="147" t="s">
        <v>124</v>
      </c>
      <c r="Q204" s="148" t="s">
        <v>333</v>
      </c>
      <c r="R204" s="148" t="s">
        <v>132</v>
      </c>
      <c r="S204" s="148" t="s">
        <v>279</v>
      </c>
      <c r="T204" s="148" t="s">
        <v>126</v>
      </c>
      <c r="U204" s="145">
        <f>D204+E204</f>
        <v>74</v>
      </c>
      <c r="V204" s="149"/>
      <c r="W204" s="145">
        <f>D204+E204+F204</f>
        <v>159</v>
      </c>
      <c r="X204" s="252"/>
    </row>
    <row r="205" customHeight="1" spans="1:24">
      <c r="A205" s="153">
        <v>260</v>
      </c>
      <c r="B205" s="154" t="s">
        <v>450</v>
      </c>
      <c r="C205" s="144">
        <v>1</v>
      </c>
      <c r="D205" s="145">
        <v>40</v>
      </c>
      <c r="E205" s="145">
        <v>52</v>
      </c>
      <c r="F205" s="145">
        <v>72</v>
      </c>
      <c r="G205" s="145">
        <v>73</v>
      </c>
      <c r="H205" s="145">
        <v>71</v>
      </c>
      <c r="I205" s="145">
        <f>SUM(D205:H205)</f>
        <v>308</v>
      </c>
      <c r="J205" s="145">
        <v>139</v>
      </c>
      <c r="K205" s="147" t="s">
        <v>124</v>
      </c>
      <c r="L205" s="147" t="s">
        <v>124</v>
      </c>
      <c r="M205" s="147" t="s">
        <v>124</v>
      </c>
      <c r="N205" s="147" t="s">
        <v>130</v>
      </c>
      <c r="O205" s="147" t="s">
        <v>124</v>
      </c>
      <c r="P205" s="147" t="s">
        <v>124</v>
      </c>
      <c r="Q205" s="148" t="s">
        <v>339</v>
      </c>
      <c r="R205" s="148" t="s">
        <v>132</v>
      </c>
      <c r="S205" s="148" t="s">
        <v>119</v>
      </c>
      <c r="T205" s="148" t="s">
        <v>120</v>
      </c>
      <c r="U205" s="145">
        <f>D205+E205</f>
        <v>92</v>
      </c>
      <c r="V205" s="149"/>
      <c r="W205" s="145">
        <f>D205+E205+F205</f>
        <v>164</v>
      </c>
      <c r="X205" s="149"/>
    </row>
    <row r="206" customHeight="1" spans="1:24">
      <c r="A206" s="153">
        <v>465</v>
      </c>
      <c r="B206" s="154" t="s">
        <v>451</v>
      </c>
      <c r="C206" s="144">
        <v>4</v>
      </c>
      <c r="D206" s="145">
        <v>73</v>
      </c>
      <c r="E206" s="145">
        <v>80</v>
      </c>
      <c r="F206" s="145">
        <v>56</v>
      </c>
      <c r="G206" s="145">
        <v>62</v>
      </c>
      <c r="H206" s="145">
        <v>71</v>
      </c>
      <c r="I206" s="145">
        <f>SUM(D206:H206)</f>
        <v>342</v>
      </c>
      <c r="J206" s="145">
        <v>18</v>
      </c>
      <c r="K206" s="147" t="s">
        <v>130</v>
      </c>
      <c r="L206" s="147" t="s">
        <v>130</v>
      </c>
      <c r="M206" s="147" t="s">
        <v>124</v>
      </c>
      <c r="N206" s="147" t="s">
        <v>124</v>
      </c>
      <c r="O206" s="147" t="s">
        <v>124</v>
      </c>
      <c r="P206" s="147" t="s">
        <v>115</v>
      </c>
      <c r="Q206" s="148" t="s">
        <v>452</v>
      </c>
      <c r="R206" s="148" t="s">
        <v>132</v>
      </c>
      <c r="S206" s="148" t="s">
        <v>119</v>
      </c>
      <c r="T206" s="148" t="s">
        <v>250</v>
      </c>
      <c r="U206" s="145">
        <f>D206+E206</f>
        <v>153</v>
      </c>
      <c r="V206" s="149"/>
      <c r="W206" s="145">
        <f>D206+E206+F206</f>
        <v>209</v>
      </c>
      <c r="X206" s="149"/>
    </row>
    <row r="207" customHeight="1" spans="1:24">
      <c r="A207" s="153">
        <v>409</v>
      </c>
      <c r="B207" s="154" t="s">
        <v>453</v>
      </c>
      <c r="C207" s="144">
        <v>5</v>
      </c>
      <c r="D207" s="145">
        <v>67</v>
      </c>
      <c r="E207" s="145">
        <v>92</v>
      </c>
      <c r="F207" s="145">
        <v>36</v>
      </c>
      <c r="G207" s="145">
        <v>50</v>
      </c>
      <c r="H207" s="145">
        <v>70</v>
      </c>
      <c r="I207" s="145">
        <f>SUM(D207:H207)</f>
        <v>315</v>
      </c>
      <c r="J207" s="145">
        <v>145</v>
      </c>
      <c r="K207" s="147" t="s">
        <v>114</v>
      </c>
      <c r="L207" s="147" t="s">
        <v>124</v>
      </c>
      <c r="M207" s="147" t="s">
        <v>114</v>
      </c>
      <c r="N207" s="147" t="s">
        <v>114</v>
      </c>
      <c r="O207" s="147" t="s">
        <v>124</v>
      </c>
      <c r="P207" s="147" t="s">
        <v>124</v>
      </c>
      <c r="Q207" s="148" t="s">
        <v>404</v>
      </c>
      <c r="R207" s="148" t="s">
        <v>119</v>
      </c>
      <c r="S207" s="148" t="s">
        <v>119</v>
      </c>
      <c r="T207" s="148" t="s">
        <v>250</v>
      </c>
      <c r="U207" s="145">
        <f>D207+E207</f>
        <v>159</v>
      </c>
      <c r="V207" s="149"/>
      <c r="W207" s="145">
        <f>D207+E207+F207</f>
        <v>195</v>
      </c>
      <c r="X207" s="149"/>
    </row>
    <row r="208" customHeight="1" spans="1:24">
      <c r="A208" s="153">
        <v>55</v>
      </c>
      <c r="B208" s="154" t="s">
        <v>454</v>
      </c>
      <c r="C208" s="144">
        <v>6</v>
      </c>
      <c r="D208" s="145">
        <v>51</v>
      </c>
      <c r="E208" s="145">
        <v>49</v>
      </c>
      <c r="F208" s="145">
        <v>78</v>
      </c>
      <c r="G208" s="145">
        <v>100</v>
      </c>
      <c r="H208" s="145">
        <v>70</v>
      </c>
      <c r="I208" s="145">
        <f>SUM(D208:H208)</f>
        <v>348</v>
      </c>
      <c r="J208" s="145">
        <v>19</v>
      </c>
      <c r="K208" s="147" t="s">
        <v>124</v>
      </c>
      <c r="L208" s="147" t="s">
        <v>124</v>
      </c>
      <c r="M208" s="147" t="s">
        <v>124</v>
      </c>
      <c r="N208" s="147" t="s">
        <v>124</v>
      </c>
      <c r="O208" s="147" t="s">
        <v>124</v>
      </c>
      <c r="P208" s="147" t="s">
        <v>124</v>
      </c>
      <c r="Q208" s="148" t="s">
        <v>314</v>
      </c>
      <c r="R208" s="148" t="s">
        <v>132</v>
      </c>
      <c r="S208" s="148" t="s">
        <v>133</v>
      </c>
      <c r="T208" s="148" t="s">
        <v>148</v>
      </c>
      <c r="U208" s="145">
        <f>D208+E208</f>
        <v>100</v>
      </c>
      <c r="V208" s="149"/>
      <c r="W208" s="145">
        <f>D208+E208+F208</f>
        <v>178</v>
      </c>
      <c r="X208" s="149"/>
    </row>
    <row r="209" customHeight="1" spans="1:24">
      <c r="A209" s="153">
        <v>163</v>
      </c>
      <c r="B209" s="154" t="s">
        <v>455</v>
      </c>
      <c r="C209" s="144">
        <v>15</v>
      </c>
      <c r="D209" s="145">
        <v>53</v>
      </c>
      <c r="E209" s="145">
        <v>45</v>
      </c>
      <c r="F209" s="145">
        <v>105</v>
      </c>
      <c r="G209" s="145">
        <v>83</v>
      </c>
      <c r="H209" s="145">
        <v>70</v>
      </c>
      <c r="I209" s="145">
        <f>SUM(D209:H209)</f>
        <v>356</v>
      </c>
      <c r="J209" s="145">
        <v>90</v>
      </c>
      <c r="K209" s="147" t="s">
        <v>130</v>
      </c>
      <c r="L209" s="147" t="s">
        <v>130</v>
      </c>
      <c r="M209" s="147" t="s">
        <v>124</v>
      </c>
      <c r="N209" s="147" t="s">
        <v>124</v>
      </c>
      <c r="O209" s="147" t="s">
        <v>124</v>
      </c>
      <c r="P209" s="147" t="s">
        <v>130</v>
      </c>
      <c r="Q209" s="170" t="s">
        <v>150</v>
      </c>
      <c r="R209" s="148" t="s">
        <v>132</v>
      </c>
      <c r="S209" s="148" t="s">
        <v>133</v>
      </c>
      <c r="T209" s="148" t="s">
        <v>148</v>
      </c>
      <c r="U209" s="145">
        <f>D209+E209</f>
        <v>98</v>
      </c>
      <c r="V209" s="193" t="s">
        <v>151</v>
      </c>
      <c r="W209" s="145">
        <f>D209+E209+F209</f>
        <v>203</v>
      </c>
      <c r="X209" s="149"/>
    </row>
    <row r="210" customHeight="1" spans="1:24">
      <c r="A210" s="153">
        <v>150</v>
      </c>
      <c r="B210" s="154" t="s">
        <v>456</v>
      </c>
      <c r="C210" s="144">
        <v>10</v>
      </c>
      <c r="D210" s="145">
        <v>83</v>
      </c>
      <c r="E210" s="145">
        <v>85</v>
      </c>
      <c r="F210" s="145">
        <v>59</v>
      </c>
      <c r="G210" s="145">
        <v>64</v>
      </c>
      <c r="H210" s="145">
        <v>70</v>
      </c>
      <c r="I210" s="145">
        <f>SUM(D210:H210)</f>
        <v>361</v>
      </c>
      <c r="J210" s="145">
        <v>125</v>
      </c>
      <c r="K210" s="147" t="s">
        <v>115</v>
      </c>
      <c r="L210" s="147" t="s">
        <v>114</v>
      </c>
      <c r="M210" s="147" t="s">
        <v>124</v>
      </c>
      <c r="N210" s="147" t="s">
        <v>114</v>
      </c>
      <c r="O210" s="147" t="s">
        <v>124</v>
      </c>
      <c r="P210" s="147" t="s">
        <v>115</v>
      </c>
      <c r="Q210" s="148" t="s">
        <v>186</v>
      </c>
      <c r="R210" s="148" t="s">
        <v>132</v>
      </c>
      <c r="S210" s="148" t="s">
        <v>136</v>
      </c>
      <c r="T210" s="148" t="s">
        <v>126</v>
      </c>
      <c r="U210" s="145">
        <f>D210+E210</f>
        <v>168</v>
      </c>
      <c r="V210" s="149"/>
      <c r="W210" s="145">
        <f>D210+E210+F210</f>
        <v>227</v>
      </c>
      <c r="X210" s="149"/>
    </row>
    <row r="211" customHeight="1" spans="1:24">
      <c r="A211" s="153">
        <v>229</v>
      </c>
      <c r="B211" s="154" t="s">
        <v>457</v>
      </c>
      <c r="C211" s="144">
        <v>1</v>
      </c>
      <c r="D211" s="145">
        <v>54</v>
      </c>
      <c r="E211" s="145">
        <v>39</v>
      </c>
      <c r="F211" s="145">
        <v>71</v>
      </c>
      <c r="G211" s="145">
        <v>77</v>
      </c>
      <c r="H211" s="145">
        <v>69</v>
      </c>
      <c r="I211" s="145">
        <f>SUM(D211:H211)</f>
        <v>310</v>
      </c>
      <c r="J211" s="145">
        <v>31</v>
      </c>
      <c r="K211" s="147" t="s">
        <v>124</v>
      </c>
      <c r="L211" s="147" t="s">
        <v>130</v>
      </c>
      <c r="M211" s="147" t="s">
        <v>124</v>
      </c>
      <c r="N211" s="147" t="s">
        <v>124</v>
      </c>
      <c r="O211" s="147" t="s">
        <v>124</v>
      </c>
      <c r="P211" s="147" t="s">
        <v>114</v>
      </c>
      <c r="Q211" s="148" t="s">
        <v>365</v>
      </c>
      <c r="R211" s="148" t="s">
        <v>132</v>
      </c>
      <c r="S211" s="148" t="s">
        <v>119</v>
      </c>
      <c r="T211" s="148" t="s">
        <v>148</v>
      </c>
      <c r="U211" s="145">
        <f>D211+E211</f>
        <v>93</v>
      </c>
      <c r="V211" s="149"/>
      <c r="W211" s="145">
        <f>D211+E211+F211</f>
        <v>164</v>
      </c>
      <c r="X211" s="252"/>
    </row>
    <row r="212" customHeight="1" spans="1:24">
      <c r="A212" s="153">
        <v>571</v>
      </c>
      <c r="B212" s="154" t="s">
        <v>458</v>
      </c>
      <c r="C212" s="144">
        <v>10</v>
      </c>
      <c r="D212" s="145">
        <v>66</v>
      </c>
      <c r="E212" s="145">
        <v>99</v>
      </c>
      <c r="F212" s="145">
        <v>37</v>
      </c>
      <c r="G212" s="145">
        <v>69</v>
      </c>
      <c r="H212" s="145">
        <v>69</v>
      </c>
      <c r="I212" s="145">
        <f>SUM(D212:H212)</f>
        <v>340</v>
      </c>
      <c r="J212" s="145">
        <v>36</v>
      </c>
      <c r="K212" s="147" t="s">
        <v>114</v>
      </c>
      <c r="L212" s="147" t="s">
        <v>130</v>
      </c>
      <c r="M212" s="147" t="s">
        <v>130</v>
      </c>
      <c r="N212" s="147" t="s">
        <v>130</v>
      </c>
      <c r="O212" s="147" t="s">
        <v>124</v>
      </c>
      <c r="P212" s="147" t="s">
        <v>130</v>
      </c>
      <c r="Q212" s="148" t="s">
        <v>459</v>
      </c>
      <c r="R212" s="148" t="s">
        <v>118</v>
      </c>
      <c r="S212" s="148" t="s">
        <v>119</v>
      </c>
      <c r="T212" s="148" t="s">
        <v>126</v>
      </c>
      <c r="U212" s="145">
        <f>D212+E212</f>
        <v>165</v>
      </c>
      <c r="V212" s="149"/>
      <c r="W212" s="145">
        <f>D212+E212+F212</f>
        <v>202</v>
      </c>
      <c r="X212" s="149"/>
    </row>
    <row r="213" customHeight="1" spans="1:24">
      <c r="A213" s="153">
        <v>105</v>
      </c>
      <c r="B213" s="154" t="s">
        <v>460</v>
      </c>
      <c r="C213" s="144">
        <v>14</v>
      </c>
      <c r="D213" s="145">
        <v>81</v>
      </c>
      <c r="E213" s="145">
        <v>75</v>
      </c>
      <c r="F213" s="145">
        <v>67</v>
      </c>
      <c r="G213" s="145">
        <v>63</v>
      </c>
      <c r="H213" s="145">
        <v>69</v>
      </c>
      <c r="I213" s="145">
        <f>SUM(D213:H213)</f>
        <v>355</v>
      </c>
      <c r="J213" s="145">
        <v>120</v>
      </c>
      <c r="K213" s="147" t="s">
        <v>115</v>
      </c>
      <c r="L213" s="147" t="s">
        <v>115</v>
      </c>
      <c r="M213" s="147" t="s">
        <v>114</v>
      </c>
      <c r="N213" s="147" t="s">
        <v>124</v>
      </c>
      <c r="O213" s="147" t="s">
        <v>124</v>
      </c>
      <c r="P213" s="147" t="s">
        <v>130</v>
      </c>
      <c r="Q213" s="148" t="s">
        <v>461</v>
      </c>
      <c r="R213" s="148" t="s">
        <v>119</v>
      </c>
      <c r="S213" s="148" t="s">
        <v>145</v>
      </c>
      <c r="T213" s="148" t="s">
        <v>126</v>
      </c>
      <c r="U213" s="145">
        <f>D213+E213</f>
        <v>156</v>
      </c>
      <c r="V213" s="149"/>
      <c r="W213" s="145">
        <f>D213+E213+F213</f>
        <v>223</v>
      </c>
      <c r="X213" s="149"/>
    </row>
    <row r="214" customHeight="1" spans="1:24">
      <c r="A214" s="153">
        <v>31</v>
      </c>
      <c r="B214" s="154" t="s">
        <v>462</v>
      </c>
      <c r="C214" s="144">
        <v>13</v>
      </c>
      <c r="D214" s="145">
        <v>89</v>
      </c>
      <c r="E214" s="145">
        <v>78</v>
      </c>
      <c r="F214" s="145">
        <v>66</v>
      </c>
      <c r="G214" s="145">
        <v>68</v>
      </c>
      <c r="H214" s="145">
        <v>69</v>
      </c>
      <c r="I214" s="145">
        <f>SUM(D214:H214)</f>
        <v>370</v>
      </c>
      <c r="J214" s="145">
        <v>22</v>
      </c>
      <c r="K214" s="147" t="s">
        <v>114</v>
      </c>
      <c r="L214" s="147" t="s">
        <v>130</v>
      </c>
      <c r="M214" s="147" t="s">
        <v>115</v>
      </c>
      <c r="N214" s="147" t="s">
        <v>115</v>
      </c>
      <c r="O214" s="147" t="s">
        <v>124</v>
      </c>
      <c r="P214" s="147" t="s">
        <v>124</v>
      </c>
      <c r="Q214" s="148" t="s">
        <v>416</v>
      </c>
      <c r="R214" s="148" t="s">
        <v>132</v>
      </c>
      <c r="S214" s="148" t="s">
        <v>145</v>
      </c>
      <c r="T214" s="148" t="s">
        <v>250</v>
      </c>
      <c r="U214" s="145">
        <f>D214+E214</f>
        <v>167</v>
      </c>
      <c r="V214" s="149"/>
      <c r="W214" s="145">
        <f>D214+E214+F214</f>
        <v>233</v>
      </c>
      <c r="X214" s="149"/>
    </row>
    <row r="215" customHeight="1" spans="1:24">
      <c r="A215" s="153">
        <v>15</v>
      </c>
      <c r="B215" s="154" t="s">
        <v>463</v>
      </c>
      <c r="C215" s="144">
        <v>3</v>
      </c>
      <c r="D215" s="145">
        <v>21</v>
      </c>
      <c r="E215" s="145">
        <v>24</v>
      </c>
      <c r="F215" s="145">
        <v>79</v>
      </c>
      <c r="G215" s="145">
        <v>82</v>
      </c>
      <c r="H215" s="145">
        <v>68</v>
      </c>
      <c r="I215" s="145">
        <f>SUM(D215:H215)</f>
        <v>274</v>
      </c>
      <c r="J215" s="145">
        <v>9</v>
      </c>
      <c r="K215" s="147" t="s">
        <v>124</v>
      </c>
      <c r="L215" s="147" t="s">
        <v>124</v>
      </c>
      <c r="M215" s="147" t="s">
        <v>124</v>
      </c>
      <c r="N215" s="147" t="s">
        <v>124</v>
      </c>
      <c r="O215" s="147" t="s">
        <v>124</v>
      </c>
      <c r="P215" s="147" t="s">
        <v>124</v>
      </c>
      <c r="Q215" s="148" t="s">
        <v>316</v>
      </c>
      <c r="R215" s="148" t="s">
        <v>119</v>
      </c>
      <c r="S215" s="148" t="s">
        <v>119</v>
      </c>
      <c r="T215" s="148" t="s">
        <v>148</v>
      </c>
      <c r="U215" s="145">
        <f>D215+E215</f>
        <v>45</v>
      </c>
      <c r="V215" s="149"/>
      <c r="W215" s="145">
        <f>D215+E215+F215</f>
        <v>124</v>
      </c>
      <c r="X215" s="149"/>
    </row>
    <row r="216" customHeight="1" spans="1:24">
      <c r="A216" s="153">
        <v>339</v>
      </c>
      <c r="B216" s="154" t="s">
        <v>464</v>
      </c>
      <c r="C216" s="144">
        <v>1</v>
      </c>
      <c r="D216" s="145">
        <v>28</v>
      </c>
      <c r="E216" s="145">
        <v>32</v>
      </c>
      <c r="F216" s="145">
        <v>82</v>
      </c>
      <c r="G216" s="145">
        <v>68</v>
      </c>
      <c r="H216" s="145">
        <v>68</v>
      </c>
      <c r="I216" s="145">
        <f>SUM(D216:H216)</f>
        <v>278</v>
      </c>
      <c r="J216" s="145">
        <v>25</v>
      </c>
      <c r="K216" s="147" t="s">
        <v>124</v>
      </c>
      <c r="L216" s="147" t="s">
        <v>124</v>
      </c>
      <c r="M216" s="147" t="s">
        <v>124</v>
      </c>
      <c r="N216" s="147" t="s">
        <v>124</v>
      </c>
      <c r="O216" s="147" t="s">
        <v>124</v>
      </c>
      <c r="P216" s="147" t="s">
        <v>124</v>
      </c>
      <c r="Q216" s="148" t="s">
        <v>284</v>
      </c>
      <c r="R216" s="148" t="s">
        <v>132</v>
      </c>
      <c r="S216" s="148" t="s">
        <v>279</v>
      </c>
      <c r="T216" s="148" t="s">
        <v>250</v>
      </c>
      <c r="U216" s="145">
        <f>D216+E216</f>
        <v>60</v>
      </c>
      <c r="V216" s="149"/>
      <c r="W216" s="145">
        <f>D216+E216+F216</f>
        <v>142</v>
      </c>
      <c r="X216" s="252"/>
    </row>
    <row r="217" customHeight="1" spans="1:24">
      <c r="A217" s="153">
        <v>617</v>
      </c>
      <c r="B217" s="154" t="s">
        <v>465</v>
      </c>
      <c r="C217" s="144">
        <v>1</v>
      </c>
      <c r="D217" s="145">
        <v>23</v>
      </c>
      <c r="E217" s="145">
        <v>27</v>
      </c>
      <c r="F217" s="145">
        <v>86</v>
      </c>
      <c r="G217" s="145">
        <v>79</v>
      </c>
      <c r="H217" s="145">
        <v>68</v>
      </c>
      <c r="I217" s="145">
        <f>SUM(D217:H217)</f>
        <v>283</v>
      </c>
      <c r="J217" s="145">
        <v>102</v>
      </c>
      <c r="K217" s="147" t="s">
        <v>124</v>
      </c>
      <c r="L217" s="147" t="s">
        <v>124</v>
      </c>
      <c r="M217" s="147" t="s">
        <v>124</v>
      </c>
      <c r="N217" s="147" t="s">
        <v>124</v>
      </c>
      <c r="O217" s="147" t="s">
        <v>124</v>
      </c>
      <c r="P217" s="147" t="s">
        <v>124</v>
      </c>
      <c r="Q217" s="148" t="s">
        <v>358</v>
      </c>
      <c r="R217" s="148" t="s">
        <v>132</v>
      </c>
      <c r="S217" s="148" t="s">
        <v>133</v>
      </c>
      <c r="T217" s="148" t="s">
        <v>148</v>
      </c>
      <c r="U217" s="145">
        <f>D217+E217</f>
        <v>50</v>
      </c>
      <c r="V217" s="149"/>
      <c r="W217" s="145">
        <f>D217+E217+F217</f>
        <v>136</v>
      </c>
      <c r="X217" s="252"/>
    </row>
    <row r="218" customHeight="1" spans="1:24">
      <c r="A218" s="153">
        <v>425</v>
      </c>
      <c r="B218" s="154" t="s">
        <v>466</v>
      </c>
      <c r="C218" s="144">
        <v>7</v>
      </c>
      <c r="D218" s="145">
        <v>77</v>
      </c>
      <c r="E218" s="145">
        <v>86</v>
      </c>
      <c r="F218" s="145">
        <v>45</v>
      </c>
      <c r="G218" s="145">
        <v>53</v>
      </c>
      <c r="H218" s="145">
        <v>68</v>
      </c>
      <c r="I218" s="145">
        <f>SUM(D218:H218)</f>
        <v>329</v>
      </c>
      <c r="J218" s="145">
        <v>149</v>
      </c>
      <c r="K218" s="147" t="s">
        <v>130</v>
      </c>
      <c r="L218" s="147" t="s">
        <v>124</v>
      </c>
      <c r="M218" s="147" t="s">
        <v>114</v>
      </c>
      <c r="N218" s="147" t="s">
        <v>114</v>
      </c>
      <c r="O218" s="147" t="s">
        <v>124</v>
      </c>
      <c r="P218" s="147" t="s">
        <v>124</v>
      </c>
      <c r="Q218" s="148" t="s">
        <v>429</v>
      </c>
      <c r="R218" s="148" t="s">
        <v>118</v>
      </c>
      <c r="S218" s="148" t="s">
        <v>133</v>
      </c>
      <c r="T218" s="148" t="s">
        <v>120</v>
      </c>
      <c r="U218" s="145">
        <f>D218+E218</f>
        <v>163</v>
      </c>
      <c r="V218" s="149"/>
      <c r="W218" s="145">
        <f>D218+E218+F218</f>
        <v>208</v>
      </c>
      <c r="X218" s="149"/>
    </row>
    <row r="219" customHeight="1" spans="1:24">
      <c r="A219" s="153">
        <v>586</v>
      </c>
      <c r="B219" s="154" t="s">
        <v>467</v>
      </c>
      <c r="C219" s="144">
        <v>5</v>
      </c>
      <c r="D219" s="145">
        <v>45</v>
      </c>
      <c r="E219" s="145">
        <v>47</v>
      </c>
      <c r="F219" s="145">
        <v>89</v>
      </c>
      <c r="G219" s="145">
        <v>93</v>
      </c>
      <c r="H219" s="145">
        <v>68</v>
      </c>
      <c r="I219" s="145">
        <f>SUM(D219:H219)</f>
        <v>342</v>
      </c>
      <c r="J219" s="145">
        <v>56</v>
      </c>
      <c r="K219" s="147" t="s">
        <v>124</v>
      </c>
      <c r="L219" s="147" t="s">
        <v>124</v>
      </c>
      <c r="M219" s="147" t="s">
        <v>130</v>
      </c>
      <c r="N219" s="147" t="s">
        <v>124</v>
      </c>
      <c r="O219" s="147" t="s">
        <v>124</v>
      </c>
      <c r="P219" s="147" t="s">
        <v>130</v>
      </c>
      <c r="Q219" s="148" t="s">
        <v>386</v>
      </c>
      <c r="R219" s="148" t="s">
        <v>132</v>
      </c>
      <c r="S219" s="148" t="s">
        <v>119</v>
      </c>
      <c r="T219" s="148" t="s">
        <v>126</v>
      </c>
      <c r="U219" s="145">
        <f>D219+E219</f>
        <v>92</v>
      </c>
      <c r="V219" s="149"/>
      <c r="W219" s="145">
        <f>D219+E219+F219</f>
        <v>181</v>
      </c>
      <c r="X219" s="149"/>
    </row>
    <row r="220" customHeight="1" spans="1:24">
      <c r="A220" s="153">
        <v>213</v>
      </c>
      <c r="B220" s="154" t="s">
        <v>468</v>
      </c>
      <c r="C220" s="144">
        <v>12</v>
      </c>
      <c r="D220" s="145">
        <v>84</v>
      </c>
      <c r="E220" s="145">
        <v>76</v>
      </c>
      <c r="F220" s="145">
        <v>66</v>
      </c>
      <c r="G220" s="145">
        <v>69</v>
      </c>
      <c r="H220" s="145">
        <v>68</v>
      </c>
      <c r="I220" s="145">
        <f>SUM(D220:H220)</f>
        <v>363</v>
      </c>
      <c r="J220" s="145">
        <v>67</v>
      </c>
      <c r="K220" s="147" t="s">
        <v>114</v>
      </c>
      <c r="L220" s="147" t="s">
        <v>114</v>
      </c>
      <c r="M220" s="147" t="s">
        <v>130</v>
      </c>
      <c r="N220" s="147" t="s">
        <v>115</v>
      </c>
      <c r="O220" s="147" t="s">
        <v>124</v>
      </c>
      <c r="P220" s="147" t="s">
        <v>124</v>
      </c>
      <c r="Q220" s="148" t="s">
        <v>184</v>
      </c>
      <c r="R220" s="148" t="s">
        <v>175</v>
      </c>
      <c r="S220" s="148" t="s">
        <v>119</v>
      </c>
      <c r="T220" s="148" t="s">
        <v>120</v>
      </c>
      <c r="U220" s="145">
        <f>D220+E220</f>
        <v>160</v>
      </c>
      <c r="V220" s="149"/>
      <c r="W220" s="145">
        <f>D220+E220+F220</f>
        <v>226</v>
      </c>
      <c r="X220" s="149"/>
    </row>
    <row r="221" customHeight="1" spans="1:24">
      <c r="A221" s="153">
        <v>419</v>
      </c>
      <c r="B221" s="143" t="s">
        <v>469</v>
      </c>
      <c r="C221" s="144">
        <v>1</v>
      </c>
      <c r="D221" s="145">
        <v>54</v>
      </c>
      <c r="E221" s="145">
        <v>13</v>
      </c>
      <c r="F221" s="145">
        <v>73</v>
      </c>
      <c r="G221" s="146">
        <v>85</v>
      </c>
      <c r="H221" s="145">
        <v>67</v>
      </c>
      <c r="I221" s="145">
        <f>SUM(D221:H221)</f>
        <v>292</v>
      </c>
      <c r="J221" s="145">
        <v>121</v>
      </c>
      <c r="K221" s="147" t="s">
        <v>124</v>
      </c>
      <c r="L221" s="147" t="s">
        <v>130</v>
      </c>
      <c r="M221" s="147" t="s">
        <v>124</v>
      </c>
      <c r="N221" s="147" t="s">
        <v>124</v>
      </c>
      <c r="O221" s="147" t="s">
        <v>124</v>
      </c>
      <c r="P221" s="147" t="s">
        <v>130</v>
      </c>
      <c r="Q221" s="149"/>
      <c r="R221" s="148" t="s">
        <v>119</v>
      </c>
      <c r="S221" s="148" t="s">
        <v>119</v>
      </c>
      <c r="T221" s="148" t="s">
        <v>148</v>
      </c>
      <c r="U221" s="145">
        <f>D221+E221</f>
        <v>67</v>
      </c>
      <c r="V221" s="149"/>
      <c r="W221" s="145">
        <f>D221+E221+F221</f>
        <v>140</v>
      </c>
      <c r="X221" s="252"/>
    </row>
    <row r="222" customHeight="1" spans="1:24">
      <c r="A222" s="153">
        <v>597</v>
      </c>
      <c r="B222" s="154" t="s">
        <v>470</v>
      </c>
      <c r="C222" s="144">
        <v>3</v>
      </c>
      <c r="D222" s="145">
        <v>41</v>
      </c>
      <c r="E222" s="145">
        <v>34</v>
      </c>
      <c r="F222" s="145">
        <v>94</v>
      </c>
      <c r="G222" s="145">
        <v>71</v>
      </c>
      <c r="H222" s="145">
        <v>67</v>
      </c>
      <c r="I222" s="145">
        <f>SUM(D222:H222)</f>
        <v>307</v>
      </c>
      <c r="J222" s="145">
        <v>112</v>
      </c>
      <c r="K222" s="147" t="s">
        <v>124</v>
      </c>
      <c r="L222" s="147" t="s">
        <v>124</v>
      </c>
      <c r="M222" s="147" t="s">
        <v>124</v>
      </c>
      <c r="N222" s="147" t="s">
        <v>124</v>
      </c>
      <c r="O222" s="147" t="s">
        <v>124</v>
      </c>
      <c r="P222" s="147" t="s">
        <v>130</v>
      </c>
      <c r="Q222" s="148" t="s">
        <v>358</v>
      </c>
      <c r="R222" s="148" t="s">
        <v>132</v>
      </c>
      <c r="S222" s="148" t="s">
        <v>119</v>
      </c>
      <c r="T222" s="148" t="s">
        <v>120</v>
      </c>
      <c r="U222" s="145">
        <f>D222+E222</f>
        <v>75</v>
      </c>
      <c r="V222" s="149"/>
      <c r="W222" s="145">
        <f>D222+E222+F222</f>
        <v>169</v>
      </c>
      <c r="X222" s="149"/>
    </row>
    <row r="223" customHeight="1" spans="1:24">
      <c r="A223" s="153">
        <v>464</v>
      </c>
      <c r="B223" s="154" t="s">
        <v>471</v>
      </c>
      <c r="C223" s="144">
        <v>5</v>
      </c>
      <c r="D223" s="145">
        <v>71</v>
      </c>
      <c r="E223" s="145">
        <v>83</v>
      </c>
      <c r="F223" s="145">
        <v>39</v>
      </c>
      <c r="G223" s="145">
        <v>54</v>
      </c>
      <c r="H223" s="145">
        <v>67</v>
      </c>
      <c r="I223" s="145">
        <f>SUM(D223:H223)</f>
        <v>314</v>
      </c>
      <c r="J223" s="145">
        <v>18</v>
      </c>
      <c r="K223" s="147" t="s">
        <v>114</v>
      </c>
      <c r="L223" s="147" t="s">
        <v>130</v>
      </c>
      <c r="M223" s="147" t="s">
        <v>124</v>
      </c>
      <c r="N223" s="147" t="s">
        <v>114</v>
      </c>
      <c r="O223" s="147" t="s">
        <v>124</v>
      </c>
      <c r="P223" s="147" t="s">
        <v>124</v>
      </c>
      <c r="Q223" s="148" t="s">
        <v>472</v>
      </c>
      <c r="R223" s="148" t="s">
        <v>132</v>
      </c>
      <c r="S223" s="148" t="s">
        <v>119</v>
      </c>
      <c r="T223" s="148" t="s">
        <v>120</v>
      </c>
      <c r="U223" s="145">
        <f>D223+E223</f>
        <v>154</v>
      </c>
      <c r="V223" s="149"/>
      <c r="W223" s="145">
        <f>D223+E223+F223</f>
        <v>193</v>
      </c>
      <c r="X223" s="149"/>
    </row>
    <row r="224" customHeight="1" spans="1:24">
      <c r="A224" s="153">
        <v>424</v>
      </c>
      <c r="B224" s="154" t="s">
        <v>473</v>
      </c>
      <c r="C224" s="144">
        <v>6</v>
      </c>
      <c r="D224" s="145">
        <v>44</v>
      </c>
      <c r="E224" s="145">
        <v>28</v>
      </c>
      <c r="F224" s="145">
        <v>83</v>
      </c>
      <c r="G224" s="145">
        <v>94</v>
      </c>
      <c r="H224" s="145">
        <v>67</v>
      </c>
      <c r="I224" s="145">
        <f>SUM(D224:H224)</f>
        <v>316</v>
      </c>
      <c r="J224" s="145">
        <v>45</v>
      </c>
      <c r="K224" s="147" t="s">
        <v>124</v>
      </c>
      <c r="L224" s="147" t="s">
        <v>124</v>
      </c>
      <c r="M224" s="147" t="s">
        <v>124</v>
      </c>
      <c r="N224" s="147" t="s">
        <v>124</v>
      </c>
      <c r="O224" s="147" t="s">
        <v>124</v>
      </c>
      <c r="P224" s="147" t="s">
        <v>124</v>
      </c>
      <c r="Q224" s="148" t="s">
        <v>474</v>
      </c>
      <c r="R224" s="148" t="s">
        <v>119</v>
      </c>
      <c r="S224" s="148" t="s">
        <v>145</v>
      </c>
      <c r="T224" s="148" t="s">
        <v>126</v>
      </c>
      <c r="U224" s="145">
        <f>D224+E224</f>
        <v>72</v>
      </c>
      <c r="V224" s="149"/>
      <c r="W224" s="145">
        <f>D224+E224+F224</f>
        <v>155</v>
      </c>
      <c r="X224" s="149"/>
    </row>
    <row r="225" customHeight="1" spans="1:24">
      <c r="A225" s="153">
        <v>651</v>
      </c>
      <c r="B225" s="154" t="s">
        <v>475</v>
      </c>
      <c r="C225" s="144">
        <v>3</v>
      </c>
      <c r="D225" s="145">
        <v>45</v>
      </c>
      <c r="E225" s="145">
        <v>43</v>
      </c>
      <c r="F225" s="145">
        <v>92</v>
      </c>
      <c r="G225" s="145">
        <v>77</v>
      </c>
      <c r="H225" s="145">
        <v>67</v>
      </c>
      <c r="I225" s="145">
        <f>SUM(D225:H225)</f>
        <v>324</v>
      </c>
      <c r="J225" s="145">
        <v>75</v>
      </c>
      <c r="K225" s="147" t="s">
        <v>124</v>
      </c>
      <c r="L225" s="147" t="s">
        <v>124</v>
      </c>
      <c r="M225" s="147" t="s">
        <v>124</v>
      </c>
      <c r="N225" s="147" t="s">
        <v>124</v>
      </c>
      <c r="O225" s="147" t="s">
        <v>124</v>
      </c>
      <c r="P225" s="147" t="s">
        <v>124</v>
      </c>
      <c r="Q225" s="148" t="s">
        <v>476</v>
      </c>
      <c r="R225" s="148" t="s">
        <v>132</v>
      </c>
      <c r="S225" s="148" t="s">
        <v>119</v>
      </c>
      <c r="T225" s="148" t="s">
        <v>120</v>
      </c>
      <c r="U225" s="145">
        <f>D225+E225</f>
        <v>88</v>
      </c>
      <c r="V225" s="149"/>
      <c r="W225" s="145">
        <f>D225+E225+F225</f>
        <v>180</v>
      </c>
      <c r="X225" s="149"/>
    </row>
    <row r="226" customHeight="1" spans="1:24">
      <c r="A226" s="153">
        <v>438</v>
      </c>
      <c r="B226" s="154" t="s">
        <v>477</v>
      </c>
      <c r="C226" s="144">
        <v>8</v>
      </c>
      <c r="D226" s="145">
        <v>76</v>
      </c>
      <c r="E226" s="145">
        <v>87</v>
      </c>
      <c r="F226" s="145">
        <v>59</v>
      </c>
      <c r="G226" s="145">
        <v>57</v>
      </c>
      <c r="H226" s="145">
        <v>67</v>
      </c>
      <c r="I226" s="145">
        <f>SUM(D226:H226)</f>
        <v>346</v>
      </c>
      <c r="J226" s="145">
        <v>8</v>
      </c>
      <c r="K226" s="147" t="s">
        <v>114</v>
      </c>
      <c r="L226" s="147" t="s">
        <v>130</v>
      </c>
      <c r="M226" s="147" t="s">
        <v>130</v>
      </c>
      <c r="N226" s="147" t="s">
        <v>114</v>
      </c>
      <c r="O226" s="147" t="s">
        <v>124</v>
      </c>
      <c r="P226" s="147" t="s">
        <v>124</v>
      </c>
      <c r="Q226" s="148" t="s">
        <v>239</v>
      </c>
      <c r="R226" s="148" t="s">
        <v>132</v>
      </c>
      <c r="S226" s="148" t="s">
        <v>136</v>
      </c>
      <c r="T226" s="148" t="s">
        <v>126</v>
      </c>
      <c r="U226" s="145">
        <f>D226+E226</f>
        <v>163</v>
      </c>
      <c r="V226" s="149"/>
      <c r="W226" s="145">
        <f>D226+E226+F226</f>
        <v>222</v>
      </c>
      <c r="X226" s="149"/>
    </row>
    <row r="227" customHeight="1" spans="1:24">
      <c r="A227" s="153">
        <v>696</v>
      </c>
      <c r="B227" s="154" t="s">
        <v>478</v>
      </c>
      <c r="C227" s="144">
        <v>2</v>
      </c>
      <c r="D227" s="145">
        <v>77</v>
      </c>
      <c r="E227" s="145">
        <v>77</v>
      </c>
      <c r="F227" s="145">
        <v>79</v>
      </c>
      <c r="G227" s="145">
        <v>63</v>
      </c>
      <c r="H227" s="145">
        <v>67</v>
      </c>
      <c r="I227" s="145">
        <f>SUM(D227:H227)</f>
        <v>363</v>
      </c>
      <c r="J227" s="145">
        <v>90</v>
      </c>
      <c r="K227" s="147" t="s">
        <v>114</v>
      </c>
      <c r="L227" s="147" t="s">
        <v>114</v>
      </c>
      <c r="M227" s="147" t="s">
        <v>130</v>
      </c>
      <c r="N227" s="147" t="s">
        <v>130</v>
      </c>
      <c r="O227" s="147" t="s">
        <v>124</v>
      </c>
      <c r="P227" s="147" t="s">
        <v>115</v>
      </c>
      <c r="Q227" s="149"/>
      <c r="R227" s="148" t="s">
        <v>132</v>
      </c>
      <c r="S227" s="148" t="s">
        <v>119</v>
      </c>
      <c r="T227" s="148" t="s">
        <v>120</v>
      </c>
      <c r="U227" s="145">
        <f>D227+E227</f>
        <v>154</v>
      </c>
      <c r="V227" s="149"/>
      <c r="W227" s="145">
        <f>D227+E227+F227</f>
        <v>233</v>
      </c>
      <c r="X227" s="149"/>
    </row>
    <row r="228" customHeight="1" spans="1:24">
      <c r="A228" s="153">
        <v>73</v>
      </c>
      <c r="B228" s="154" t="s">
        <v>479</v>
      </c>
      <c r="C228" s="144">
        <v>7</v>
      </c>
      <c r="D228" s="145">
        <v>63</v>
      </c>
      <c r="E228" s="145">
        <v>74</v>
      </c>
      <c r="F228" s="145">
        <v>86</v>
      </c>
      <c r="G228" s="145">
        <v>105</v>
      </c>
      <c r="H228" s="145">
        <v>67</v>
      </c>
      <c r="I228" s="145">
        <f>SUM(D228:H228)</f>
        <v>395</v>
      </c>
      <c r="J228" s="145">
        <v>0</v>
      </c>
      <c r="K228" s="147" t="s">
        <v>124</v>
      </c>
      <c r="L228" s="147" t="s">
        <v>130</v>
      </c>
      <c r="M228" s="147" t="s">
        <v>114</v>
      </c>
      <c r="N228" s="147" t="s">
        <v>124</v>
      </c>
      <c r="O228" s="147" t="s">
        <v>124</v>
      </c>
      <c r="P228" s="147" t="s">
        <v>124</v>
      </c>
      <c r="Q228" s="148" t="s">
        <v>474</v>
      </c>
      <c r="R228" s="148" t="s">
        <v>119</v>
      </c>
      <c r="S228" s="148" t="s">
        <v>145</v>
      </c>
      <c r="T228" s="148" t="s">
        <v>126</v>
      </c>
      <c r="U228" s="145">
        <f>D228+E228</f>
        <v>137</v>
      </c>
      <c r="V228" s="149"/>
      <c r="W228" s="145">
        <f>D228+E228+F228</f>
        <v>223</v>
      </c>
      <c r="X228" s="149"/>
    </row>
    <row r="229" customHeight="1" spans="1:24">
      <c r="A229" s="153">
        <v>548</v>
      </c>
      <c r="B229" s="154" t="s">
        <v>480</v>
      </c>
      <c r="C229" s="144">
        <v>14</v>
      </c>
      <c r="D229" s="145">
        <v>41</v>
      </c>
      <c r="E229" s="145">
        <v>41</v>
      </c>
      <c r="F229" s="145">
        <v>74</v>
      </c>
      <c r="G229" s="145">
        <v>87</v>
      </c>
      <c r="H229" s="145">
        <v>66</v>
      </c>
      <c r="I229" s="145">
        <f>SUM(D229:H229)</f>
        <v>309</v>
      </c>
      <c r="J229" s="145">
        <v>92</v>
      </c>
      <c r="K229" s="147" t="s">
        <v>124</v>
      </c>
      <c r="L229" s="147" t="s">
        <v>124</v>
      </c>
      <c r="M229" s="147" t="s">
        <v>124</v>
      </c>
      <c r="N229" s="147" t="s">
        <v>124</v>
      </c>
      <c r="O229" s="147" t="s">
        <v>124</v>
      </c>
      <c r="P229" s="147" t="s">
        <v>124</v>
      </c>
      <c r="Q229" s="148" t="s">
        <v>292</v>
      </c>
      <c r="R229" s="148" t="s">
        <v>132</v>
      </c>
      <c r="S229" s="148" t="s">
        <v>119</v>
      </c>
      <c r="T229" s="148" t="s">
        <v>120</v>
      </c>
      <c r="U229" s="145">
        <f>D229+E229</f>
        <v>82</v>
      </c>
      <c r="V229" s="149"/>
      <c r="W229" s="145">
        <f>D229+E229+F229</f>
        <v>156</v>
      </c>
      <c r="X229" s="149"/>
    </row>
    <row r="230" customHeight="1" spans="1:24">
      <c r="A230" s="153">
        <v>178</v>
      </c>
      <c r="B230" s="154" t="s">
        <v>481</v>
      </c>
      <c r="C230" s="144">
        <v>10</v>
      </c>
      <c r="D230" s="145">
        <v>47</v>
      </c>
      <c r="E230" s="145">
        <v>37</v>
      </c>
      <c r="F230" s="145">
        <v>78</v>
      </c>
      <c r="G230" s="145">
        <v>94</v>
      </c>
      <c r="H230" s="145">
        <v>66</v>
      </c>
      <c r="I230" s="145">
        <f>SUM(D230:H230)</f>
        <v>322</v>
      </c>
      <c r="J230" s="145">
        <v>76</v>
      </c>
      <c r="K230" s="147" t="s">
        <v>124</v>
      </c>
      <c r="L230" s="147" t="s">
        <v>124</v>
      </c>
      <c r="M230" s="147" t="s">
        <v>124</v>
      </c>
      <c r="N230" s="147" t="s">
        <v>124</v>
      </c>
      <c r="O230" s="147" t="s">
        <v>124</v>
      </c>
      <c r="P230" s="147" t="s">
        <v>124</v>
      </c>
      <c r="Q230" s="148" t="s">
        <v>302</v>
      </c>
      <c r="R230" s="148" t="s">
        <v>132</v>
      </c>
      <c r="S230" s="148" t="s">
        <v>119</v>
      </c>
      <c r="T230" s="148" t="s">
        <v>120</v>
      </c>
      <c r="U230" s="145">
        <f>D230+E230</f>
        <v>84</v>
      </c>
      <c r="V230" s="149"/>
      <c r="W230" s="145">
        <f>D230+E230+F230</f>
        <v>162</v>
      </c>
      <c r="X230" s="149"/>
    </row>
    <row r="231" customHeight="1" spans="1:24">
      <c r="A231" s="153">
        <v>355</v>
      </c>
      <c r="B231" s="154" t="s">
        <v>482</v>
      </c>
      <c r="C231" s="144">
        <v>12</v>
      </c>
      <c r="D231" s="145">
        <v>60</v>
      </c>
      <c r="E231" s="145">
        <v>70</v>
      </c>
      <c r="F231" s="145">
        <v>52</v>
      </c>
      <c r="G231" s="145">
        <v>78</v>
      </c>
      <c r="H231" s="145">
        <v>66</v>
      </c>
      <c r="I231" s="145">
        <f>SUM(D231:H231)</f>
        <v>326</v>
      </c>
      <c r="J231" s="145">
        <v>134</v>
      </c>
      <c r="K231" s="147" t="s">
        <v>130</v>
      </c>
      <c r="L231" s="147" t="s">
        <v>124</v>
      </c>
      <c r="M231" s="147" t="s">
        <v>130</v>
      </c>
      <c r="N231" s="147" t="s">
        <v>130</v>
      </c>
      <c r="O231" s="147" t="s">
        <v>124</v>
      </c>
      <c r="P231" s="147" t="s">
        <v>130</v>
      </c>
      <c r="Q231" s="148" t="s">
        <v>483</v>
      </c>
      <c r="R231" s="148" t="s">
        <v>175</v>
      </c>
      <c r="S231" s="148" t="s">
        <v>119</v>
      </c>
      <c r="T231" s="148" t="s">
        <v>148</v>
      </c>
      <c r="U231" s="145">
        <f>D231+E231</f>
        <v>130</v>
      </c>
      <c r="V231" s="149"/>
      <c r="W231" s="145">
        <f>D231+E231+F231</f>
        <v>182</v>
      </c>
      <c r="X231" s="149"/>
    </row>
    <row r="232" customHeight="1" spans="1:24">
      <c r="A232" s="153">
        <v>88</v>
      </c>
      <c r="B232" s="154" t="s">
        <v>484</v>
      </c>
      <c r="C232" s="144">
        <v>2</v>
      </c>
      <c r="D232" s="145">
        <v>46</v>
      </c>
      <c r="E232" s="145">
        <v>50</v>
      </c>
      <c r="F232" s="145">
        <v>87</v>
      </c>
      <c r="G232" s="145">
        <v>81</v>
      </c>
      <c r="H232" s="145">
        <v>66</v>
      </c>
      <c r="I232" s="145">
        <f>SUM(D232:H232)</f>
        <v>330</v>
      </c>
      <c r="J232" s="145">
        <v>23</v>
      </c>
      <c r="K232" s="147" t="s">
        <v>124</v>
      </c>
      <c r="L232" s="147" t="s">
        <v>124</v>
      </c>
      <c r="M232" s="147" t="s">
        <v>124</v>
      </c>
      <c r="N232" s="147" t="s">
        <v>124</v>
      </c>
      <c r="O232" s="147" t="s">
        <v>124</v>
      </c>
      <c r="P232" s="147" t="s">
        <v>124</v>
      </c>
      <c r="Q232" s="148" t="s">
        <v>165</v>
      </c>
      <c r="R232" s="148" t="s">
        <v>132</v>
      </c>
      <c r="S232" s="148" t="s">
        <v>136</v>
      </c>
      <c r="T232" s="148" t="s">
        <v>148</v>
      </c>
      <c r="U232" s="145">
        <f>D232+E232</f>
        <v>96</v>
      </c>
      <c r="V232" s="149"/>
      <c r="W232" s="145">
        <f>D232+E232+F232</f>
        <v>183</v>
      </c>
      <c r="X232" s="149"/>
    </row>
    <row r="233" customHeight="1" spans="1:24">
      <c r="A233" s="153">
        <v>131</v>
      </c>
      <c r="B233" s="154" t="s">
        <v>485</v>
      </c>
      <c r="C233" s="144">
        <v>12</v>
      </c>
      <c r="D233" s="145">
        <v>89</v>
      </c>
      <c r="E233" s="145">
        <v>81</v>
      </c>
      <c r="F233" s="145">
        <v>63</v>
      </c>
      <c r="G233" s="145">
        <v>34</v>
      </c>
      <c r="H233" s="145">
        <v>66</v>
      </c>
      <c r="I233" s="145">
        <f>SUM(D233:H233)</f>
        <v>333</v>
      </c>
      <c r="J233" s="145">
        <v>81</v>
      </c>
      <c r="K233" s="147" t="s">
        <v>115</v>
      </c>
      <c r="L233" s="147" t="s">
        <v>114</v>
      </c>
      <c r="M233" s="147" t="s">
        <v>130</v>
      </c>
      <c r="N233" s="147" t="s">
        <v>114</v>
      </c>
      <c r="O233" s="147" t="s">
        <v>124</v>
      </c>
      <c r="P233" s="147" t="s">
        <v>130</v>
      </c>
      <c r="Q233" s="148" t="s">
        <v>486</v>
      </c>
      <c r="R233" s="148" t="s">
        <v>119</v>
      </c>
      <c r="S233" s="148" t="s">
        <v>119</v>
      </c>
      <c r="T233" s="148" t="s">
        <v>126</v>
      </c>
      <c r="U233" s="145">
        <f>D233+E233</f>
        <v>170</v>
      </c>
      <c r="V233" s="149"/>
      <c r="W233" s="145">
        <f>D233+E233+F233</f>
        <v>233</v>
      </c>
      <c r="X233" s="149"/>
    </row>
    <row r="234" customHeight="1" spans="1:24">
      <c r="A234" s="153">
        <v>405</v>
      </c>
      <c r="B234" s="154" t="s">
        <v>487</v>
      </c>
      <c r="C234" s="144">
        <v>9</v>
      </c>
      <c r="D234" s="145">
        <v>75</v>
      </c>
      <c r="E234" s="145">
        <v>87</v>
      </c>
      <c r="F234" s="145">
        <v>64</v>
      </c>
      <c r="G234" s="145">
        <v>65</v>
      </c>
      <c r="H234" s="145">
        <v>66</v>
      </c>
      <c r="I234" s="145">
        <f>SUM(D234:H234)</f>
        <v>357</v>
      </c>
      <c r="J234" s="145">
        <v>145</v>
      </c>
      <c r="K234" s="147" t="s">
        <v>114</v>
      </c>
      <c r="L234" s="147" t="s">
        <v>130</v>
      </c>
      <c r="M234" s="147" t="s">
        <v>115</v>
      </c>
      <c r="N234" s="147" t="s">
        <v>114</v>
      </c>
      <c r="O234" s="147" t="s">
        <v>124</v>
      </c>
      <c r="P234" s="147" t="s">
        <v>124</v>
      </c>
      <c r="Q234" s="148" t="s">
        <v>253</v>
      </c>
      <c r="R234" s="148" t="s">
        <v>175</v>
      </c>
      <c r="S234" s="148" t="s">
        <v>136</v>
      </c>
      <c r="T234" s="148" t="s">
        <v>126</v>
      </c>
      <c r="U234" s="145">
        <f>D234+E234</f>
        <v>162</v>
      </c>
      <c r="V234" s="149"/>
      <c r="W234" s="145">
        <f>D234+E234+F234</f>
        <v>226</v>
      </c>
      <c r="X234" s="149"/>
    </row>
    <row r="235" customHeight="1" spans="1:24">
      <c r="A235" s="153">
        <v>347</v>
      </c>
      <c r="B235" s="154" t="s">
        <v>488</v>
      </c>
      <c r="C235" s="144">
        <v>2</v>
      </c>
      <c r="D235" s="145">
        <v>61</v>
      </c>
      <c r="E235" s="145">
        <v>74</v>
      </c>
      <c r="F235" s="145">
        <v>77</v>
      </c>
      <c r="G235" s="145">
        <v>81</v>
      </c>
      <c r="H235" s="145">
        <v>66</v>
      </c>
      <c r="I235" s="145">
        <f>SUM(D235:H235)</f>
        <v>359</v>
      </c>
      <c r="J235" s="145">
        <v>25</v>
      </c>
      <c r="K235" s="147" t="s">
        <v>130</v>
      </c>
      <c r="L235" s="147" t="s">
        <v>130</v>
      </c>
      <c r="M235" s="147" t="s">
        <v>130</v>
      </c>
      <c r="N235" s="147" t="s">
        <v>130</v>
      </c>
      <c r="O235" s="147" t="s">
        <v>124</v>
      </c>
      <c r="P235" s="147" t="s">
        <v>130</v>
      </c>
      <c r="Q235" s="148" t="s">
        <v>314</v>
      </c>
      <c r="R235" s="148" t="s">
        <v>119</v>
      </c>
      <c r="S235" s="148" t="s">
        <v>145</v>
      </c>
      <c r="T235" s="148" t="s">
        <v>120</v>
      </c>
      <c r="U235" s="145">
        <f>D235+E235</f>
        <v>135</v>
      </c>
      <c r="V235" s="149"/>
      <c r="W235" s="145">
        <f>D235+E235+F235</f>
        <v>212</v>
      </c>
      <c r="X235" s="149"/>
    </row>
    <row r="236" customHeight="1" spans="1:24">
      <c r="A236" s="153">
        <v>165</v>
      </c>
      <c r="B236" s="156" t="s">
        <v>489</v>
      </c>
      <c r="C236" s="144">
        <v>18</v>
      </c>
      <c r="D236" s="145">
        <v>86</v>
      </c>
      <c r="E236" s="145">
        <v>93</v>
      </c>
      <c r="F236" s="145">
        <v>61</v>
      </c>
      <c r="G236" s="145">
        <v>60</v>
      </c>
      <c r="H236" s="145">
        <v>66</v>
      </c>
      <c r="I236" s="145">
        <f>SUM(D236:H236)</f>
        <v>366</v>
      </c>
      <c r="J236" s="145">
        <v>59</v>
      </c>
      <c r="K236" s="147" t="s">
        <v>115</v>
      </c>
      <c r="L236" s="147" t="s">
        <v>114</v>
      </c>
      <c r="M236" s="147" t="s">
        <v>115</v>
      </c>
      <c r="N236" s="147" t="s">
        <v>114</v>
      </c>
      <c r="O236" s="147" t="s">
        <v>124</v>
      </c>
      <c r="P236" s="147" t="s">
        <v>124</v>
      </c>
      <c r="Q236" s="148" t="s">
        <v>490</v>
      </c>
      <c r="R236" s="148" t="s">
        <v>119</v>
      </c>
      <c r="S236" s="148" t="s">
        <v>136</v>
      </c>
      <c r="T236" s="148" t="s">
        <v>120</v>
      </c>
      <c r="U236" s="145">
        <f>D236+E236</f>
        <v>179</v>
      </c>
      <c r="V236" s="149"/>
      <c r="W236" s="145">
        <f>D236+E236+F236</f>
        <v>240</v>
      </c>
      <c r="X236" s="149"/>
    </row>
    <row r="237" customHeight="1" spans="1:24">
      <c r="A237" s="153">
        <v>153</v>
      </c>
      <c r="B237" s="154" t="s">
        <v>491</v>
      </c>
      <c r="C237" s="144">
        <v>1</v>
      </c>
      <c r="D237" s="145">
        <v>14</v>
      </c>
      <c r="E237" s="145">
        <v>17</v>
      </c>
      <c r="F237" s="145">
        <v>74</v>
      </c>
      <c r="G237" s="145">
        <v>84</v>
      </c>
      <c r="H237" s="145">
        <v>65</v>
      </c>
      <c r="I237" s="145">
        <f>SUM(D237:H237)</f>
        <v>254</v>
      </c>
      <c r="J237" s="145">
        <v>79</v>
      </c>
      <c r="K237" s="147" t="s">
        <v>124</v>
      </c>
      <c r="L237" s="147" t="s">
        <v>124</v>
      </c>
      <c r="M237" s="147" t="s">
        <v>124</v>
      </c>
      <c r="N237" s="147" t="s">
        <v>124</v>
      </c>
      <c r="O237" s="147" t="s">
        <v>124</v>
      </c>
      <c r="P237" s="147" t="s">
        <v>124</v>
      </c>
      <c r="Q237" s="148" t="s">
        <v>342</v>
      </c>
      <c r="R237" s="148" t="s">
        <v>132</v>
      </c>
      <c r="S237" s="148" t="s">
        <v>119</v>
      </c>
      <c r="T237" s="148" t="s">
        <v>120</v>
      </c>
      <c r="U237" s="145">
        <f>D237+E237</f>
        <v>31</v>
      </c>
      <c r="V237" s="149"/>
      <c r="W237" s="145">
        <f>D237+E237+F237</f>
        <v>105</v>
      </c>
      <c r="X237" s="252"/>
    </row>
    <row r="238" customHeight="1" spans="1:24">
      <c r="A238" s="153">
        <v>246</v>
      </c>
      <c r="B238" s="154" t="s">
        <v>492</v>
      </c>
      <c r="C238" s="144">
        <v>4</v>
      </c>
      <c r="D238" s="145">
        <v>43</v>
      </c>
      <c r="E238" s="145">
        <v>21</v>
      </c>
      <c r="F238" s="145">
        <v>68</v>
      </c>
      <c r="G238" s="145">
        <v>82</v>
      </c>
      <c r="H238" s="145">
        <v>65</v>
      </c>
      <c r="I238" s="145">
        <f>SUM(D238:H238)</f>
        <v>279</v>
      </c>
      <c r="J238" s="145">
        <v>123</v>
      </c>
      <c r="K238" s="147" t="s">
        <v>124</v>
      </c>
      <c r="L238" s="147" t="s">
        <v>124</v>
      </c>
      <c r="M238" s="147" t="s">
        <v>124</v>
      </c>
      <c r="N238" s="147" t="s">
        <v>124</v>
      </c>
      <c r="O238" s="147" t="s">
        <v>124</v>
      </c>
      <c r="P238" s="147" t="s">
        <v>124</v>
      </c>
      <c r="Q238" s="148" t="s">
        <v>170</v>
      </c>
      <c r="R238" s="148" t="s">
        <v>132</v>
      </c>
      <c r="S238" s="148" t="s">
        <v>133</v>
      </c>
      <c r="T238" s="148" t="s">
        <v>148</v>
      </c>
      <c r="U238" s="145">
        <f>D238+E238</f>
        <v>64</v>
      </c>
      <c r="V238" s="149"/>
      <c r="W238" s="145">
        <f>D238+E238+F238</f>
        <v>132</v>
      </c>
      <c r="X238" s="149"/>
    </row>
    <row r="239" customHeight="1" spans="1:24">
      <c r="A239" s="153">
        <v>798</v>
      </c>
      <c r="B239" s="154" t="s">
        <v>493</v>
      </c>
      <c r="C239" s="144">
        <v>1</v>
      </c>
      <c r="D239" s="145">
        <v>37</v>
      </c>
      <c r="E239" s="145">
        <v>40</v>
      </c>
      <c r="F239" s="145">
        <v>80</v>
      </c>
      <c r="G239" s="145">
        <v>84</v>
      </c>
      <c r="H239" s="145">
        <v>65</v>
      </c>
      <c r="I239" s="145">
        <f>SUM(D239:H239)</f>
        <v>306</v>
      </c>
      <c r="J239" s="145">
        <v>133</v>
      </c>
      <c r="K239" s="147" t="s">
        <v>124</v>
      </c>
      <c r="L239" s="147" t="s">
        <v>124</v>
      </c>
      <c r="M239" s="147" t="s">
        <v>124</v>
      </c>
      <c r="N239" s="147" t="s">
        <v>124</v>
      </c>
      <c r="O239" s="147" t="s">
        <v>124</v>
      </c>
      <c r="P239" s="147" t="s">
        <v>124</v>
      </c>
      <c r="Q239" s="148" t="s">
        <v>205</v>
      </c>
      <c r="R239" s="148" t="s">
        <v>119</v>
      </c>
      <c r="S239" s="148" t="s">
        <v>119</v>
      </c>
      <c r="T239" s="148" t="s">
        <v>120</v>
      </c>
      <c r="U239" s="145">
        <f>D239+E239</f>
        <v>77</v>
      </c>
      <c r="V239" s="149"/>
      <c r="W239" s="145">
        <f>D239+E239+F239</f>
        <v>157</v>
      </c>
      <c r="X239" s="252"/>
    </row>
    <row r="240" customHeight="1" spans="1:24">
      <c r="A240" s="153">
        <v>49</v>
      </c>
      <c r="B240" s="154" t="s">
        <v>494</v>
      </c>
      <c r="C240" s="144">
        <v>6</v>
      </c>
      <c r="D240" s="145">
        <v>48</v>
      </c>
      <c r="E240" s="145">
        <v>48</v>
      </c>
      <c r="F240" s="145">
        <v>77</v>
      </c>
      <c r="G240" s="145">
        <v>77</v>
      </c>
      <c r="H240" s="145">
        <v>65</v>
      </c>
      <c r="I240" s="145">
        <f>SUM(D240:H240)</f>
        <v>315</v>
      </c>
      <c r="J240" s="145">
        <v>22</v>
      </c>
      <c r="K240" s="147" t="s">
        <v>124</v>
      </c>
      <c r="L240" s="147" t="s">
        <v>130</v>
      </c>
      <c r="M240" s="147" t="s">
        <v>124</v>
      </c>
      <c r="N240" s="147" t="s">
        <v>124</v>
      </c>
      <c r="O240" s="147" t="s">
        <v>124</v>
      </c>
      <c r="P240" s="147" t="s">
        <v>124</v>
      </c>
      <c r="Q240" s="148" t="s">
        <v>294</v>
      </c>
      <c r="R240" s="148" t="s">
        <v>118</v>
      </c>
      <c r="S240" s="148" t="s">
        <v>119</v>
      </c>
      <c r="T240" s="148" t="s">
        <v>120</v>
      </c>
      <c r="U240" s="145">
        <f>D240+E240</f>
        <v>96</v>
      </c>
      <c r="V240" s="149"/>
      <c r="W240" s="145">
        <f>D240+E240+F240</f>
        <v>173</v>
      </c>
      <c r="X240" s="149"/>
    </row>
    <row r="241" customHeight="1" spans="1:24">
      <c r="A241" s="153">
        <v>46</v>
      </c>
      <c r="B241" s="154" t="s">
        <v>495</v>
      </c>
      <c r="C241" s="144">
        <v>15</v>
      </c>
      <c r="D241" s="145">
        <v>56</v>
      </c>
      <c r="E241" s="145">
        <v>41</v>
      </c>
      <c r="F241" s="145">
        <v>73</v>
      </c>
      <c r="G241" s="145">
        <v>99</v>
      </c>
      <c r="H241" s="145">
        <v>65</v>
      </c>
      <c r="I241" s="145">
        <f>SUM(D241:H241)</f>
        <v>334</v>
      </c>
      <c r="J241" s="145">
        <v>19</v>
      </c>
      <c r="K241" s="147" t="s">
        <v>124</v>
      </c>
      <c r="L241" s="147" t="s">
        <v>130</v>
      </c>
      <c r="M241" s="147" t="s">
        <v>114</v>
      </c>
      <c r="N241" s="147" t="s">
        <v>124</v>
      </c>
      <c r="O241" s="147" t="s">
        <v>124</v>
      </c>
      <c r="P241" s="147" t="s">
        <v>124</v>
      </c>
      <c r="Q241" s="148" t="s">
        <v>362</v>
      </c>
      <c r="R241" s="148" t="s">
        <v>132</v>
      </c>
      <c r="S241" s="148" t="s">
        <v>119</v>
      </c>
      <c r="T241" s="148" t="s">
        <v>120</v>
      </c>
      <c r="U241" s="145">
        <f>D241+E241</f>
        <v>97</v>
      </c>
      <c r="V241" s="149"/>
      <c r="W241" s="145">
        <f>D241+E241+F241</f>
        <v>170</v>
      </c>
      <c r="X241" s="149"/>
    </row>
    <row r="242" customHeight="1" spans="1:24">
      <c r="A242" s="153">
        <v>152</v>
      </c>
      <c r="B242" s="156" t="s">
        <v>496</v>
      </c>
      <c r="C242" s="144">
        <v>16</v>
      </c>
      <c r="D242" s="145">
        <v>89</v>
      </c>
      <c r="E242" s="145">
        <v>91</v>
      </c>
      <c r="F242" s="145">
        <v>72</v>
      </c>
      <c r="G242" s="145">
        <v>72</v>
      </c>
      <c r="H242" s="145">
        <v>65</v>
      </c>
      <c r="I242" s="145">
        <f>SUM(D242:H242)</f>
        <v>389</v>
      </c>
      <c r="J242" s="145">
        <v>13</v>
      </c>
      <c r="K242" s="147" t="s">
        <v>115</v>
      </c>
      <c r="L242" s="147" t="s">
        <v>114</v>
      </c>
      <c r="M242" s="147" t="s">
        <v>114</v>
      </c>
      <c r="N242" s="147" t="s">
        <v>114</v>
      </c>
      <c r="O242" s="147" t="s">
        <v>124</v>
      </c>
      <c r="P242" s="147" t="s">
        <v>124</v>
      </c>
      <c r="Q242" s="148" t="s">
        <v>220</v>
      </c>
      <c r="R242" s="148" t="s">
        <v>132</v>
      </c>
      <c r="S242" s="148" t="s">
        <v>119</v>
      </c>
      <c r="T242" s="148" t="s">
        <v>120</v>
      </c>
      <c r="U242" s="145">
        <f>D242+E242</f>
        <v>180</v>
      </c>
      <c r="V242" s="149"/>
      <c r="W242" s="145">
        <f>D242+E242+F242</f>
        <v>252</v>
      </c>
      <c r="X242" s="149"/>
    </row>
    <row r="243" customHeight="1" spans="1:24">
      <c r="A243" s="153">
        <v>457</v>
      </c>
      <c r="B243" s="154" t="s">
        <v>497</v>
      </c>
      <c r="C243" s="144">
        <v>1</v>
      </c>
      <c r="D243" s="145">
        <v>25</v>
      </c>
      <c r="E243" s="145">
        <v>16</v>
      </c>
      <c r="F243" s="145">
        <v>84</v>
      </c>
      <c r="G243" s="145">
        <v>79</v>
      </c>
      <c r="H243" s="145">
        <v>64</v>
      </c>
      <c r="I243" s="145">
        <f>SUM(D243:H243)</f>
        <v>268</v>
      </c>
      <c r="J243" s="145">
        <v>13</v>
      </c>
      <c r="K243" s="147" t="s">
        <v>124</v>
      </c>
      <c r="L243" s="147" t="s">
        <v>124</v>
      </c>
      <c r="M243" s="147" t="s">
        <v>124</v>
      </c>
      <c r="N243" s="147" t="s">
        <v>124</v>
      </c>
      <c r="O243" s="147" t="s">
        <v>124</v>
      </c>
      <c r="P243" s="147" t="s">
        <v>124</v>
      </c>
      <c r="Q243" s="148" t="s">
        <v>314</v>
      </c>
      <c r="R243" s="148" t="s">
        <v>119</v>
      </c>
      <c r="S243" s="148" t="s">
        <v>119</v>
      </c>
      <c r="T243" s="148" t="s">
        <v>148</v>
      </c>
      <c r="U243" s="145">
        <f>D243+E243</f>
        <v>41</v>
      </c>
      <c r="V243" s="149"/>
      <c r="W243" s="145">
        <f>D243+E243+F243</f>
        <v>125</v>
      </c>
      <c r="X243" s="149"/>
    </row>
    <row r="244" customHeight="1" spans="1:24">
      <c r="A244" s="153">
        <v>120</v>
      </c>
      <c r="B244" s="154" t="s">
        <v>498</v>
      </c>
      <c r="C244" s="144">
        <v>3</v>
      </c>
      <c r="D244" s="145">
        <v>15</v>
      </c>
      <c r="E244" s="145">
        <v>33</v>
      </c>
      <c r="F244" s="145">
        <v>93</v>
      </c>
      <c r="G244" s="145">
        <v>81</v>
      </c>
      <c r="H244" s="145">
        <v>64</v>
      </c>
      <c r="I244" s="145">
        <f>SUM(D244:H244)</f>
        <v>286</v>
      </c>
      <c r="J244" s="145">
        <v>6</v>
      </c>
      <c r="K244" s="147" t="s">
        <v>124</v>
      </c>
      <c r="L244" s="147" t="s">
        <v>124</v>
      </c>
      <c r="M244" s="147" t="s">
        <v>124</v>
      </c>
      <c r="N244" s="147" t="s">
        <v>124</v>
      </c>
      <c r="O244" s="147" t="s">
        <v>124</v>
      </c>
      <c r="P244" s="147" t="s">
        <v>124</v>
      </c>
      <c r="Q244" s="148" t="s">
        <v>499</v>
      </c>
      <c r="R244" s="148" t="s">
        <v>132</v>
      </c>
      <c r="S244" s="148" t="s">
        <v>119</v>
      </c>
      <c r="T244" s="148" t="s">
        <v>126</v>
      </c>
      <c r="U244" s="145">
        <f>D244+E244</f>
        <v>48</v>
      </c>
      <c r="V244" s="149"/>
      <c r="W244" s="145">
        <f>D244+E244+F244</f>
        <v>141</v>
      </c>
      <c r="X244" s="149"/>
    </row>
    <row r="245" customHeight="1" spans="1:24">
      <c r="A245" s="153">
        <v>329</v>
      </c>
      <c r="B245" s="154" t="s">
        <v>500</v>
      </c>
      <c r="C245" s="144">
        <v>1</v>
      </c>
      <c r="D245" s="145">
        <v>61</v>
      </c>
      <c r="E245" s="145">
        <v>45</v>
      </c>
      <c r="F245" s="145">
        <v>70</v>
      </c>
      <c r="G245" s="145">
        <v>81</v>
      </c>
      <c r="H245" s="145">
        <v>64</v>
      </c>
      <c r="I245" s="145">
        <f>SUM(D245:H245)</f>
        <v>321</v>
      </c>
      <c r="J245" s="145">
        <v>63</v>
      </c>
      <c r="K245" s="147" t="s">
        <v>130</v>
      </c>
      <c r="L245" s="147" t="s">
        <v>130</v>
      </c>
      <c r="M245" s="147" t="s">
        <v>130</v>
      </c>
      <c r="N245" s="147" t="s">
        <v>124</v>
      </c>
      <c r="O245" s="147" t="s">
        <v>124</v>
      </c>
      <c r="P245" s="147" t="s">
        <v>114</v>
      </c>
      <c r="Q245" s="148" t="s">
        <v>365</v>
      </c>
      <c r="R245" s="148" t="s">
        <v>132</v>
      </c>
      <c r="S245" s="148" t="s">
        <v>119</v>
      </c>
      <c r="T245" s="148" t="s">
        <v>148</v>
      </c>
      <c r="U245" s="145">
        <f>D245+E245</f>
        <v>106</v>
      </c>
      <c r="V245" s="149"/>
      <c r="W245" s="145">
        <f>D245+E245+F245</f>
        <v>176</v>
      </c>
      <c r="X245" s="252"/>
    </row>
    <row r="246" customHeight="1" spans="1:24">
      <c r="A246" s="153">
        <v>382</v>
      </c>
      <c r="B246" s="143" t="s">
        <v>501</v>
      </c>
      <c r="C246" s="144">
        <v>1</v>
      </c>
      <c r="D246" s="145">
        <v>59</v>
      </c>
      <c r="E246" s="145">
        <v>64</v>
      </c>
      <c r="F246" s="145">
        <v>72</v>
      </c>
      <c r="G246" s="145">
        <v>85</v>
      </c>
      <c r="H246" s="145">
        <v>64</v>
      </c>
      <c r="I246" s="145">
        <f>SUM(D246:H246)</f>
        <v>344</v>
      </c>
      <c r="J246" s="145">
        <v>144</v>
      </c>
      <c r="K246" s="147" t="s">
        <v>124</v>
      </c>
      <c r="L246" s="147" t="s">
        <v>124</v>
      </c>
      <c r="M246" s="147" t="s">
        <v>124</v>
      </c>
      <c r="N246" s="147" t="s">
        <v>130</v>
      </c>
      <c r="O246" s="147" t="s">
        <v>124</v>
      </c>
      <c r="P246" s="147" t="s">
        <v>124</v>
      </c>
      <c r="Q246" s="149"/>
      <c r="R246" s="148" t="s">
        <v>132</v>
      </c>
      <c r="S246" s="148" t="s">
        <v>119</v>
      </c>
      <c r="T246" s="148" t="s">
        <v>120</v>
      </c>
      <c r="U246" s="145">
        <f>D246+E246</f>
        <v>123</v>
      </c>
      <c r="V246" s="149"/>
      <c r="W246" s="145">
        <f>D246+E246+F246</f>
        <v>195</v>
      </c>
      <c r="X246" s="149"/>
    </row>
    <row r="247" customHeight="1" spans="1:24">
      <c r="A247" s="153">
        <v>107</v>
      </c>
      <c r="B247" s="154" t="s">
        <v>502</v>
      </c>
      <c r="C247" s="144">
        <v>6</v>
      </c>
      <c r="D247" s="145">
        <v>31</v>
      </c>
      <c r="E247" s="145">
        <v>36</v>
      </c>
      <c r="F247" s="145">
        <v>97</v>
      </c>
      <c r="G247" s="145">
        <v>91</v>
      </c>
      <c r="H247" s="145">
        <v>63</v>
      </c>
      <c r="I247" s="145">
        <f>SUM(D247:H247)</f>
        <v>318</v>
      </c>
      <c r="J247" s="145">
        <v>117</v>
      </c>
      <c r="K247" s="147" t="s">
        <v>124</v>
      </c>
      <c r="L247" s="147" t="s">
        <v>124</v>
      </c>
      <c r="M247" s="147" t="s">
        <v>124</v>
      </c>
      <c r="N247" s="147" t="s">
        <v>124</v>
      </c>
      <c r="O247" s="147" t="s">
        <v>124</v>
      </c>
      <c r="P247" s="147" t="s">
        <v>124</v>
      </c>
      <c r="Q247" s="148" t="s">
        <v>503</v>
      </c>
      <c r="R247" s="148" t="s">
        <v>132</v>
      </c>
      <c r="S247" s="148" t="s">
        <v>119</v>
      </c>
      <c r="T247" s="148" t="s">
        <v>120</v>
      </c>
      <c r="U247" s="145">
        <f>D247+E247</f>
        <v>67</v>
      </c>
      <c r="V247" s="149"/>
      <c r="W247" s="145">
        <f>D247+E247+F247</f>
        <v>164</v>
      </c>
      <c r="X247" s="149"/>
    </row>
    <row r="248" customHeight="1" spans="1:24">
      <c r="A248" s="153">
        <v>341</v>
      </c>
      <c r="B248" s="154" t="s">
        <v>504</v>
      </c>
      <c r="C248" s="144">
        <v>15</v>
      </c>
      <c r="D248" s="145">
        <v>82</v>
      </c>
      <c r="E248" s="145">
        <v>88</v>
      </c>
      <c r="F248" s="145">
        <v>52</v>
      </c>
      <c r="G248" s="145">
        <v>56</v>
      </c>
      <c r="H248" s="145">
        <v>63</v>
      </c>
      <c r="I248" s="145">
        <f>SUM(D248:H248)</f>
        <v>341</v>
      </c>
      <c r="J248" s="145">
        <v>25</v>
      </c>
      <c r="K248" s="147" t="s">
        <v>114</v>
      </c>
      <c r="L248" s="147" t="s">
        <v>115</v>
      </c>
      <c r="M248" s="147" t="s">
        <v>124</v>
      </c>
      <c r="N248" s="147" t="s">
        <v>114</v>
      </c>
      <c r="O248" s="147" t="s">
        <v>124</v>
      </c>
      <c r="P248" s="147" t="s">
        <v>124</v>
      </c>
      <c r="Q248" s="158" t="s">
        <v>505</v>
      </c>
      <c r="R248" s="148" t="s">
        <v>132</v>
      </c>
      <c r="S248" s="148" t="s">
        <v>119</v>
      </c>
      <c r="T248" s="148" t="s">
        <v>126</v>
      </c>
      <c r="U248" s="145">
        <f>D248+E248</f>
        <v>170</v>
      </c>
      <c r="V248" s="148" t="s">
        <v>506</v>
      </c>
      <c r="W248" s="145">
        <f>D248+E248+F248</f>
        <v>222</v>
      </c>
      <c r="X248" s="149"/>
    </row>
    <row r="249" customHeight="1" spans="1:24">
      <c r="A249" s="153">
        <v>227</v>
      </c>
      <c r="B249" s="143" t="s">
        <v>507</v>
      </c>
      <c r="C249" s="144">
        <v>1</v>
      </c>
      <c r="D249" s="145">
        <v>74</v>
      </c>
      <c r="E249" s="145">
        <v>64</v>
      </c>
      <c r="F249" s="145">
        <v>77</v>
      </c>
      <c r="G249" s="145">
        <v>75</v>
      </c>
      <c r="H249" s="145">
        <v>63</v>
      </c>
      <c r="I249" s="145">
        <f>SUM(D249:H249)</f>
        <v>353</v>
      </c>
      <c r="J249" s="145">
        <v>30</v>
      </c>
      <c r="K249" s="147" t="s">
        <v>114</v>
      </c>
      <c r="L249" s="147" t="s">
        <v>130</v>
      </c>
      <c r="M249" s="147" t="s">
        <v>130</v>
      </c>
      <c r="N249" s="147" t="s">
        <v>130</v>
      </c>
      <c r="O249" s="147" t="s">
        <v>124</v>
      </c>
      <c r="P249" s="147" t="s">
        <v>114</v>
      </c>
      <c r="Q249" s="149"/>
      <c r="R249" s="148" t="s">
        <v>119</v>
      </c>
      <c r="S249" s="148" t="s">
        <v>136</v>
      </c>
      <c r="T249" s="148" t="s">
        <v>120</v>
      </c>
      <c r="U249" s="145">
        <f>D249+E249</f>
        <v>138</v>
      </c>
      <c r="V249" s="149"/>
      <c r="W249" s="145">
        <f>D249+E249+F249</f>
        <v>215</v>
      </c>
      <c r="X249" s="252"/>
    </row>
    <row r="250" customHeight="1" spans="1:24">
      <c r="A250" s="153">
        <v>63</v>
      </c>
      <c r="B250" s="154" t="s">
        <v>508</v>
      </c>
      <c r="C250" s="144">
        <v>3</v>
      </c>
      <c r="D250" s="145">
        <v>26</v>
      </c>
      <c r="E250" s="145">
        <v>15</v>
      </c>
      <c r="F250" s="145">
        <v>92</v>
      </c>
      <c r="G250" s="145">
        <v>64</v>
      </c>
      <c r="H250" s="145">
        <v>62</v>
      </c>
      <c r="I250" s="145">
        <f>SUM(D250:H250)</f>
        <v>259</v>
      </c>
      <c r="J250" s="145">
        <v>25</v>
      </c>
      <c r="K250" s="147" t="s">
        <v>124</v>
      </c>
      <c r="L250" s="147" t="s">
        <v>124</v>
      </c>
      <c r="M250" s="147" t="s">
        <v>124</v>
      </c>
      <c r="N250" s="147" t="s">
        <v>124</v>
      </c>
      <c r="O250" s="147" t="s">
        <v>124</v>
      </c>
      <c r="P250" s="147" t="s">
        <v>124</v>
      </c>
      <c r="Q250" s="148" t="s">
        <v>509</v>
      </c>
      <c r="R250" s="148" t="s">
        <v>132</v>
      </c>
      <c r="S250" s="148" t="s">
        <v>119</v>
      </c>
      <c r="T250" s="148" t="s">
        <v>120</v>
      </c>
      <c r="U250" s="145">
        <f>D250+E250</f>
        <v>41</v>
      </c>
      <c r="V250" s="149"/>
      <c r="W250" s="145">
        <f>D250+E250+F250</f>
        <v>133</v>
      </c>
      <c r="X250" s="149"/>
    </row>
    <row r="251" customHeight="1" spans="1:24">
      <c r="A251" s="153">
        <v>515</v>
      </c>
      <c r="B251" s="154" t="s">
        <v>510</v>
      </c>
      <c r="C251" s="144">
        <v>16</v>
      </c>
      <c r="D251" s="145">
        <v>77</v>
      </c>
      <c r="E251" s="145">
        <v>92</v>
      </c>
      <c r="F251" s="145">
        <v>39</v>
      </c>
      <c r="G251" s="145">
        <v>19</v>
      </c>
      <c r="H251" s="145">
        <v>62</v>
      </c>
      <c r="I251" s="145">
        <f>SUM(D251:H251)</f>
        <v>289</v>
      </c>
      <c r="J251" s="145">
        <v>71</v>
      </c>
      <c r="K251" s="147" t="s">
        <v>114</v>
      </c>
      <c r="L251" s="147" t="s">
        <v>130</v>
      </c>
      <c r="M251" s="147" t="s">
        <v>124</v>
      </c>
      <c r="N251" s="147" t="s">
        <v>115</v>
      </c>
      <c r="O251" s="147" t="s">
        <v>124</v>
      </c>
      <c r="P251" s="147" t="s">
        <v>124</v>
      </c>
      <c r="Q251" s="158" t="s">
        <v>511</v>
      </c>
      <c r="R251" s="148" t="s">
        <v>175</v>
      </c>
      <c r="S251" s="148" t="s">
        <v>136</v>
      </c>
      <c r="T251" s="148" t="s">
        <v>250</v>
      </c>
      <c r="U251" s="145">
        <f>D251+E251</f>
        <v>169</v>
      </c>
      <c r="V251" s="148" t="s">
        <v>512</v>
      </c>
      <c r="W251" s="145">
        <f>D251+E251+F251</f>
        <v>208</v>
      </c>
      <c r="X251" s="149"/>
    </row>
    <row r="252" customHeight="1" spans="1:24">
      <c r="A252" s="153">
        <v>392</v>
      </c>
      <c r="B252" s="154" t="s">
        <v>513</v>
      </c>
      <c r="C252" s="144">
        <v>1</v>
      </c>
      <c r="D252" s="145">
        <v>63</v>
      </c>
      <c r="E252" s="145">
        <v>43</v>
      </c>
      <c r="F252" s="145">
        <v>85</v>
      </c>
      <c r="G252" s="145">
        <v>65</v>
      </c>
      <c r="H252" s="145">
        <v>62</v>
      </c>
      <c r="I252" s="145">
        <f>SUM(D252:H252)</f>
        <v>318</v>
      </c>
      <c r="J252" s="145">
        <v>144</v>
      </c>
      <c r="K252" s="147" t="s">
        <v>124</v>
      </c>
      <c r="L252" s="147" t="s">
        <v>124</v>
      </c>
      <c r="M252" s="147" t="s">
        <v>124</v>
      </c>
      <c r="N252" s="147" t="s">
        <v>130</v>
      </c>
      <c r="O252" s="147" t="s">
        <v>124</v>
      </c>
      <c r="P252" s="147" t="s">
        <v>124</v>
      </c>
      <c r="Q252" s="148" t="s">
        <v>286</v>
      </c>
      <c r="R252" s="148" t="s">
        <v>119</v>
      </c>
      <c r="S252" s="148" t="s">
        <v>119</v>
      </c>
      <c r="T252" s="148" t="s">
        <v>120</v>
      </c>
      <c r="U252" s="145">
        <f>D252+E252</f>
        <v>106</v>
      </c>
      <c r="V252" s="149"/>
      <c r="W252" s="145">
        <f>D252+E252+F252</f>
        <v>191</v>
      </c>
      <c r="X252" s="252"/>
    </row>
    <row r="253" customHeight="1" spans="1:24">
      <c r="A253" s="153">
        <v>14</v>
      </c>
      <c r="B253" s="154" t="s">
        <v>514</v>
      </c>
      <c r="C253" s="144">
        <v>2</v>
      </c>
      <c r="D253" s="145">
        <v>61</v>
      </c>
      <c r="E253" s="145">
        <v>58</v>
      </c>
      <c r="F253" s="145">
        <v>74</v>
      </c>
      <c r="G253" s="145">
        <v>75</v>
      </c>
      <c r="H253" s="145">
        <v>62</v>
      </c>
      <c r="I253" s="145">
        <f>SUM(D253:H253)</f>
        <v>330</v>
      </c>
      <c r="J253" s="145">
        <v>63</v>
      </c>
      <c r="K253" s="147" t="s">
        <v>130</v>
      </c>
      <c r="L253" s="147" t="s">
        <v>130</v>
      </c>
      <c r="M253" s="147" t="s">
        <v>124</v>
      </c>
      <c r="N253" s="147" t="s">
        <v>124</v>
      </c>
      <c r="O253" s="147" t="s">
        <v>124</v>
      </c>
      <c r="P253" s="147" t="s">
        <v>124</v>
      </c>
      <c r="Q253" s="148" t="s">
        <v>337</v>
      </c>
      <c r="R253" s="148" t="s">
        <v>119</v>
      </c>
      <c r="S253" s="148" t="s">
        <v>119</v>
      </c>
      <c r="T253" s="148" t="s">
        <v>148</v>
      </c>
      <c r="U253" s="145">
        <f>D253+E253</f>
        <v>119</v>
      </c>
      <c r="V253" s="149"/>
      <c r="W253" s="145">
        <f>D253+E253+F253</f>
        <v>193</v>
      </c>
      <c r="X253" s="149"/>
    </row>
    <row r="254" customHeight="1" spans="1:24">
      <c r="A254" s="153">
        <v>498</v>
      </c>
      <c r="B254" s="154" t="s">
        <v>515</v>
      </c>
      <c r="C254" s="144">
        <v>6</v>
      </c>
      <c r="D254" s="145">
        <v>54</v>
      </c>
      <c r="E254" s="145">
        <v>52</v>
      </c>
      <c r="F254" s="145">
        <v>88</v>
      </c>
      <c r="G254" s="145">
        <v>96</v>
      </c>
      <c r="H254" s="145">
        <v>62</v>
      </c>
      <c r="I254" s="145">
        <f>SUM(D254:H254)</f>
        <v>352</v>
      </c>
      <c r="J254" s="145">
        <v>47</v>
      </c>
      <c r="K254" s="147" t="s">
        <v>124</v>
      </c>
      <c r="L254" s="147" t="s">
        <v>124</v>
      </c>
      <c r="M254" s="147" t="s">
        <v>130</v>
      </c>
      <c r="N254" s="147" t="s">
        <v>124</v>
      </c>
      <c r="O254" s="147" t="s">
        <v>124</v>
      </c>
      <c r="P254" s="147" t="s">
        <v>124</v>
      </c>
      <c r="Q254" s="148" t="s">
        <v>170</v>
      </c>
      <c r="R254" s="148" t="s">
        <v>132</v>
      </c>
      <c r="S254" s="148" t="s">
        <v>119</v>
      </c>
      <c r="T254" s="148" t="s">
        <v>120</v>
      </c>
      <c r="U254" s="145">
        <f>D254+E254</f>
        <v>106</v>
      </c>
      <c r="V254" s="149"/>
      <c r="W254" s="145">
        <f>D254+E254+F254</f>
        <v>194</v>
      </c>
      <c r="X254" s="149"/>
    </row>
    <row r="255" customHeight="1" spans="1:24">
      <c r="A255" s="153">
        <v>558</v>
      </c>
      <c r="B255" s="154" t="s">
        <v>516</v>
      </c>
      <c r="C255" s="144">
        <v>2</v>
      </c>
      <c r="D255" s="145">
        <v>17</v>
      </c>
      <c r="E255" s="145">
        <v>36</v>
      </c>
      <c r="F255" s="145">
        <v>83</v>
      </c>
      <c r="G255" s="145">
        <v>70</v>
      </c>
      <c r="H255" s="145">
        <v>61</v>
      </c>
      <c r="I255" s="145">
        <f>SUM(D255:H255)</f>
        <v>267</v>
      </c>
      <c r="J255" s="145">
        <v>82</v>
      </c>
      <c r="K255" s="147" t="s">
        <v>124</v>
      </c>
      <c r="L255" s="147" t="s">
        <v>124</v>
      </c>
      <c r="M255" s="147" t="s">
        <v>124</v>
      </c>
      <c r="N255" s="147" t="s">
        <v>124</v>
      </c>
      <c r="O255" s="147" t="s">
        <v>124</v>
      </c>
      <c r="P255" s="147" t="s">
        <v>124</v>
      </c>
      <c r="Q255" s="148" t="s">
        <v>360</v>
      </c>
      <c r="R255" s="148" t="s">
        <v>132</v>
      </c>
      <c r="S255" s="148" t="s">
        <v>133</v>
      </c>
      <c r="T255" s="148" t="s">
        <v>148</v>
      </c>
      <c r="U255" s="145">
        <f>D255+E255</f>
        <v>53</v>
      </c>
      <c r="V255" s="149"/>
      <c r="W255" s="145">
        <f>D255+E255+F255</f>
        <v>136</v>
      </c>
      <c r="X255" s="149"/>
    </row>
    <row r="256" customHeight="1" spans="1:24">
      <c r="A256" s="153">
        <v>591</v>
      </c>
      <c r="B256" s="154" t="s">
        <v>517</v>
      </c>
      <c r="C256" s="144">
        <v>4</v>
      </c>
      <c r="D256" s="145">
        <v>71</v>
      </c>
      <c r="E256" s="145">
        <v>87</v>
      </c>
      <c r="F256" s="145">
        <v>34</v>
      </c>
      <c r="G256" s="145">
        <v>42</v>
      </c>
      <c r="H256" s="145">
        <v>61</v>
      </c>
      <c r="I256" s="145">
        <f>SUM(D256:H256)</f>
        <v>295</v>
      </c>
      <c r="J256" s="145">
        <v>51</v>
      </c>
      <c r="K256" s="147" t="s">
        <v>130</v>
      </c>
      <c r="L256" s="147" t="s">
        <v>114</v>
      </c>
      <c r="M256" s="147" t="s">
        <v>114</v>
      </c>
      <c r="N256" s="147" t="s">
        <v>114</v>
      </c>
      <c r="O256" s="147" t="s">
        <v>124</v>
      </c>
      <c r="P256" s="147" t="s">
        <v>130</v>
      </c>
      <c r="Q256" s="148" t="s">
        <v>236</v>
      </c>
      <c r="R256" s="148" t="s">
        <v>119</v>
      </c>
      <c r="S256" s="148" t="s">
        <v>119</v>
      </c>
      <c r="T256" s="148" t="s">
        <v>250</v>
      </c>
      <c r="U256" s="145">
        <f>D256+E256</f>
        <v>158</v>
      </c>
      <c r="V256" s="149"/>
      <c r="W256" s="145">
        <f>D256+E256+F256</f>
        <v>192</v>
      </c>
      <c r="X256" s="149"/>
    </row>
    <row r="257" customHeight="1" spans="1:24">
      <c r="A257" s="153">
        <v>179</v>
      </c>
      <c r="B257" s="154" t="s">
        <v>518</v>
      </c>
      <c r="C257" s="144">
        <v>10</v>
      </c>
      <c r="D257" s="145">
        <v>42</v>
      </c>
      <c r="E257" s="145">
        <v>41</v>
      </c>
      <c r="F257" s="145">
        <v>80</v>
      </c>
      <c r="G257" s="145">
        <v>90</v>
      </c>
      <c r="H257" s="145">
        <v>61</v>
      </c>
      <c r="I257" s="145">
        <f>SUM(D257:H257)</f>
        <v>314</v>
      </c>
      <c r="J257" s="145">
        <v>89</v>
      </c>
      <c r="K257" s="147" t="s">
        <v>124</v>
      </c>
      <c r="L257" s="147" t="s">
        <v>124</v>
      </c>
      <c r="M257" s="147" t="s">
        <v>124</v>
      </c>
      <c r="N257" s="147" t="s">
        <v>124</v>
      </c>
      <c r="O257" s="147" t="s">
        <v>124</v>
      </c>
      <c r="P257" s="147" t="s">
        <v>130</v>
      </c>
      <c r="Q257" s="148" t="s">
        <v>302</v>
      </c>
      <c r="R257" s="148" t="s">
        <v>132</v>
      </c>
      <c r="S257" s="148" t="s">
        <v>119</v>
      </c>
      <c r="T257" s="148" t="s">
        <v>120</v>
      </c>
      <c r="U257" s="145">
        <f>D257+E257</f>
        <v>83</v>
      </c>
      <c r="V257" s="149"/>
      <c r="W257" s="145">
        <f>D257+E257+F257</f>
        <v>163</v>
      </c>
      <c r="X257" s="149"/>
    </row>
    <row r="258" customHeight="1" spans="1:24">
      <c r="A258" s="153">
        <v>54</v>
      </c>
      <c r="B258" s="154" t="s">
        <v>519</v>
      </c>
      <c r="C258" s="144">
        <v>17</v>
      </c>
      <c r="D258" s="145">
        <v>45</v>
      </c>
      <c r="E258" s="145">
        <v>47</v>
      </c>
      <c r="F258" s="145">
        <v>69</v>
      </c>
      <c r="G258" s="145">
        <v>98</v>
      </c>
      <c r="H258" s="145">
        <v>61</v>
      </c>
      <c r="I258" s="145">
        <f>SUM(D258:H258)</f>
        <v>320</v>
      </c>
      <c r="J258" s="145">
        <v>17</v>
      </c>
      <c r="K258" s="147" t="s">
        <v>124</v>
      </c>
      <c r="L258" s="147" t="s">
        <v>124</v>
      </c>
      <c r="M258" s="147" t="s">
        <v>130</v>
      </c>
      <c r="N258" s="147" t="s">
        <v>124</v>
      </c>
      <c r="O258" s="147" t="s">
        <v>124</v>
      </c>
      <c r="P258" s="147" t="s">
        <v>124</v>
      </c>
      <c r="Q258" s="148" t="s">
        <v>292</v>
      </c>
      <c r="R258" s="148" t="s">
        <v>132</v>
      </c>
      <c r="S258" s="148" t="s">
        <v>119</v>
      </c>
      <c r="T258" s="148" t="s">
        <v>120</v>
      </c>
      <c r="U258" s="145">
        <f>D258+E258</f>
        <v>92</v>
      </c>
      <c r="V258" s="149"/>
      <c r="W258" s="145">
        <f>D258+E258+F258</f>
        <v>161</v>
      </c>
      <c r="X258" s="149"/>
    </row>
    <row r="259" customHeight="1" spans="1:24">
      <c r="A259" s="153">
        <v>201</v>
      </c>
      <c r="B259" s="154" t="s">
        <v>520</v>
      </c>
      <c r="C259" s="144">
        <v>6</v>
      </c>
      <c r="D259" s="145">
        <v>77</v>
      </c>
      <c r="E259" s="145">
        <v>81</v>
      </c>
      <c r="F259" s="145">
        <v>61</v>
      </c>
      <c r="G259" s="145">
        <v>65</v>
      </c>
      <c r="H259" s="145">
        <v>61</v>
      </c>
      <c r="I259" s="145">
        <f>SUM(D259:H259)</f>
        <v>345</v>
      </c>
      <c r="J259" s="145">
        <v>67</v>
      </c>
      <c r="K259" s="147" t="s">
        <v>114</v>
      </c>
      <c r="L259" s="147" t="s">
        <v>114</v>
      </c>
      <c r="M259" s="147" t="s">
        <v>115</v>
      </c>
      <c r="N259" s="147" t="s">
        <v>124</v>
      </c>
      <c r="O259" s="147" t="s">
        <v>124</v>
      </c>
      <c r="P259" s="147" t="s">
        <v>130</v>
      </c>
      <c r="Q259" s="148" t="s">
        <v>236</v>
      </c>
      <c r="R259" s="148" t="s">
        <v>132</v>
      </c>
      <c r="S259" s="148" t="s">
        <v>119</v>
      </c>
      <c r="T259" s="148" t="s">
        <v>126</v>
      </c>
      <c r="U259" s="145">
        <f>D259+E259</f>
        <v>158</v>
      </c>
      <c r="V259" s="149"/>
      <c r="W259" s="145">
        <f>D259+E259+F259</f>
        <v>219</v>
      </c>
      <c r="X259" s="149"/>
    </row>
    <row r="260" customHeight="1" spans="1:24">
      <c r="A260" s="153">
        <v>121</v>
      </c>
      <c r="B260" s="154" t="s">
        <v>521</v>
      </c>
      <c r="C260" s="144">
        <v>9</v>
      </c>
      <c r="D260" s="145">
        <v>22</v>
      </c>
      <c r="E260" s="145">
        <v>29</v>
      </c>
      <c r="F260" s="145">
        <v>89</v>
      </c>
      <c r="G260" s="145">
        <v>67</v>
      </c>
      <c r="H260" s="145">
        <v>60</v>
      </c>
      <c r="I260" s="145">
        <f>SUM(D260:H260)</f>
        <v>267</v>
      </c>
      <c r="J260" s="145">
        <v>6</v>
      </c>
      <c r="K260" s="147" t="s">
        <v>124</v>
      </c>
      <c r="L260" s="147" t="s">
        <v>124</v>
      </c>
      <c r="M260" s="147" t="s">
        <v>124</v>
      </c>
      <c r="N260" s="147" t="s">
        <v>124</v>
      </c>
      <c r="O260" s="147" t="s">
        <v>124</v>
      </c>
      <c r="P260" s="147" t="s">
        <v>124</v>
      </c>
      <c r="Q260" s="158" t="s">
        <v>522</v>
      </c>
      <c r="R260" s="148" t="s">
        <v>119</v>
      </c>
      <c r="S260" s="148" t="s">
        <v>119</v>
      </c>
      <c r="T260" s="148" t="s">
        <v>120</v>
      </c>
      <c r="U260" s="145">
        <f>D260+E260</f>
        <v>51</v>
      </c>
      <c r="V260" s="148" t="s">
        <v>523</v>
      </c>
      <c r="W260" s="145">
        <f>D260+E260+F260</f>
        <v>140</v>
      </c>
      <c r="X260" s="149"/>
    </row>
    <row r="261" customHeight="1" spans="1:24">
      <c r="A261" s="153">
        <v>294</v>
      </c>
      <c r="B261" s="154" t="s">
        <v>524</v>
      </c>
      <c r="C261" s="144">
        <v>9</v>
      </c>
      <c r="D261" s="145">
        <v>30</v>
      </c>
      <c r="E261" s="145">
        <v>24</v>
      </c>
      <c r="F261" s="145">
        <v>86</v>
      </c>
      <c r="G261" s="145">
        <v>87</v>
      </c>
      <c r="H261" s="145">
        <v>60</v>
      </c>
      <c r="I261" s="145">
        <f>SUM(D261:H261)</f>
        <v>287</v>
      </c>
      <c r="J261" s="145">
        <v>62</v>
      </c>
      <c r="K261" s="147" t="s">
        <v>124</v>
      </c>
      <c r="L261" s="147" t="s">
        <v>124</v>
      </c>
      <c r="M261" s="147" t="s">
        <v>124</v>
      </c>
      <c r="N261" s="147" t="s">
        <v>124</v>
      </c>
      <c r="O261" s="147" t="s">
        <v>124</v>
      </c>
      <c r="P261" s="147" t="s">
        <v>124</v>
      </c>
      <c r="Q261" s="148" t="s">
        <v>302</v>
      </c>
      <c r="R261" s="148" t="s">
        <v>119</v>
      </c>
      <c r="S261" s="148" t="s">
        <v>119</v>
      </c>
      <c r="T261" s="148" t="s">
        <v>120</v>
      </c>
      <c r="U261" s="145">
        <f>D261+E261</f>
        <v>54</v>
      </c>
      <c r="V261" s="149"/>
      <c r="W261" s="145">
        <f>D261+E261+F261</f>
        <v>140</v>
      </c>
      <c r="X261" s="149"/>
    </row>
    <row r="262" customHeight="1" spans="1:24">
      <c r="A262" s="153">
        <v>200</v>
      </c>
      <c r="B262" s="154" t="s">
        <v>525</v>
      </c>
      <c r="C262" s="144">
        <v>10</v>
      </c>
      <c r="D262" s="145">
        <v>72</v>
      </c>
      <c r="E262" s="145">
        <v>95</v>
      </c>
      <c r="F262" s="145">
        <v>27</v>
      </c>
      <c r="G262" s="145">
        <v>44</v>
      </c>
      <c r="H262" s="145">
        <v>60</v>
      </c>
      <c r="I262" s="145">
        <f>SUM(D262:H262)</f>
        <v>298</v>
      </c>
      <c r="J262" s="145">
        <v>73</v>
      </c>
      <c r="K262" s="147" t="s">
        <v>130</v>
      </c>
      <c r="L262" s="147" t="s">
        <v>114</v>
      </c>
      <c r="M262" s="147" t="s">
        <v>124</v>
      </c>
      <c r="N262" s="147" t="s">
        <v>130</v>
      </c>
      <c r="O262" s="147" t="s">
        <v>124</v>
      </c>
      <c r="P262" s="147" t="s">
        <v>124</v>
      </c>
      <c r="Q262" s="148" t="s">
        <v>256</v>
      </c>
      <c r="R262" s="148" t="s">
        <v>118</v>
      </c>
      <c r="S262" s="148" t="s">
        <v>119</v>
      </c>
      <c r="T262" s="148" t="s">
        <v>250</v>
      </c>
      <c r="U262" s="145">
        <f>D262+E262</f>
        <v>167</v>
      </c>
      <c r="V262" s="149"/>
      <c r="W262" s="145">
        <f>D262+E262+F262</f>
        <v>194</v>
      </c>
      <c r="X262" s="149"/>
    </row>
    <row r="263" customHeight="1" spans="1:24">
      <c r="A263" s="153">
        <v>99</v>
      </c>
      <c r="B263" s="154" t="s">
        <v>526</v>
      </c>
      <c r="C263" s="144">
        <v>1</v>
      </c>
      <c r="D263" s="145">
        <v>24</v>
      </c>
      <c r="E263" s="145">
        <v>33</v>
      </c>
      <c r="F263" s="145">
        <v>87</v>
      </c>
      <c r="G263" s="145">
        <v>72</v>
      </c>
      <c r="H263" s="145">
        <v>59</v>
      </c>
      <c r="I263" s="145">
        <f>SUM(D263:H263)</f>
        <v>275</v>
      </c>
      <c r="J263" s="145">
        <v>104</v>
      </c>
      <c r="K263" s="147" t="s">
        <v>124</v>
      </c>
      <c r="L263" s="147" t="s">
        <v>124</v>
      </c>
      <c r="M263" s="147" t="s">
        <v>124</v>
      </c>
      <c r="N263" s="147" t="s">
        <v>124</v>
      </c>
      <c r="O263" s="147" t="s">
        <v>124</v>
      </c>
      <c r="P263" s="147" t="s">
        <v>124</v>
      </c>
      <c r="Q263" s="148" t="s">
        <v>372</v>
      </c>
      <c r="R263" s="148" t="s">
        <v>119</v>
      </c>
      <c r="S263" s="148" t="s">
        <v>119</v>
      </c>
      <c r="T263" s="148" t="s">
        <v>120</v>
      </c>
      <c r="U263" s="145">
        <f>D263+E263</f>
        <v>57</v>
      </c>
      <c r="V263" s="149"/>
      <c r="W263" s="145">
        <f>D263+E263+F263</f>
        <v>144</v>
      </c>
      <c r="X263" s="149"/>
    </row>
    <row r="264" customHeight="1" spans="1:24">
      <c r="A264" s="153">
        <v>321</v>
      </c>
      <c r="B264" s="154" t="s">
        <v>527</v>
      </c>
      <c r="C264" s="144">
        <v>2</v>
      </c>
      <c r="D264" s="145">
        <v>57</v>
      </c>
      <c r="E264" s="145">
        <v>29</v>
      </c>
      <c r="F264" s="145">
        <v>87</v>
      </c>
      <c r="G264" s="145">
        <v>77</v>
      </c>
      <c r="H264" s="145">
        <v>59</v>
      </c>
      <c r="I264" s="145">
        <f>SUM(D264:H264)</f>
        <v>309</v>
      </c>
      <c r="J264" s="145">
        <v>52</v>
      </c>
      <c r="K264" s="147" t="s">
        <v>124</v>
      </c>
      <c r="L264" s="147" t="s">
        <v>130</v>
      </c>
      <c r="M264" s="147" t="s">
        <v>124</v>
      </c>
      <c r="N264" s="147" t="s">
        <v>124</v>
      </c>
      <c r="O264" s="147" t="s">
        <v>124</v>
      </c>
      <c r="P264" s="147" t="s">
        <v>130</v>
      </c>
      <c r="Q264" s="148" t="s">
        <v>503</v>
      </c>
      <c r="R264" s="148" t="s">
        <v>119</v>
      </c>
      <c r="S264" s="148" t="s">
        <v>136</v>
      </c>
      <c r="T264" s="148" t="s">
        <v>250</v>
      </c>
      <c r="U264" s="145">
        <f>D264+E264</f>
        <v>86</v>
      </c>
      <c r="V264" s="149"/>
      <c r="W264" s="145">
        <f>D264+E264+F264</f>
        <v>173</v>
      </c>
      <c r="X264" s="149"/>
    </row>
    <row r="265" customHeight="1" spans="1:24">
      <c r="A265" s="153">
        <v>266</v>
      </c>
      <c r="B265" s="154" t="s">
        <v>528</v>
      </c>
      <c r="C265" s="144">
        <v>15</v>
      </c>
      <c r="D265" s="145">
        <v>59</v>
      </c>
      <c r="E265" s="145">
        <v>48</v>
      </c>
      <c r="F265" s="145">
        <v>103</v>
      </c>
      <c r="G265" s="145">
        <v>84</v>
      </c>
      <c r="H265" s="145">
        <v>59</v>
      </c>
      <c r="I265" s="145">
        <f>SUM(D265:H265)</f>
        <v>353</v>
      </c>
      <c r="J265" s="145">
        <v>94</v>
      </c>
      <c r="K265" s="147" t="s">
        <v>124</v>
      </c>
      <c r="L265" s="147" t="s">
        <v>124</v>
      </c>
      <c r="M265" s="147" t="s">
        <v>130</v>
      </c>
      <c r="N265" s="147" t="s">
        <v>124</v>
      </c>
      <c r="O265" s="147" t="s">
        <v>124</v>
      </c>
      <c r="P265" s="147" t="s">
        <v>124</v>
      </c>
      <c r="Q265" s="170" t="s">
        <v>150</v>
      </c>
      <c r="R265" s="148" t="s">
        <v>119</v>
      </c>
      <c r="S265" s="148" t="s">
        <v>119</v>
      </c>
      <c r="T265" s="148" t="s">
        <v>120</v>
      </c>
      <c r="U265" s="145">
        <f>D265+E265</f>
        <v>107</v>
      </c>
      <c r="V265" s="193" t="s">
        <v>151</v>
      </c>
      <c r="W265" s="145">
        <f>D265+E265+F265</f>
        <v>210</v>
      </c>
      <c r="X265" s="149"/>
    </row>
    <row r="266" customHeight="1" spans="1:24">
      <c r="A266" s="153">
        <v>459</v>
      </c>
      <c r="B266" s="154" t="s">
        <v>529</v>
      </c>
      <c r="C266" s="144">
        <v>8</v>
      </c>
      <c r="D266" s="145">
        <v>85</v>
      </c>
      <c r="E266" s="145">
        <v>83</v>
      </c>
      <c r="F266" s="145">
        <v>75</v>
      </c>
      <c r="G266" s="145">
        <v>59</v>
      </c>
      <c r="H266" s="145">
        <v>59</v>
      </c>
      <c r="I266" s="145">
        <f>SUM(D266:H266)</f>
        <v>361</v>
      </c>
      <c r="J266" s="145">
        <v>14</v>
      </c>
      <c r="K266" s="147" t="s">
        <v>114</v>
      </c>
      <c r="L266" s="147" t="s">
        <v>114</v>
      </c>
      <c r="M266" s="147" t="s">
        <v>130</v>
      </c>
      <c r="N266" s="147" t="s">
        <v>130</v>
      </c>
      <c r="O266" s="147" t="s">
        <v>124</v>
      </c>
      <c r="P266" s="147" t="s">
        <v>115</v>
      </c>
      <c r="Q266" s="148" t="s">
        <v>186</v>
      </c>
      <c r="R266" s="148" t="s">
        <v>132</v>
      </c>
      <c r="S266" s="148" t="s">
        <v>119</v>
      </c>
      <c r="T266" s="148" t="s">
        <v>126</v>
      </c>
      <c r="U266" s="145">
        <f>D266+E266</f>
        <v>168</v>
      </c>
      <c r="V266" s="149"/>
      <c r="W266" s="145">
        <f>D266+E266+F266</f>
        <v>243</v>
      </c>
      <c r="X266" s="149"/>
    </row>
    <row r="267" customHeight="1" spans="1:24">
      <c r="A267" s="153">
        <v>156</v>
      </c>
      <c r="B267" s="156" t="s">
        <v>530</v>
      </c>
      <c r="C267" s="144">
        <v>18</v>
      </c>
      <c r="D267" s="145">
        <v>88</v>
      </c>
      <c r="E267" s="145">
        <v>75</v>
      </c>
      <c r="F267" s="145">
        <v>72</v>
      </c>
      <c r="G267" s="145">
        <v>95</v>
      </c>
      <c r="H267" s="145">
        <v>59</v>
      </c>
      <c r="I267" s="145">
        <f>SUM(D267:H267)</f>
        <v>389</v>
      </c>
      <c r="J267" s="145">
        <v>75</v>
      </c>
      <c r="K267" s="147" t="s">
        <v>130</v>
      </c>
      <c r="L267" s="147" t="s">
        <v>124</v>
      </c>
      <c r="M267" s="147" t="s">
        <v>115</v>
      </c>
      <c r="N267" s="147" t="s">
        <v>130</v>
      </c>
      <c r="O267" s="147" t="s">
        <v>124</v>
      </c>
      <c r="P267" s="147" t="s">
        <v>124</v>
      </c>
      <c r="Q267" s="148" t="s">
        <v>292</v>
      </c>
      <c r="R267" s="148" t="s">
        <v>132</v>
      </c>
      <c r="S267" s="148" t="s">
        <v>119</v>
      </c>
      <c r="T267" s="148" t="s">
        <v>250</v>
      </c>
      <c r="U267" s="145">
        <f>D267+E267</f>
        <v>163</v>
      </c>
      <c r="V267" s="149"/>
      <c r="W267" s="145">
        <f>D267+E267+F267</f>
        <v>235</v>
      </c>
      <c r="X267" s="149"/>
    </row>
    <row r="268" customHeight="1" spans="1:24">
      <c r="A268" s="153">
        <v>490</v>
      </c>
      <c r="B268" s="154" t="s">
        <v>531</v>
      </c>
      <c r="C268" s="144">
        <v>7</v>
      </c>
      <c r="D268" s="145">
        <v>73</v>
      </c>
      <c r="E268" s="145">
        <v>88</v>
      </c>
      <c r="F268" s="145">
        <v>40</v>
      </c>
      <c r="G268" s="145">
        <v>50</v>
      </c>
      <c r="H268" s="145">
        <v>58</v>
      </c>
      <c r="I268" s="145">
        <f>SUM(D268:H268)</f>
        <v>309</v>
      </c>
      <c r="J268" s="145">
        <v>47</v>
      </c>
      <c r="K268" s="147" t="s">
        <v>114</v>
      </c>
      <c r="L268" s="147" t="s">
        <v>114</v>
      </c>
      <c r="M268" s="147" t="s">
        <v>130</v>
      </c>
      <c r="N268" s="147" t="s">
        <v>130</v>
      </c>
      <c r="O268" s="147" t="s">
        <v>124</v>
      </c>
      <c r="P268" s="147" t="s">
        <v>124</v>
      </c>
      <c r="Q268" s="148" t="s">
        <v>309</v>
      </c>
      <c r="R268" s="148" t="s">
        <v>132</v>
      </c>
      <c r="S268" s="148" t="s">
        <v>119</v>
      </c>
      <c r="T268" s="148" t="s">
        <v>250</v>
      </c>
      <c r="U268" s="145">
        <f>D268+E268</f>
        <v>161</v>
      </c>
      <c r="V268" s="149"/>
      <c r="W268" s="145">
        <f>D268+E268+F268</f>
        <v>201</v>
      </c>
      <c r="X268" s="149"/>
    </row>
    <row r="269" customHeight="1" spans="1:24">
      <c r="A269" s="153">
        <v>327</v>
      </c>
      <c r="B269" s="154" t="s">
        <v>532</v>
      </c>
      <c r="C269" s="144">
        <v>7</v>
      </c>
      <c r="D269" s="145">
        <v>71</v>
      </c>
      <c r="E269" s="145">
        <v>82</v>
      </c>
      <c r="F269" s="145">
        <v>65</v>
      </c>
      <c r="G269" s="145">
        <v>63</v>
      </c>
      <c r="H269" s="145">
        <v>58</v>
      </c>
      <c r="I269" s="145">
        <f>SUM(D269:H269)</f>
        <v>339</v>
      </c>
      <c r="J269" s="145">
        <v>65</v>
      </c>
      <c r="K269" s="147" t="s">
        <v>130</v>
      </c>
      <c r="L269" s="147" t="s">
        <v>130</v>
      </c>
      <c r="M269" s="147" t="s">
        <v>115</v>
      </c>
      <c r="N269" s="147" t="s">
        <v>114</v>
      </c>
      <c r="O269" s="147" t="s">
        <v>124</v>
      </c>
      <c r="P269" s="147" t="s">
        <v>130</v>
      </c>
      <c r="Q269" s="148" t="s">
        <v>260</v>
      </c>
      <c r="R269" s="148" t="s">
        <v>132</v>
      </c>
      <c r="S269" s="148" t="s">
        <v>119</v>
      </c>
      <c r="T269" s="148" t="s">
        <v>120</v>
      </c>
      <c r="U269" s="145">
        <f>D269+E269</f>
        <v>153</v>
      </c>
      <c r="V269" s="149"/>
      <c r="W269" s="145">
        <f>D269+E269+F269</f>
        <v>218</v>
      </c>
      <c r="X269" s="149"/>
    </row>
    <row r="270" customHeight="1" spans="1:24">
      <c r="A270" s="153">
        <v>349</v>
      </c>
      <c r="B270" s="175" t="s">
        <v>533</v>
      </c>
      <c r="C270" s="144">
        <v>21</v>
      </c>
      <c r="D270" s="145">
        <v>69</v>
      </c>
      <c r="E270" s="145">
        <v>103</v>
      </c>
      <c r="F270" s="145">
        <v>39</v>
      </c>
      <c r="G270" s="145">
        <v>40</v>
      </c>
      <c r="H270" s="145">
        <v>57</v>
      </c>
      <c r="I270" s="145">
        <f>SUM(D270:H270)</f>
        <v>308</v>
      </c>
      <c r="J270" s="145">
        <v>118</v>
      </c>
      <c r="K270" s="147" t="s">
        <v>130</v>
      </c>
      <c r="L270" s="179" t="s">
        <v>115</v>
      </c>
      <c r="M270" s="147" t="s">
        <v>130</v>
      </c>
      <c r="N270" s="147" t="s">
        <v>114</v>
      </c>
      <c r="O270" s="147" t="s">
        <v>124</v>
      </c>
      <c r="P270" s="147" t="s">
        <v>114</v>
      </c>
      <c r="Q270" s="158" t="s">
        <v>534</v>
      </c>
      <c r="R270" s="148" t="s">
        <v>132</v>
      </c>
      <c r="S270" s="148" t="s">
        <v>136</v>
      </c>
      <c r="T270" s="148" t="s">
        <v>126</v>
      </c>
      <c r="U270" s="145">
        <f>D270+E270</f>
        <v>172</v>
      </c>
      <c r="V270" s="148" t="s">
        <v>535</v>
      </c>
      <c r="W270" s="145">
        <f>D270+E270+F270</f>
        <v>211</v>
      </c>
      <c r="X270" s="149"/>
    </row>
    <row r="271" customHeight="1" spans="1:24">
      <c r="A271" s="153">
        <v>70</v>
      </c>
      <c r="B271" s="154" t="s">
        <v>536</v>
      </c>
      <c r="C271" s="144">
        <v>4</v>
      </c>
      <c r="D271" s="145">
        <v>44</v>
      </c>
      <c r="E271" s="145">
        <v>30</v>
      </c>
      <c r="F271" s="145">
        <v>92</v>
      </c>
      <c r="G271" s="145">
        <v>85</v>
      </c>
      <c r="H271" s="145">
        <v>57</v>
      </c>
      <c r="I271" s="145">
        <f>SUM(D271:H271)</f>
        <v>308</v>
      </c>
      <c r="J271" s="145">
        <v>4</v>
      </c>
      <c r="K271" s="147" t="s">
        <v>124</v>
      </c>
      <c r="L271" s="147" t="s">
        <v>124</v>
      </c>
      <c r="M271" s="147" t="s">
        <v>130</v>
      </c>
      <c r="N271" s="147" t="s">
        <v>124</v>
      </c>
      <c r="O271" s="147" t="s">
        <v>124</v>
      </c>
      <c r="P271" s="147" t="s">
        <v>124</v>
      </c>
      <c r="Q271" s="148" t="s">
        <v>165</v>
      </c>
      <c r="R271" s="148" t="s">
        <v>119</v>
      </c>
      <c r="S271" s="148" t="s">
        <v>136</v>
      </c>
      <c r="T271" s="148" t="s">
        <v>120</v>
      </c>
      <c r="U271" s="145">
        <f>D271+E271</f>
        <v>74</v>
      </c>
      <c r="V271" s="149"/>
      <c r="W271" s="145">
        <f>D271+E271+F271</f>
        <v>166</v>
      </c>
      <c r="X271" s="149"/>
    </row>
    <row r="272" customHeight="1" spans="1:24">
      <c r="A272" s="153">
        <v>638</v>
      </c>
      <c r="B272" s="143" t="s">
        <v>537</v>
      </c>
      <c r="C272" s="144">
        <v>1</v>
      </c>
      <c r="D272" s="145">
        <v>57</v>
      </c>
      <c r="E272" s="145">
        <v>56</v>
      </c>
      <c r="F272" s="145">
        <v>72</v>
      </c>
      <c r="G272" s="145">
        <v>84</v>
      </c>
      <c r="H272" s="145">
        <v>57</v>
      </c>
      <c r="I272" s="145">
        <f>SUM(D272:H272)</f>
        <v>326</v>
      </c>
      <c r="J272" s="145">
        <v>11</v>
      </c>
      <c r="K272" s="147" t="s">
        <v>124</v>
      </c>
      <c r="L272" s="147" t="s">
        <v>130</v>
      </c>
      <c r="M272" s="147" t="s">
        <v>124</v>
      </c>
      <c r="N272" s="147" t="s">
        <v>130</v>
      </c>
      <c r="O272" s="147" t="s">
        <v>124</v>
      </c>
      <c r="P272" s="147" t="s">
        <v>124</v>
      </c>
      <c r="Q272" s="149"/>
      <c r="R272" s="148" t="s">
        <v>175</v>
      </c>
      <c r="S272" s="148" t="s">
        <v>119</v>
      </c>
      <c r="T272" s="148" t="s">
        <v>148</v>
      </c>
      <c r="U272" s="145">
        <f>D272+E272</f>
        <v>113</v>
      </c>
      <c r="V272" s="149"/>
      <c r="W272" s="145">
        <f>D272+E272+F272</f>
        <v>185</v>
      </c>
      <c r="X272" s="149"/>
    </row>
    <row r="273" customHeight="1" spans="1:24">
      <c r="A273" s="153">
        <v>473</v>
      </c>
      <c r="B273" s="154" t="s">
        <v>538</v>
      </c>
      <c r="C273" s="144">
        <v>8</v>
      </c>
      <c r="D273" s="145">
        <v>64</v>
      </c>
      <c r="E273" s="145">
        <v>90</v>
      </c>
      <c r="F273" s="145">
        <v>33</v>
      </c>
      <c r="G273" s="145">
        <v>28</v>
      </c>
      <c r="H273" s="145">
        <v>56</v>
      </c>
      <c r="I273" s="145">
        <f>SUM(D273:H273)</f>
        <v>271</v>
      </c>
      <c r="J273" s="145">
        <v>24</v>
      </c>
      <c r="K273" s="147" t="s">
        <v>114</v>
      </c>
      <c r="L273" s="147" t="s">
        <v>130</v>
      </c>
      <c r="M273" s="147" t="s">
        <v>124</v>
      </c>
      <c r="N273" s="147" t="s">
        <v>130</v>
      </c>
      <c r="O273" s="147" t="s">
        <v>124</v>
      </c>
      <c r="P273" s="147" t="s">
        <v>130</v>
      </c>
      <c r="Q273" s="148" t="s">
        <v>306</v>
      </c>
      <c r="R273" s="148" t="s">
        <v>119</v>
      </c>
      <c r="S273" s="148" t="s">
        <v>119</v>
      </c>
      <c r="T273" s="148" t="s">
        <v>250</v>
      </c>
      <c r="U273" s="145">
        <f>D273+E273</f>
        <v>154</v>
      </c>
      <c r="V273" s="149"/>
      <c r="W273" s="145">
        <f>D273+E273+F273</f>
        <v>187</v>
      </c>
      <c r="X273" s="149"/>
    </row>
    <row r="274" customHeight="1" spans="1:24">
      <c r="A274" s="153">
        <v>276</v>
      </c>
      <c r="B274" s="154" t="s">
        <v>539</v>
      </c>
      <c r="C274" s="144">
        <v>1</v>
      </c>
      <c r="D274" s="145">
        <v>11</v>
      </c>
      <c r="E274" s="145">
        <v>55</v>
      </c>
      <c r="F274" s="145">
        <v>83</v>
      </c>
      <c r="G274" s="145">
        <v>68</v>
      </c>
      <c r="H274" s="145">
        <v>56</v>
      </c>
      <c r="I274" s="145">
        <f>SUM(D274:H274)</f>
        <v>273</v>
      </c>
      <c r="J274" s="145">
        <v>73</v>
      </c>
      <c r="K274" s="147" t="s">
        <v>124</v>
      </c>
      <c r="L274" s="147" t="s">
        <v>124</v>
      </c>
      <c r="M274" s="147" t="s">
        <v>124</v>
      </c>
      <c r="N274" s="147" t="s">
        <v>124</v>
      </c>
      <c r="O274" s="147" t="s">
        <v>124</v>
      </c>
      <c r="P274" s="147" t="s">
        <v>124</v>
      </c>
      <c r="Q274" s="148" t="s">
        <v>333</v>
      </c>
      <c r="R274" s="148" t="s">
        <v>119</v>
      </c>
      <c r="S274" s="148" t="s">
        <v>119</v>
      </c>
      <c r="T274" s="148" t="s">
        <v>120</v>
      </c>
      <c r="U274" s="145">
        <f>D274+E274</f>
        <v>66</v>
      </c>
      <c r="V274" s="149"/>
      <c r="W274" s="145">
        <f>D274+E274+F274</f>
        <v>149</v>
      </c>
      <c r="X274" s="149"/>
    </row>
    <row r="275" customHeight="1" spans="1:24">
      <c r="A275" s="153">
        <v>785</v>
      </c>
      <c r="B275" s="154" t="s">
        <v>540</v>
      </c>
      <c r="C275" s="144">
        <v>9</v>
      </c>
      <c r="D275" s="145">
        <v>46</v>
      </c>
      <c r="E275" s="145">
        <v>37</v>
      </c>
      <c r="F275" s="145">
        <v>90</v>
      </c>
      <c r="G275" s="145">
        <v>72</v>
      </c>
      <c r="H275" s="145">
        <v>56</v>
      </c>
      <c r="I275" s="145">
        <f>SUM(D275:H275)</f>
        <v>301</v>
      </c>
      <c r="J275" s="145">
        <v>114</v>
      </c>
      <c r="K275" s="147" t="s">
        <v>124</v>
      </c>
      <c r="L275" s="147" t="s">
        <v>124</v>
      </c>
      <c r="M275" s="147" t="s">
        <v>124</v>
      </c>
      <c r="N275" s="147" t="s">
        <v>124</v>
      </c>
      <c r="O275" s="147" t="s">
        <v>124</v>
      </c>
      <c r="P275" s="147" t="s">
        <v>124</v>
      </c>
      <c r="Q275" s="158" t="s">
        <v>522</v>
      </c>
      <c r="R275" s="148" t="s">
        <v>132</v>
      </c>
      <c r="S275" s="148" t="s">
        <v>119</v>
      </c>
      <c r="T275" s="148" t="s">
        <v>148</v>
      </c>
      <c r="U275" s="145">
        <f>D275+E275</f>
        <v>83</v>
      </c>
      <c r="V275" s="148" t="s">
        <v>523</v>
      </c>
      <c r="W275" s="145">
        <f>D275+E275+F275</f>
        <v>173</v>
      </c>
      <c r="X275" s="149"/>
    </row>
    <row r="276" customHeight="1" spans="1:24">
      <c r="A276" s="153">
        <v>137</v>
      </c>
      <c r="B276" s="154" t="s">
        <v>541</v>
      </c>
      <c r="C276" s="144">
        <v>19</v>
      </c>
      <c r="D276" s="145">
        <v>49</v>
      </c>
      <c r="E276" s="145">
        <v>47</v>
      </c>
      <c r="F276" s="145">
        <v>104</v>
      </c>
      <c r="G276" s="145">
        <v>88</v>
      </c>
      <c r="H276" s="145">
        <v>56</v>
      </c>
      <c r="I276" s="145">
        <f>SUM(D276:H276)</f>
        <v>344</v>
      </c>
      <c r="J276" s="145">
        <v>79</v>
      </c>
      <c r="K276" s="147" t="s">
        <v>124</v>
      </c>
      <c r="L276" s="147" t="s">
        <v>124</v>
      </c>
      <c r="M276" s="147" t="s">
        <v>124</v>
      </c>
      <c r="N276" s="147" t="s">
        <v>124</v>
      </c>
      <c r="O276" s="147" t="s">
        <v>124</v>
      </c>
      <c r="P276" s="147" t="s">
        <v>124</v>
      </c>
      <c r="Q276" s="158" t="s">
        <v>542</v>
      </c>
      <c r="R276" s="148" t="s">
        <v>119</v>
      </c>
      <c r="S276" s="148" t="s">
        <v>119</v>
      </c>
      <c r="T276" s="148" t="s">
        <v>120</v>
      </c>
      <c r="U276" s="145">
        <f>D276+E276</f>
        <v>96</v>
      </c>
      <c r="V276" s="148" t="s">
        <v>543</v>
      </c>
      <c r="W276" s="145">
        <f>D276+E276+F276</f>
        <v>200</v>
      </c>
      <c r="X276" s="149"/>
    </row>
    <row r="277" customHeight="1" spans="1:24">
      <c r="A277" s="153">
        <v>134</v>
      </c>
      <c r="B277" s="154" t="s">
        <v>544</v>
      </c>
      <c r="C277" s="144">
        <v>6</v>
      </c>
      <c r="D277" s="145">
        <v>72</v>
      </c>
      <c r="E277" s="145">
        <v>85</v>
      </c>
      <c r="F277" s="145">
        <v>49</v>
      </c>
      <c r="G277" s="145">
        <v>41</v>
      </c>
      <c r="H277" s="145">
        <v>55</v>
      </c>
      <c r="I277" s="145">
        <f>SUM(D277:H277)</f>
        <v>302</v>
      </c>
      <c r="J277" s="145">
        <v>96</v>
      </c>
      <c r="K277" s="147" t="s">
        <v>114</v>
      </c>
      <c r="L277" s="147" t="s">
        <v>114</v>
      </c>
      <c r="M277" s="147" t="s">
        <v>114</v>
      </c>
      <c r="N277" s="147" t="s">
        <v>130</v>
      </c>
      <c r="O277" s="147" t="s">
        <v>124</v>
      </c>
      <c r="P277" s="147" t="s">
        <v>130</v>
      </c>
      <c r="Q277" s="148" t="s">
        <v>404</v>
      </c>
      <c r="R277" s="148" t="s">
        <v>132</v>
      </c>
      <c r="S277" s="148" t="s">
        <v>119</v>
      </c>
      <c r="T277" s="148" t="s">
        <v>126</v>
      </c>
      <c r="U277" s="145">
        <f>D277+E277</f>
        <v>157</v>
      </c>
      <c r="V277" s="149"/>
      <c r="W277" s="145">
        <f>D277+E277+F277</f>
        <v>206</v>
      </c>
      <c r="X277" s="149"/>
    </row>
    <row r="278" customHeight="1" spans="1:24">
      <c r="A278" s="153">
        <v>644</v>
      </c>
      <c r="B278" s="154" t="s">
        <v>545</v>
      </c>
      <c r="C278" s="144">
        <v>20</v>
      </c>
      <c r="D278" s="145">
        <v>47</v>
      </c>
      <c r="E278" s="145">
        <v>48</v>
      </c>
      <c r="F278" s="145">
        <v>77</v>
      </c>
      <c r="G278" s="145">
        <v>98</v>
      </c>
      <c r="H278" s="145">
        <v>55</v>
      </c>
      <c r="I278" s="145">
        <f>SUM(D278:H278)</f>
        <v>325</v>
      </c>
      <c r="J278" s="145">
        <v>55</v>
      </c>
      <c r="K278" s="147" t="s">
        <v>124</v>
      </c>
      <c r="L278" s="147" t="s">
        <v>124</v>
      </c>
      <c r="M278" s="147" t="s">
        <v>124</v>
      </c>
      <c r="N278" s="147" t="s">
        <v>124</v>
      </c>
      <c r="O278" s="147" t="s">
        <v>124</v>
      </c>
      <c r="P278" s="147" t="s">
        <v>130</v>
      </c>
      <c r="Q278" s="148" t="s">
        <v>328</v>
      </c>
      <c r="R278" s="148" t="s">
        <v>132</v>
      </c>
      <c r="S278" s="148" t="s">
        <v>136</v>
      </c>
      <c r="T278" s="148" t="s">
        <v>126</v>
      </c>
      <c r="U278" s="145">
        <f>D278+E278</f>
        <v>95</v>
      </c>
      <c r="V278" s="149"/>
      <c r="W278" s="145">
        <f>D278+E278+F278</f>
        <v>172</v>
      </c>
      <c r="X278" s="149"/>
    </row>
    <row r="279" customHeight="1" spans="1:24">
      <c r="A279" s="153">
        <v>390</v>
      </c>
      <c r="B279" s="154" t="s">
        <v>546</v>
      </c>
      <c r="C279" s="144">
        <v>14</v>
      </c>
      <c r="D279" s="145">
        <v>49</v>
      </c>
      <c r="E279" s="145">
        <v>36</v>
      </c>
      <c r="F279" s="145">
        <v>99</v>
      </c>
      <c r="G279" s="145">
        <v>87</v>
      </c>
      <c r="H279" s="145">
        <v>55</v>
      </c>
      <c r="I279" s="145">
        <f>SUM(D279:H279)</f>
        <v>326</v>
      </c>
      <c r="J279" s="145">
        <v>146</v>
      </c>
      <c r="K279" s="147" t="s">
        <v>124</v>
      </c>
      <c r="L279" s="147" t="s">
        <v>130</v>
      </c>
      <c r="M279" s="147" t="s">
        <v>124</v>
      </c>
      <c r="N279" s="147" t="s">
        <v>124</v>
      </c>
      <c r="O279" s="147" t="s">
        <v>124</v>
      </c>
      <c r="P279" s="147" t="s">
        <v>124</v>
      </c>
      <c r="Q279" s="170" t="s">
        <v>150</v>
      </c>
      <c r="R279" s="148" t="s">
        <v>119</v>
      </c>
      <c r="S279" s="148" t="s">
        <v>119</v>
      </c>
      <c r="T279" s="148" t="s">
        <v>126</v>
      </c>
      <c r="U279" s="145">
        <f>D279+E279</f>
        <v>85</v>
      </c>
      <c r="V279" s="193" t="s">
        <v>151</v>
      </c>
      <c r="W279" s="145">
        <f>D279+E279+F279</f>
        <v>184</v>
      </c>
      <c r="X279" s="149"/>
    </row>
    <row r="280" customHeight="1" spans="1:24">
      <c r="A280" s="153">
        <v>108</v>
      </c>
      <c r="B280" s="154" t="s">
        <v>547</v>
      </c>
      <c r="C280" s="144">
        <v>5</v>
      </c>
      <c r="D280" s="145">
        <v>66</v>
      </c>
      <c r="E280" s="145">
        <v>84</v>
      </c>
      <c r="F280" s="145">
        <v>32</v>
      </c>
      <c r="G280" s="145">
        <v>43</v>
      </c>
      <c r="H280" s="145">
        <v>54</v>
      </c>
      <c r="I280" s="145">
        <f>SUM(D280:H280)</f>
        <v>279</v>
      </c>
      <c r="J280" s="145">
        <v>121</v>
      </c>
      <c r="K280" s="147" t="s">
        <v>130</v>
      </c>
      <c r="L280" s="147" t="s">
        <v>114</v>
      </c>
      <c r="M280" s="147" t="s">
        <v>114</v>
      </c>
      <c r="N280" s="147" t="s">
        <v>124</v>
      </c>
      <c r="O280" s="147" t="s">
        <v>124</v>
      </c>
      <c r="P280" s="147" t="s">
        <v>114</v>
      </c>
      <c r="Q280" s="148" t="s">
        <v>393</v>
      </c>
      <c r="R280" s="148" t="s">
        <v>118</v>
      </c>
      <c r="S280" s="148" t="s">
        <v>133</v>
      </c>
      <c r="T280" s="148" t="s">
        <v>250</v>
      </c>
      <c r="U280" s="145">
        <f>D280+E280</f>
        <v>150</v>
      </c>
      <c r="V280" s="149"/>
      <c r="W280" s="145">
        <f>D280+E280+F280</f>
        <v>182</v>
      </c>
      <c r="X280" s="149"/>
    </row>
    <row r="281" customHeight="1" spans="1:24">
      <c r="A281" s="153">
        <v>699</v>
      </c>
      <c r="B281" s="154" t="s">
        <v>548</v>
      </c>
      <c r="C281" s="144">
        <v>10</v>
      </c>
      <c r="D281" s="145">
        <v>33</v>
      </c>
      <c r="E281" s="145">
        <v>58</v>
      </c>
      <c r="F281" s="145">
        <v>76</v>
      </c>
      <c r="G281" s="145">
        <v>72</v>
      </c>
      <c r="H281" s="145">
        <v>54</v>
      </c>
      <c r="I281" s="145">
        <f>SUM(D281:H281)</f>
        <v>293</v>
      </c>
      <c r="J281" s="145">
        <v>60</v>
      </c>
      <c r="K281" s="147" t="s">
        <v>124</v>
      </c>
      <c r="L281" s="147" t="s">
        <v>124</v>
      </c>
      <c r="M281" s="147" t="s">
        <v>124</v>
      </c>
      <c r="N281" s="147" t="s">
        <v>124</v>
      </c>
      <c r="O281" s="147" t="s">
        <v>124</v>
      </c>
      <c r="P281" s="147" t="s">
        <v>124</v>
      </c>
      <c r="Q281" s="148" t="s">
        <v>153</v>
      </c>
      <c r="R281" s="148" t="s">
        <v>275</v>
      </c>
      <c r="S281" s="148" t="s">
        <v>145</v>
      </c>
      <c r="T281" s="148" t="s">
        <v>126</v>
      </c>
      <c r="U281" s="145">
        <f>D281+E281</f>
        <v>91</v>
      </c>
      <c r="V281" s="149"/>
      <c r="W281" s="145">
        <f>D281+E281+F281</f>
        <v>167</v>
      </c>
      <c r="X281" s="149"/>
    </row>
    <row r="282" customHeight="1" spans="1:24">
      <c r="A282" s="153">
        <v>130</v>
      </c>
      <c r="B282" s="154" t="s">
        <v>549</v>
      </c>
      <c r="C282" s="144">
        <v>10</v>
      </c>
      <c r="D282" s="145">
        <v>80</v>
      </c>
      <c r="E282" s="145">
        <v>97</v>
      </c>
      <c r="F282" s="145">
        <v>44</v>
      </c>
      <c r="G282" s="145">
        <v>22</v>
      </c>
      <c r="H282" s="145">
        <v>54</v>
      </c>
      <c r="I282" s="145">
        <f>SUM(D282:H282)</f>
        <v>297</v>
      </c>
      <c r="J282" s="145">
        <v>84</v>
      </c>
      <c r="K282" s="147" t="s">
        <v>114</v>
      </c>
      <c r="L282" s="147" t="s">
        <v>114</v>
      </c>
      <c r="M282" s="147" t="s">
        <v>124</v>
      </c>
      <c r="N282" s="147" t="s">
        <v>114</v>
      </c>
      <c r="O282" s="147" t="s">
        <v>124</v>
      </c>
      <c r="P282" s="147" t="s">
        <v>115</v>
      </c>
      <c r="Q282" s="148" t="s">
        <v>550</v>
      </c>
      <c r="R282" s="148" t="s">
        <v>175</v>
      </c>
      <c r="S282" s="148" t="s">
        <v>136</v>
      </c>
      <c r="T282" s="148" t="s">
        <v>250</v>
      </c>
      <c r="U282" s="145">
        <f>D282+E282</f>
        <v>177</v>
      </c>
      <c r="V282" s="149"/>
      <c r="W282" s="145">
        <f>D282+E282+F282</f>
        <v>221</v>
      </c>
      <c r="X282" s="149"/>
    </row>
    <row r="283" customHeight="1" spans="1:24">
      <c r="A283" s="153">
        <v>677</v>
      </c>
      <c r="B283" s="154" t="s">
        <v>551</v>
      </c>
      <c r="C283" s="144">
        <v>2</v>
      </c>
      <c r="D283" s="145">
        <v>51</v>
      </c>
      <c r="E283" s="145">
        <v>51</v>
      </c>
      <c r="F283" s="145">
        <v>83</v>
      </c>
      <c r="G283" s="145">
        <v>75</v>
      </c>
      <c r="H283" s="145">
        <v>54</v>
      </c>
      <c r="I283" s="145">
        <f>SUM(D283:H283)</f>
        <v>314</v>
      </c>
      <c r="J283" s="145">
        <v>58</v>
      </c>
      <c r="K283" s="147" t="s">
        <v>124</v>
      </c>
      <c r="L283" s="147" t="s">
        <v>124</v>
      </c>
      <c r="M283" s="147" t="s">
        <v>124</v>
      </c>
      <c r="N283" s="147" t="s">
        <v>124</v>
      </c>
      <c r="O283" s="147" t="s">
        <v>124</v>
      </c>
      <c r="P283" s="147" t="s">
        <v>130</v>
      </c>
      <c r="Q283" s="148" t="s">
        <v>360</v>
      </c>
      <c r="R283" s="148" t="s">
        <v>119</v>
      </c>
      <c r="S283" s="148" t="s">
        <v>119</v>
      </c>
      <c r="T283" s="148" t="s">
        <v>148</v>
      </c>
      <c r="U283" s="145">
        <f>D283+E283</f>
        <v>102</v>
      </c>
      <c r="V283" s="149"/>
      <c r="W283" s="145">
        <f>D283+E283+F283</f>
        <v>185</v>
      </c>
      <c r="X283" s="149"/>
    </row>
    <row r="284" customHeight="1" spans="1:24">
      <c r="A284" s="153">
        <v>144</v>
      </c>
      <c r="B284" s="154" t="s">
        <v>552</v>
      </c>
      <c r="C284" s="157">
        <v>5</v>
      </c>
      <c r="D284" s="145">
        <v>59</v>
      </c>
      <c r="E284" s="145">
        <v>94</v>
      </c>
      <c r="F284" s="145">
        <v>25</v>
      </c>
      <c r="G284" s="145">
        <v>28</v>
      </c>
      <c r="H284" s="145">
        <v>53</v>
      </c>
      <c r="I284" s="145">
        <f>SUM(D284:H284)</f>
        <v>259</v>
      </c>
      <c r="J284" s="145">
        <v>25</v>
      </c>
      <c r="K284" s="147" t="s">
        <v>114</v>
      </c>
      <c r="L284" s="147" t="s">
        <v>130</v>
      </c>
      <c r="M284" s="147" t="s">
        <v>124</v>
      </c>
      <c r="N284" s="147" t="s">
        <v>130</v>
      </c>
      <c r="O284" s="147" t="s">
        <v>124</v>
      </c>
      <c r="P284" s="147" t="s">
        <v>124</v>
      </c>
      <c r="Q284" s="148" t="s">
        <v>256</v>
      </c>
      <c r="R284" s="148" t="s">
        <v>118</v>
      </c>
      <c r="S284" s="148" t="s">
        <v>133</v>
      </c>
      <c r="T284" s="148" t="s">
        <v>250</v>
      </c>
      <c r="U284" s="145">
        <f>D284+E284</f>
        <v>153</v>
      </c>
      <c r="V284" s="149"/>
      <c r="W284" s="145">
        <f>D284+E284+F284</f>
        <v>178</v>
      </c>
      <c r="X284" s="149"/>
    </row>
    <row r="285" customHeight="1" spans="1:24">
      <c r="A285" s="153">
        <v>663</v>
      </c>
      <c r="B285" s="175" t="s">
        <v>553</v>
      </c>
      <c r="C285" s="144">
        <v>21</v>
      </c>
      <c r="D285" s="145">
        <v>66</v>
      </c>
      <c r="E285" s="145">
        <v>106</v>
      </c>
      <c r="F285" s="145">
        <v>24</v>
      </c>
      <c r="G285" s="145">
        <v>46</v>
      </c>
      <c r="H285" s="145">
        <v>53</v>
      </c>
      <c r="I285" s="145">
        <f>SUM(D285:H285)</f>
        <v>295</v>
      </c>
      <c r="J285" s="145">
        <v>60</v>
      </c>
      <c r="K285" s="147" t="s">
        <v>130</v>
      </c>
      <c r="L285" s="147" t="s">
        <v>124</v>
      </c>
      <c r="M285" s="147" t="s">
        <v>130</v>
      </c>
      <c r="N285" s="179" t="s">
        <v>115</v>
      </c>
      <c r="O285" s="147" t="s">
        <v>124</v>
      </c>
      <c r="P285" s="147" t="s">
        <v>130</v>
      </c>
      <c r="Q285" s="158" t="s">
        <v>534</v>
      </c>
      <c r="R285" s="148" t="s">
        <v>132</v>
      </c>
      <c r="S285" s="148" t="s">
        <v>119</v>
      </c>
      <c r="T285" s="148" t="s">
        <v>250</v>
      </c>
      <c r="U285" s="145">
        <f>D285+E285</f>
        <v>172</v>
      </c>
      <c r="V285" s="148" t="s">
        <v>535</v>
      </c>
      <c r="W285" s="145">
        <f>D285+E285+F285</f>
        <v>196</v>
      </c>
      <c r="X285" s="149"/>
    </row>
    <row r="286" customHeight="1" spans="1:24">
      <c r="A286" s="153">
        <v>795</v>
      </c>
      <c r="B286" s="154" t="s">
        <v>554</v>
      </c>
      <c r="C286" s="144">
        <v>6</v>
      </c>
      <c r="D286" s="145">
        <v>71</v>
      </c>
      <c r="E286" s="145">
        <v>82</v>
      </c>
      <c r="F286" s="145">
        <v>47</v>
      </c>
      <c r="G286" s="145">
        <v>45</v>
      </c>
      <c r="H286" s="145">
        <v>53</v>
      </c>
      <c r="I286" s="145">
        <f>SUM(D286:H286)</f>
        <v>298</v>
      </c>
      <c r="J286" s="145">
        <v>74</v>
      </c>
      <c r="K286" s="147" t="s">
        <v>130</v>
      </c>
      <c r="L286" s="147" t="s">
        <v>124</v>
      </c>
      <c r="M286" s="147" t="s">
        <v>114</v>
      </c>
      <c r="N286" s="147" t="s">
        <v>115</v>
      </c>
      <c r="O286" s="147" t="s">
        <v>124</v>
      </c>
      <c r="P286" s="147" t="s">
        <v>124</v>
      </c>
      <c r="Q286" s="148" t="s">
        <v>416</v>
      </c>
      <c r="R286" s="148" t="s">
        <v>119</v>
      </c>
      <c r="S286" s="148" t="s">
        <v>133</v>
      </c>
      <c r="T286" s="148" t="s">
        <v>250</v>
      </c>
      <c r="U286" s="145">
        <f>D286+E286</f>
        <v>153</v>
      </c>
      <c r="V286" s="149"/>
      <c r="W286" s="145">
        <f>D286+E286+F286</f>
        <v>200</v>
      </c>
      <c r="X286" s="149"/>
    </row>
    <row r="287" customHeight="1" spans="1:24">
      <c r="A287" s="153">
        <v>307</v>
      </c>
      <c r="B287" s="154" t="s">
        <v>555</v>
      </c>
      <c r="C287" s="144">
        <v>10</v>
      </c>
      <c r="D287" s="145">
        <v>71</v>
      </c>
      <c r="E287" s="145">
        <v>95</v>
      </c>
      <c r="F287" s="145">
        <v>35</v>
      </c>
      <c r="G287" s="145">
        <v>47</v>
      </c>
      <c r="H287" s="145">
        <v>53</v>
      </c>
      <c r="I287" s="145">
        <f>SUM(D287:H287)</f>
        <v>301</v>
      </c>
      <c r="J287" s="145">
        <v>134</v>
      </c>
      <c r="K287" s="147" t="s">
        <v>130</v>
      </c>
      <c r="L287" s="147" t="s">
        <v>130</v>
      </c>
      <c r="M287" s="147" t="s">
        <v>130</v>
      </c>
      <c r="N287" s="147" t="s">
        <v>114</v>
      </c>
      <c r="O287" s="147" t="s">
        <v>124</v>
      </c>
      <c r="P287" s="147" t="s">
        <v>124</v>
      </c>
      <c r="Q287" s="148" t="s">
        <v>256</v>
      </c>
      <c r="R287" s="148" t="s">
        <v>119</v>
      </c>
      <c r="S287" s="148" t="s">
        <v>119</v>
      </c>
      <c r="T287" s="148" t="s">
        <v>250</v>
      </c>
      <c r="U287" s="145">
        <f>D287+E287</f>
        <v>166</v>
      </c>
      <c r="V287" s="149"/>
      <c r="W287" s="145">
        <f>D287+E287+F287</f>
        <v>201</v>
      </c>
      <c r="X287" s="149"/>
    </row>
    <row r="288" customHeight="1" spans="1:24">
      <c r="A288" s="153">
        <v>400</v>
      </c>
      <c r="B288" s="154" t="s">
        <v>556</v>
      </c>
      <c r="C288" s="144">
        <v>9</v>
      </c>
      <c r="D288" s="145">
        <v>72</v>
      </c>
      <c r="E288" s="145">
        <v>93</v>
      </c>
      <c r="F288" s="145">
        <v>52</v>
      </c>
      <c r="G288" s="145">
        <v>38</v>
      </c>
      <c r="H288" s="145">
        <v>53</v>
      </c>
      <c r="I288" s="145">
        <f>SUM(D288:H288)</f>
        <v>308</v>
      </c>
      <c r="J288" s="145">
        <v>142</v>
      </c>
      <c r="K288" s="147" t="s">
        <v>114</v>
      </c>
      <c r="L288" s="147" t="s">
        <v>114</v>
      </c>
      <c r="M288" s="147" t="s">
        <v>130</v>
      </c>
      <c r="N288" s="147" t="s">
        <v>114</v>
      </c>
      <c r="O288" s="147" t="s">
        <v>124</v>
      </c>
      <c r="P288" s="147" t="s">
        <v>130</v>
      </c>
      <c r="Q288" s="148" t="s">
        <v>411</v>
      </c>
      <c r="R288" s="148" t="s">
        <v>132</v>
      </c>
      <c r="S288" s="148" t="s">
        <v>119</v>
      </c>
      <c r="T288" s="148" t="s">
        <v>250</v>
      </c>
      <c r="U288" s="145">
        <f>D288+E288</f>
        <v>165</v>
      </c>
      <c r="V288" s="149"/>
      <c r="W288" s="145">
        <f>D288+E288+F288</f>
        <v>217</v>
      </c>
      <c r="X288" s="149"/>
    </row>
    <row r="289" customHeight="1" spans="1:24">
      <c r="A289" s="153">
        <v>523</v>
      </c>
      <c r="B289" s="154" t="s">
        <v>557</v>
      </c>
      <c r="C289" s="144">
        <v>10</v>
      </c>
      <c r="D289" s="145">
        <v>57</v>
      </c>
      <c r="E289" s="145">
        <v>47</v>
      </c>
      <c r="F289" s="145">
        <v>77</v>
      </c>
      <c r="G289" s="145">
        <v>90</v>
      </c>
      <c r="H289" s="145">
        <v>53</v>
      </c>
      <c r="I289" s="145">
        <f>SUM(D289:H289)</f>
        <v>324</v>
      </c>
      <c r="J289" s="145">
        <v>45</v>
      </c>
      <c r="K289" s="147" t="s">
        <v>124</v>
      </c>
      <c r="L289" s="147" t="s">
        <v>124</v>
      </c>
      <c r="M289" s="147" t="s">
        <v>130</v>
      </c>
      <c r="N289" s="147" t="s">
        <v>130</v>
      </c>
      <c r="O289" s="147" t="s">
        <v>124</v>
      </c>
      <c r="P289" s="147" t="s">
        <v>124</v>
      </c>
      <c r="Q289" s="148" t="s">
        <v>302</v>
      </c>
      <c r="R289" s="148" t="s">
        <v>132</v>
      </c>
      <c r="S289" s="148" t="s">
        <v>119</v>
      </c>
      <c r="T289" s="148" t="s">
        <v>126</v>
      </c>
      <c r="U289" s="145">
        <f>D289+E289</f>
        <v>104</v>
      </c>
      <c r="V289" s="149"/>
      <c r="W289" s="145">
        <f>D289+E289+F289</f>
        <v>181</v>
      </c>
      <c r="X289" s="149"/>
    </row>
    <row r="290" customHeight="1" spans="1:24">
      <c r="A290" s="153">
        <v>311</v>
      </c>
      <c r="B290" s="156" t="s">
        <v>558</v>
      </c>
      <c r="C290" s="144">
        <v>8</v>
      </c>
      <c r="D290" s="145">
        <v>80</v>
      </c>
      <c r="E290" s="145">
        <v>73</v>
      </c>
      <c r="F290" s="145">
        <v>93</v>
      </c>
      <c r="G290" s="145">
        <v>72</v>
      </c>
      <c r="H290" s="145">
        <v>53</v>
      </c>
      <c r="I290" s="145">
        <f>SUM(D290:H290)</f>
        <v>371</v>
      </c>
      <c r="J290" s="145">
        <v>20</v>
      </c>
      <c r="K290" s="147" t="s">
        <v>130</v>
      </c>
      <c r="L290" s="147" t="s">
        <v>115</v>
      </c>
      <c r="M290" s="147" t="s">
        <v>124</v>
      </c>
      <c r="N290" s="147" t="s">
        <v>114</v>
      </c>
      <c r="O290" s="147" t="s">
        <v>124</v>
      </c>
      <c r="P290" s="147" t="s">
        <v>130</v>
      </c>
      <c r="Q290" s="148" t="s">
        <v>309</v>
      </c>
      <c r="R290" s="148" t="s">
        <v>132</v>
      </c>
      <c r="S290" s="148" t="s">
        <v>119</v>
      </c>
      <c r="T290" s="148" t="s">
        <v>250</v>
      </c>
      <c r="U290" s="145">
        <f>D290+E290</f>
        <v>153</v>
      </c>
      <c r="V290" s="149"/>
      <c r="W290" s="145">
        <f>D290+E290+F290</f>
        <v>246</v>
      </c>
      <c r="X290" s="149"/>
    </row>
    <row r="291" customHeight="1" spans="1:24">
      <c r="A291" s="153">
        <v>678</v>
      </c>
      <c r="B291" s="154" t="s">
        <v>559</v>
      </c>
      <c r="C291" s="144">
        <v>21</v>
      </c>
      <c r="D291" s="145">
        <v>49</v>
      </c>
      <c r="E291" s="145">
        <v>56</v>
      </c>
      <c r="F291" s="145">
        <v>82</v>
      </c>
      <c r="G291" s="145">
        <v>107</v>
      </c>
      <c r="H291" s="145">
        <v>52</v>
      </c>
      <c r="I291" s="145">
        <f>SUM(D291:H291)</f>
        <v>346</v>
      </c>
      <c r="J291" s="145">
        <v>91</v>
      </c>
      <c r="K291" s="147" t="s">
        <v>124</v>
      </c>
      <c r="L291" s="147" t="s">
        <v>124</v>
      </c>
      <c r="M291" s="147" t="s">
        <v>124</v>
      </c>
      <c r="N291" s="147" t="s">
        <v>124</v>
      </c>
      <c r="O291" s="147" t="s">
        <v>124</v>
      </c>
      <c r="P291" s="147" t="s">
        <v>124</v>
      </c>
      <c r="Q291" s="148" t="s">
        <v>328</v>
      </c>
      <c r="R291" s="148" t="s">
        <v>132</v>
      </c>
      <c r="S291" s="148" t="s">
        <v>119</v>
      </c>
      <c r="T291" s="148" t="s">
        <v>126</v>
      </c>
      <c r="U291" s="145">
        <f>D291+E291</f>
        <v>105</v>
      </c>
      <c r="V291" s="149"/>
      <c r="W291" s="145">
        <f>D291+E291+F291</f>
        <v>187</v>
      </c>
      <c r="X291" s="149"/>
    </row>
    <row r="292" customHeight="1" spans="1:24">
      <c r="A292" s="153">
        <v>315</v>
      </c>
      <c r="B292" s="154" t="s">
        <v>560</v>
      </c>
      <c r="C292" s="144">
        <v>4</v>
      </c>
      <c r="D292" s="145">
        <v>67</v>
      </c>
      <c r="E292" s="145">
        <v>87</v>
      </c>
      <c r="F292" s="145">
        <v>54</v>
      </c>
      <c r="G292" s="145">
        <v>46</v>
      </c>
      <c r="H292" s="145">
        <v>51</v>
      </c>
      <c r="I292" s="145">
        <f>SUM(D292:H292)</f>
        <v>305</v>
      </c>
      <c r="J292" s="145">
        <v>85</v>
      </c>
      <c r="K292" s="147" t="s">
        <v>114</v>
      </c>
      <c r="L292" s="147" t="s">
        <v>114</v>
      </c>
      <c r="M292" s="147" t="s">
        <v>114</v>
      </c>
      <c r="N292" s="147" t="s">
        <v>130</v>
      </c>
      <c r="O292" s="147" t="s">
        <v>124</v>
      </c>
      <c r="P292" s="147" t="s">
        <v>124</v>
      </c>
      <c r="Q292" s="148" t="s">
        <v>192</v>
      </c>
      <c r="R292" s="148" t="s">
        <v>119</v>
      </c>
      <c r="S292" s="148" t="s">
        <v>119</v>
      </c>
      <c r="T292" s="148" t="s">
        <v>250</v>
      </c>
      <c r="U292" s="145">
        <f>D292+E292</f>
        <v>154</v>
      </c>
      <c r="V292" s="149"/>
      <c r="W292" s="145">
        <f>D292+E292+F292</f>
        <v>208</v>
      </c>
      <c r="X292" s="149"/>
    </row>
    <row r="293" customHeight="1" spans="1:24">
      <c r="A293" s="153">
        <v>332</v>
      </c>
      <c r="B293" s="154" t="s">
        <v>561</v>
      </c>
      <c r="C293" s="144">
        <v>15</v>
      </c>
      <c r="D293" s="145">
        <v>75</v>
      </c>
      <c r="E293" s="145">
        <v>97</v>
      </c>
      <c r="F293" s="145">
        <v>40</v>
      </c>
      <c r="G293" s="145">
        <v>15</v>
      </c>
      <c r="H293" s="145">
        <v>50</v>
      </c>
      <c r="I293" s="145">
        <f>SUM(D293:H293)</f>
        <v>277</v>
      </c>
      <c r="J293" s="145">
        <v>32</v>
      </c>
      <c r="K293" s="147" t="s">
        <v>114</v>
      </c>
      <c r="L293" s="147" t="s">
        <v>130</v>
      </c>
      <c r="M293" s="147" t="s">
        <v>114</v>
      </c>
      <c r="N293" s="147" t="s">
        <v>114</v>
      </c>
      <c r="O293" s="147" t="s">
        <v>124</v>
      </c>
      <c r="P293" s="147" t="s">
        <v>130</v>
      </c>
      <c r="Q293" s="148" t="s">
        <v>562</v>
      </c>
      <c r="R293" s="148" t="s">
        <v>119</v>
      </c>
      <c r="S293" s="148" t="s">
        <v>119</v>
      </c>
      <c r="T293" s="148" t="s">
        <v>250</v>
      </c>
      <c r="U293" s="145">
        <f>D293+E293</f>
        <v>172</v>
      </c>
      <c r="V293" s="149"/>
      <c r="W293" s="145">
        <f>D293+E293+F293</f>
        <v>212</v>
      </c>
      <c r="X293" s="149"/>
    </row>
    <row r="294" customHeight="1" spans="1:24">
      <c r="A294" s="153">
        <v>474</v>
      </c>
      <c r="B294" s="154" t="s">
        <v>563</v>
      </c>
      <c r="C294" s="144">
        <v>11</v>
      </c>
      <c r="D294" s="145">
        <v>63</v>
      </c>
      <c r="E294" s="145">
        <v>99</v>
      </c>
      <c r="F294" s="145">
        <v>26</v>
      </c>
      <c r="G294" s="145">
        <v>39</v>
      </c>
      <c r="H294" s="145">
        <v>49</v>
      </c>
      <c r="I294" s="145">
        <f>SUM(D294:H294)</f>
        <v>276</v>
      </c>
      <c r="J294" s="145">
        <v>36</v>
      </c>
      <c r="K294" s="147" t="s">
        <v>130</v>
      </c>
      <c r="L294" s="147" t="s">
        <v>114</v>
      </c>
      <c r="M294" s="147" t="s">
        <v>124</v>
      </c>
      <c r="N294" s="147" t="s">
        <v>130</v>
      </c>
      <c r="O294" s="147" t="s">
        <v>124</v>
      </c>
      <c r="P294" s="147" t="s">
        <v>130</v>
      </c>
      <c r="Q294" s="148" t="s">
        <v>239</v>
      </c>
      <c r="R294" s="148" t="s">
        <v>132</v>
      </c>
      <c r="S294" s="148" t="s">
        <v>119</v>
      </c>
      <c r="T294" s="148" t="s">
        <v>126</v>
      </c>
      <c r="U294" s="145">
        <f>D294+E294</f>
        <v>162</v>
      </c>
      <c r="V294" s="149"/>
      <c r="W294" s="145">
        <f>D294+E294+F294</f>
        <v>188</v>
      </c>
      <c r="X294" s="149"/>
    </row>
    <row r="295" customHeight="1" spans="1:24">
      <c r="A295" s="153">
        <v>539</v>
      </c>
      <c r="B295" s="154" t="s">
        <v>564</v>
      </c>
      <c r="C295" s="144">
        <v>6</v>
      </c>
      <c r="D295" s="145">
        <v>67</v>
      </c>
      <c r="E295" s="145">
        <v>83</v>
      </c>
      <c r="F295" s="145">
        <v>59</v>
      </c>
      <c r="G295" s="145">
        <v>29</v>
      </c>
      <c r="H295" s="145">
        <v>49</v>
      </c>
      <c r="I295" s="145">
        <f>SUM(D295:H295)</f>
        <v>287</v>
      </c>
      <c r="J295" s="145">
        <v>135</v>
      </c>
      <c r="K295" s="147" t="s">
        <v>130</v>
      </c>
      <c r="L295" s="147" t="s">
        <v>124</v>
      </c>
      <c r="M295" s="147" t="s">
        <v>130</v>
      </c>
      <c r="N295" s="147" t="s">
        <v>114</v>
      </c>
      <c r="O295" s="147" t="s">
        <v>124</v>
      </c>
      <c r="P295" s="147" t="s">
        <v>124</v>
      </c>
      <c r="Q295" s="148" t="s">
        <v>256</v>
      </c>
      <c r="R295" s="148" t="s">
        <v>275</v>
      </c>
      <c r="S295" s="148" t="s">
        <v>145</v>
      </c>
      <c r="T295" s="148" t="s">
        <v>250</v>
      </c>
      <c r="U295" s="145">
        <f>D295+E295</f>
        <v>150</v>
      </c>
      <c r="V295" s="149"/>
      <c r="W295" s="145">
        <f>D295+E295+F295</f>
        <v>209</v>
      </c>
      <c r="X295" s="149"/>
    </row>
    <row r="296" customHeight="1" spans="1:24">
      <c r="A296" s="153">
        <v>594</v>
      </c>
      <c r="B296" s="154" t="s">
        <v>565</v>
      </c>
      <c r="C296" s="144">
        <v>7</v>
      </c>
      <c r="D296" s="145">
        <v>75</v>
      </c>
      <c r="E296" s="145">
        <v>89</v>
      </c>
      <c r="F296" s="145">
        <v>42</v>
      </c>
      <c r="G296" s="145">
        <v>44</v>
      </c>
      <c r="H296" s="145">
        <v>49</v>
      </c>
      <c r="I296" s="145">
        <f>SUM(D296:H296)</f>
        <v>299</v>
      </c>
      <c r="J296" s="145">
        <v>115</v>
      </c>
      <c r="K296" s="147" t="s">
        <v>114</v>
      </c>
      <c r="L296" s="147" t="s">
        <v>130</v>
      </c>
      <c r="M296" s="147" t="s">
        <v>124</v>
      </c>
      <c r="N296" s="147" t="s">
        <v>130</v>
      </c>
      <c r="O296" s="147" t="s">
        <v>124</v>
      </c>
      <c r="P296" s="147" t="s">
        <v>130</v>
      </c>
      <c r="Q296" s="148" t="s">
        <v>411</v>
      </c>
      <c r="R296" s="148" t="s">
        <v>175</v>
      </c>
      <c r="S296" s="148" t="s">
        <v>136</v>
      </c>
      <c r="T296" s="148" t="s">
        <v>250</v>
      </c>
      <c r="U296" s="145">
        <f>D296+E296</f>
        <v>164</v>
      </c>
      <c r="V296" s="149"/>
      <c r="W296" s="145">
        <f>D296+E296+F296</f>
        <v>206</v>
      </c>
      <c r="X296" s="149"/>
    </row>
    <row r="297" customHeight="1" spans="1:24">
      <c r="A297" s="153">
        <v>354</v>
      </c>
      <c r="B297" s="154" t="s">
        <v>566</v>
      </c>
      <c r="C297" s="144">
        <v>6</v>
      </c>
      <c r="D297" s="145">
        <v>73</v>
      </c>
      <c r="E297" s="145">
        <v>87</v>
      </c>
      <c r="F297" s="145">
        <v>35</v>
      </c>
      <c r="G297" s="145">
        <v>32</v>
      </c>
      <c r="H297" s="145">
        <v>48</v>
      </c>
      <c r="I297" s="145">
        <f>SUM(D297:H297)</f>
        <v>275</v>
      </c>
      <c r="J297" s="145">
        <v>125</v>
      </c>
      <c r="K297" s="147" t="s">
        <v>130</v>
      </c>
      <c r="L297" s="147" t="s">
        <v>130</v>
      </c>
      <c r="M297" s="147" t="s">
        <v>130</v>
      </c>
      <c r="N297" s="147" t="s">
        <v>114</v>
      </c>
      <c r="O297" s="147" t="s">
        <v>124</v>
      </c>
      <c r="P297" s="147" t="s">
        <v>130</v>
      </c>
      <c r="Q297" s="148" t="s">
        <v>404</v>
      </c>
      <c r="R297" s="148" t="s">
        <v>132</v>
      </c>
      <c r="S297" s="148" t="s">
        <v>119</v>
      </c>
      <c r="T297" s="148" t="s">
        <v>126</v>
      </c>
      <c r="U297" s="145">
        <f>D297+E297</f>
        <v>160</v>
      </c>
      <c r="V297" s="149"/>
      <c r="W297" s="145">
        <f>D297+E297+F297</f>
        <v>195</v>
      </c>
      <c r="X297" s="149"/>
    </row>
    <row r="298" customHeight="1" spans="1:24">
      <c r="A298" s="153">
        <v>75</v>
      </c>
      <c r="B298" s="154" t="s">
        <v>567</v>
      </c>
      <c r="C298" s="144">
        <v>16</v>
      </c>
      <c r="D298" s="145">
        <v>22</v>
      </c>
      <c r="E298" s="145">
        <v>36</v>
      </c>
      <c r="F298" s="145">
        <v>72</v>
      </c>
      <c r="G298" s="145">
        <v>97</v>
      </c>
      <c r="H298" s="145">
        <v>48</v>
      </c>
      <c r="I298" s="145">
        <f>SUM(D298:H298)</f>
        <v>275</v>
      </c>
      <c r="J298" s="145">
        <v>147</v>
      </c>
      <c r="K298" s="147" t="s">
        <v>124</v>
      </c>
      <c r="L298" s="147" t="s">
        <v>124</v>
      </c>
      <c r="M298" s="147" t="s">
        <v>124</v>
      </c>
      <c r="N298" s="147" t="s">
        <v>124</v>
      </c>
      <c r="O298" s="147" t="s">
        <v>124</v>
      </c>
      <c r="P298" s="147" t="s">
        <v>124</v>
      </c>
      <c r="Q298" s="148" t="s">
        <v>292</v>
      </c>
      <c r="R298" s="148" t="s">
        <v>175</v>
      </c>
      <c r="S298" s="148" t="s">
        <v>136</v>
      </c>
      <c r="T298" s="148" t="s">
        <v>120</v>
      </c>
      <c r="U298" s="145">
        <f>D298+E298</f>
        <v>58</v>
      </c>
      <c r="V298" s="149"/>
      <c r="W298" s="145">
        <f>D298+E298+F298</f>
        <v>130</v>
      </c>
      <c r="X298" s="149"/>
    </row>
    <row r="299" customHeight="1" spans="1:24">
      <c r="A299" s="153">
        <v>138</v>
      </c>
      <c r="B299" s="154" t="s">
        <v>568</v>
      </c>
      <c r="C299" s="144">
        <v>9</v>
      </c>
      <c r="D299" s="145">
        <v>36</v>
      </c>
      <c r="E299" s="145">
        <v>41</v>
      </c>
      <c r="F299" s="145">
        <v>92</v>
      </c>
      <c r="G299" s="145">
        <v>76</v>
      </c>
      <c r="H299" s="145">
        <v>48</v>
      </c>
      <c r="I299" s="145">
        <f>SUM(D299:H299)</f>
        <v>293</v>
      </c>
      <c r="J299" s="145">
        <v>86</v>
      </c>
      <c r="K299" s="147" t="s">
        <v>124</v>
      </c>
      <c r="L299" s="147" t="s">
        <v>124</v>
      </c>
      <c r="M299" s="147" t="s">
        <v>124</v>
      </c>
      <c r="N299" s="147" t="s">
        <v>124</v>
      </c>
      <c r="O299" s="147" t="s">
        <v>124</v>
      </c>
      <c r="P299" s="147" t="s">
        <v>124</v>
      </c>
      <c r="Q299" s="158" t="s">
        <v>522</v>
      </c>
      <c r="R299" s="148" t="s">
        <v>119</v>
      </c>
      <c r="S299" s="148" t="s">
        <v>119</v>
      </c>
      <c r="T299" s="148" t="s">
        <v>126</v>
      </c>
      <c r="U299" s="145">
        <f>D299+E299</f>
        <v>77</v>
      </c>
      <c r="V299" s="148" t="s">
        <v>523</v>
      </c>
      <c r="W299" s="145">
        <f>D299+E299+F299</f>
        <v>169</v>
      </c>
      <c r="X299" s="149"/>
    </row>
    <row r="300" customHeight="1" spans="1:24">
      <c r="A300" s="153">
        <v>522</v>
      </c>
      <c r="B300" s="143" t="s">
        <v>569</v>
      </c>
      <c r="C300" s="144">
        <v>1</v>
      </c>
      <c r="D300" s="145">
        <v>48</v>
      </c>
      <c r="E300" s="145">
        <v>41</v>
      </c>
      <c r="F300" s="145">
        <v>73</v>
      </c>
      <c r="G300" s="145">
        <v>88</v>
      </c>
      <c r="H300" s="145">
        <v>48</v>
      </c>
      <c r="I300" s="145">
        <f>SUM(D300:H300)</f>
        <v>298</v>
      </c>
      <c r="J300" s="145">
        <v>86</v>
      </c>
      <c r="K300" s="147" t="s">
        <v>124</v>
      </c>
      <c r="L300" s="147" t="s">
        <v>124</v>
      </c>
      <c r="M300" s="147" t="s">
        <v>124</v>
      </c>
      <c r="N300" s="147" t="s">
        <v>124</v>
      </c>
      <c r="O300" s="147" t="s">
        <v>124</v>
      </c>
      <c r="P300" s="147" t="s">
        <v>124</v>
      </c>
      <c r="Q300" s="148" t="s">
        <v>344</v>
      </c>
      <c r="R300" s="148" t="s">
        <v>132</v>
      </c>
      <c r="S300" s="148" t="s">
        <v>119</v>
      </c>
      <c r="T300" s="148" t="s">
        <v>250</v>
      </c>
      <c r="U300" s="145">
        <f>D300+E300</f>
        <v>89</v>
      </c>
      <c r="V300" s="149"/>
      <c r="W300" s="145">
        <f>D300+E300+F300</f>
        <v>162</v>
      </c>
      <c r="X300" s="149"/>
    </row>
    <row r="301" customHeight="1" spans="1:24">
      <c r="A301" s="153">
        <v>373</v>
      </c>
      <c r="B301" s="154" t="s">
        <v>570</v>
      </c>
      <c r="C301" s="144">
        <v>5</v>
      </c>
      <c r="D301" s="145">
        <v>73</v>
      </c>
      <c r="E301" s="145">
        <v>88</v>
      </c>
      <c r="F301" s="145">
        <v>32</v>
      </c>
      <c r="G301" s="145">
        <v>27</v>
      </c>
      <c r="H301" s="145">
        <v>47</v>
      </c>
      <c r="I301" s="145">
        <f>SUM(D301:H301)</f>
        <v>267</v>
      </c>
      <c r="J301" s="145">
        <v>117</v>
      </c>
      <c r="K301" s="147" t="s">
        <v>114</v>
      </c>
      <c r="L301" s="147" t="s">
        <v>114</v>
      </c>
      <c r="M301" s="147" t="s">
        <v>130</v>
      </c>
      <c r="N301" s="147" t="s">
        <v>124</v>
      </c>
      <c r="O301" s="147" t="s">
        <v>124</v>
      </c>
      <c r="P301" s="147" t="s">
        <v>115</v>
      </c>
      <c r="Q301" s="148" t="s">
        <v>311</v>
      </c>
      <c r="R301" s="148" t="s">
        <v>132</v>
      </c>
      <c r="S301" s="148" t="s">
        <v>119</v>
      </c>
      <c r="T301" s="148" t="s">
        <v>250</v>
      </c>
      <c r="U301" s="145">
        <f>D301+E301</f>
        <v>161</v>
      </c>
      <c r="V301" s="149"/>
      <c r="W301" s="145">
        <f>D301+E301+F301</f>
        <v>193</v>
      </c>
      <c r="X301" s="149"/>
    </row>
    <row r="302" customHeight="1" spans="1:24">
      <c r="A302" s="153">
        <v>232</v>
      </c>
      <c r="B302" s="154" t="s">
        <v>571</v>
      </c>
      <c r="C302" s="144">
        <v>11</v>
      </c>
      <c r="D302" s="145">
        <v>78</v>
      </c>
      <c r="E302" s="145">
        <v>90</v>
      </c>
      <c r="F302" s="145">
        <v>60</v>
      </c>
      <c r="G302" s="145">
        <v>13</v>
      </c>
      <c r="H302" s="145">
        <v>47</v>
      </c>
      <c r="I302" s="145">
        <f>SUM(D302:H302)</f>
        <v>288</v>
      </c>
      <c r="J302" s="145">
        <v>33</v>
      </c>
      <c r="K302" s="147" t="s">
        <v>115</v>
      </c>
      <c r="L302" s="147" t="s">
        <v>114</v>
      </c>
      <c r="M302" s="147" t="s">
        <v>130</v>
      </c>
      <c r="N302" s="147" t="s">
        <v>130</v>
      </c>
      <c r="O302" s="147" t="s">
        <v>124</v>
      </c>
      <c r="P302" s="147" t="s">
        <v>114</v>
      </c>
      <c r="Q302" s="148" t="s">
        <v>208</v>
      </c>
      <c r="R302" s="148" t="s">
        <v>175</v>
      </c>
      <c r="S302" s="148" t="s">
        <v>119</v>
      </c>
      <c r="T302" s="148" t="s">
        <v>250</v>
      </c>
      <c r="U302" s="145">
        <f>D302+E302</f>
        <v>168</v>
      </c>
      <c r="V302" s="149"/>
      <c r="W302" s="145">
        <f>D302+E302+F302</f>
        <v>228</v>
      </c>
      <c r="X302" s="149"/>
    </row>
    <row r="303" customHeight="1" spans="1:24">
      <c r="A303" s="153">
        <v>791</v>
      </c>
      <c r="B303" s="154" t="s">
        <v>572</v>
      </c>
      <c r="C303" s="144">
        <v>8</v>
      </c>
      <c r="D303" s="145">
        <v>77</v>
      </c>
      <c r="E303" s="145">
        <v>92</v>
      </c>
      <c r="F303" s="145">
        <v>41</v>
      </c>
      <c r="G303" s="145">
        <v>34</v>
      </c>
      <c r="H303" s="145">
        <v>47</v>
      </c>
      <c r="I303" s="145">
        <f>SUM(D303:H303)</f>
        <v>291</v>
      </c>
      <c r="J303" s="145">
        <v>126</v>
      </c>
      <c r="K303" s="147" t="s">
        <v>114</v>
      </c>
      <c r="L303" s="147" t="s">
        <v>114</v>
      </c>
      <c r="M303" s="147" t="s">
        <v>130</v>
      </c>
      <c r="N303" s="147" t="s">
        <v>130</v>
      </c>
      <c r="O303" s="147" t="s">
        <v>124</v>
      </c>
      <c r="P303" s="147" t="s">
        <v>130</v>
      </c>
      <c r="Q303" s="148" t="s">
        <v>192</v>
      </c>
      <c r="R303" s="148" t="s">
        <v>275</v>
      </c>
      <c r="S303" s="148" t="s">
        <v>136</v>
      </c>
      <c r="T303" s="148" t="s">
        <v>126</v>
      </c>
      <c r="U303" s="145">
        <f>D303+E303</f>
        <v>169</v>
      </c>
      <c r="V303" s="149"/>
      <c r="W303" s="145">
        <f>D303+E303+F303</f>
        <v>210</v>
      </c>
      <c r="X303" s="149"/>
    </row>
    <row r="304" customHeight="1" spans="1:24">
      <c r="A304" s="153">
        <v>313</v>
      </c>
      <c r="B304" s="154" t="s">
        <v>573</v>
      </c>
      <c r="C304" s="144">
        <v>4</v>
      </c>
      <c r="D304" s="145">
        <v>72</v>
      </c>
      <c r="E304" s="145">
        <v>81</v>
      </c>
      <c r="F304" s="145">
        <v>50</v>
      </c>
      <c r="G304" s="145">
        <v>35</v>
      </c>
      <c r="H304" s="145">
        <v>46</v>
      </c>
      <c r="I304" s="145">
        <f>SUM(D304:H304)</f>
        <v>284</v>
      </c>
      <c r="J304" s="145">
        <v>131</v>
      </c>
      <c r="K304" s="147" t="s">
        <v>114</v>
      </c>
      <c r="L304" s="147" t="s">
        <v>114</v>
      </c>
      <c r="M304" s="147" t="s">
        <v>130</v>
      </c>
      <c r="N304" s="147" t="s">
        <v>114</v>
      </c>
      <c r="O304" s="147" t="s">
        <v>124</v>
      </c>
      <c r="P304" s="147" t="s">
        <v>124</v>
      </c>
      <c r="Q304" s="148" t="s">
        <v>321</v>
      </c>
      <c r="R304" s="148" t="s">
        <v>132</v>
      </c>
      <c r="S304" s="148" t="s">
        <v>119</v>
      </c>
      <c r="T304" s="148" t="s">
        <v>250</v>
      </c>
      <c r="U304" s="145">
        <f>D304+E304</f>
        <v>153</v>
      </c>
      <c r="V304" s="149"/>
      <c r="W304" s="145">
        <f>D304+E304+F304</f>
        <v>203</v>
      </c>
      <c r="X304" s="149"/>
    </row>
    <row r="305" customHeight="1" spans="1:24">
      <c r="A305" s="153">
        <v>443</v>
      </c>
      <c r="B305" s="154" t="s">
        <v>574</v>
      </c>
      <c r="C305" s="144">
        <v>7</v>
      </c>
      <c r="D305" s="145">
        <v>73</v>
      </c>
      <c r="E305" s="145">
        <v>85</v>
      </c>
      <c r="F305" s="145">
        <v>43</v>
      </c>
      <c r="G305" s="145">
        <v>35</v>
      </c>
      <c r="H305" s="145">
        <v>45</v>
      </c>
      <c r="I305" s="145">
        <f>SUM(D305:H305)</f>
        <v>281</v>
      </c>
      <c r="J305" s="145">
        <v>11</v>
      </c>
      <c r="K305" s="147" t="s">
        <v>124</v>
      </c>
      <c r="L305" s="147" t="s">
        <v>130</v>
      </c>
      <c r="M305" s="147" t="s">
        <v>130</v>
      </c>
      <c r="N305" s="147" t="s">
        <v>114</v>
      </c>
      <c r="O305" s="147" t="s">
        <v>124</v>
      </c>
      <c r="P305" s="147" t="s">
        <v>124</v>
      </c>
      <c r="Q305" s="148" t="s">
        <v>194</v>
      </c>
      <c r="R305" s="148" t="s">
        <v>132</v>
      </c>
      <c r="S305" s="148" t="s">
        <v>119</v>
      </c>
      <c r="T305" s="148" t="s">
        <v>148</v>
      </c>
      <c r="U305" s="145">
        <f>D305+E305</f>
        <v>158</v>
      </c>
      <c r="V305" s="149"/>
      <c r="W305" s="145">
        <f>D305+E305+F305</f>
        <v>201</v>
      </c>
      <c r="X305" s="149"/>
    </row>
    <row r="306" customHeight="1" spans="1:24">
      <c r="A306" s="153">
        <v>325</v>
      </c>
      <c r="B306" s="154" t="s">
        <v>575</v>
      </c>
      <c r="C306" s="144">
        <v>7</v>
      </c>
      <c r="D306" s="145">
        <v>79</v>
      </c>
      <c r="E306" s="145">
        <v>75</v>
      </c>
      <c r="F306" s="145">
        <v>56</v>
      </c>
      <c r="G306" s="145">
        <v>45</v>
      </c>
      <c r="H306" s="145">
        <v>45</v>
      </c>
      <c r="I306" s="145">
        <f>SUM(D306:H306)</f>
        <v>300</v>
      </c>
      <c r="J306" s="145">
        <v>68</v>
      </c>
      <c r="K306" s="147" t="s">
        <v>115</v>
      </c>
      <c r="L306" s="147" t="s">
        <v>114</v>
      </c>
      <c r="M306" s="147" t="s">
        <v>130</v>
      </c>
      <c r="N306" s="147" t="s">
        <v>130</v>
      </c>
      <c r="O306" s="147" t="s">
        <v>124</v>
      </c>
      <c r="P306" s="147" t="s">
        <v>114</v>
      </c>
      <c r="Q306" s="148" t="s">
        <v>472</v>
      </c>
      <c r="R306" s="148" t="s">
        <v>119</v>
      </c>
      <c r="S306" s="148" t="s">
        <v>119</v>
      </c>
      <c r="T306" s="148" t="s">
        <v>250</v>
      </c>
      <c r="U306" s="145">
        <f>D306+E306</f>
        <v>154</v>
      </c>
      <c r="V306" s="149"/>
      <c r="W306" s="145">
        <f>D306+E306+F306</f>
        <v>210</v>
      </c>
      <c r="X306" s="149"/>
    </row>
    <row r="307" customHeight="1" spans="1:24">
      <c r="A307" s="153">
        <v>545</v>
      </c>
      <c r="B307" s="154" t="s">
        <v>576</v>
      </c>
      <c r="C307" s="144">
        <v>6</v>
      </c>
      <c r="D307" s="145">
        <v>78</v>
      </c>
      <c r="E307" s="145">
        <v>83</v>
      </c>
      <c r="F307" s="145">
        <v>57</v>
      </c>
      <c r="G307" s="145">
        <v>64</v>
      </c>
      <c r="H307" s="145">
        <v>45</v>
      </c>
      <c r="I307" s="145">
        <f>SUM(D307:H307)</f>
        <v>327</v>
      </c>
      <c r="J307" s="145">
        <v>127</v>
      </c>
      <c r="K307" s="147" t="s">
        <v>130</v>
      </c>
      <c r="L307" s="147" t="s">
        <v>130</v>
      </c>
      <c r="M307" s="147" t="s">
        <v>124</v>
      </c>
      <c r="N307" s="147" t="s">
        <v>115</v>
      </c>
      <c r="O307" s="147" t="s">
        <v>124</v>
      </c>
      <c r="P307" s="147" t="s">
        <v>124</v>
      </c>
      <c r="Q307" s="148" t="s">
        <v>577</v>
      </c>
      <c r="R307" s="148" t="s">
        <v>119</v>
      </c>
      <c r="S307" s="148" t="s">
        <v>119</v>
      </c>
      <c r="T307" s="148" t="s">
        <v>126</v>
      </c>
      <c r="U307" s="145">
        <f>D307+E307</f>
        <v>161</v>
      </c>
      <c r="V307" s="149"/>
      <c r="W307" s="145">
        <f>D307+E307+F307</f>
        <v>218</v>
      </c>
      <c r="X307" s="149"/>
    </row>
    <row r="308" customHeight="1" spans="1:24">
      <c r="A308" s="153">
        <v>470</v>
      </c>
      <c r="B308" s="154" t="s">
        <v>578</v>
      </c>
      <c r="C308" s="144">
        <v>3</v>
      </c>
      <c r="D308" s="145">
        <v>79</v>
      </c>
      <c r="E308" s="145">
        <v>65</v>
      </c>
      <c r="F308" s="145">
        <v>77</v>
      </c>
      <c r="G308" s="145">
        <v>66</v>
      </c>
      <c r="H308" s="145">
        <v>44</v>
      </c>
      <c r="I308" s="145">
        <f>SUM(D308:H308)</f>
        <v>331</v>
      </c>
      <c r="J308" s="145">
        <v>19</v>
      </c>
      <c r="K308" s="147" t="s">
        <v>114</v>
      </c>
      <c r="L308" s="147" t="s">
        <v>114</v>
      </c>
      <c r="M308" s="147" t="s">
        <v>130</v>
      </c>
      <c r="N308" s="147" t="s">
        <v>130</v>
      </c>
      <c r="O308" s="147" t="s">
        <v>124</v>
      </c>
      <c r="P308" s="147" t="s">
        <v>114</v>
      </c>
      <c r="Q308" s="148" t="s">
        <v>579</v>
      </c>
      <c r="R308" s="148" t="s">
        <v>119</v>
      </c>
      <c r="S308" s="148" t="s">
        <v>136</v>
      </c>
      <c r="T308" s="148" t="s">
        <v>120</v>
      </c>
      <c r="U308" s="145">
        <f>D308+E308</f>
        <v>144</v>
      </c>
      <c r="V308" s="149"/>
      <c r="W308" s="145">
        <f>D308+E308+F308</f>
        <v>221</v>
      </c>
      <c r="X308" s="149"/>
    </row>
    <row r="309" customHeight="1" spans="1:24">
      <c r="A309" s="153">
        <v>792</v>
      </c>
      <c r="B309" s="154" t="s">
        <v>580</v>
      </c>
      <c r="C309" s="144">
        <v>1</v>
      </c>
      <c r="D309" s="145">
        <v>28</v>
      </c>
      <c r="E309" s="145">
        <v>21</v>
      </c>
      <c r="F309" s="145">
        <v>87</v>
      </c>
      <c r="G309" s="145">
        <v>68</v>
      </c>
      <c r="H309" s="145">
        <v>41</v>
      </c>
      <c r="I309" s="145">
        <f>SUM(D309:H309)</f>
        <v>245</v>
      </c>
      <c r="J309" s="145">
        <v>132</v>
      </c>
      <c r="K309" s="147" t="s">
        <v>124</v>
      </c>
      <c r="L309" s="147" t="s">
        <v>124</v>
      </c>
      <c r="M309" s="147" t="s">
        <v>124</v>
      </c>
      <c r="N309" s="147" t="s">
        <v>124</v>
      </c>
      <c r="O309" s="147" t="s">
        <v>124</v>
      </c>
      <c r="P309" s="147" t="s">
        <v>124</v>
      </c>
      <c r="Q309" s="148" t="s">
        <v>358</v>
      </c>
      <c r="R309" s="148" t="s">
        <v>175</v>
      </c>
      <c r="S309" s="148" t="s">
        <v>119</v>
      </c>
      <c r="T309" s="148" t="s">
        <v>148</v>
      </c>
      <c r="U309" s="145">
        <f>D309+E309</f>
        <v>49</v>
      </c>
      <c r="V309" s="149"/>
      <c r="W309" s="145">
        <f>D309+E309+F309</f>
        <v>136</v>
      </c>
      <c r="X309" s="149"/>
    </row>
    <row r="310" customHeight="1" spans="1:24">
      <c r="A310" s="153">
        <v>793</v>
      </c>
      <c r="B310" s="154" t="s">
        <v>581</v>
      </c>
      <c r="C310" s="144">
        <v>13</v>
      </c>
      <c r="D310" s="145">
        <v>29</v>
      </c>
      <c r="E310" s="145">
        <v>31</v>
      </c>
      <c r="F310" s="145">
        <v>74</v>
      </c>
      <c r="G310" s="145">
        <v>85</v>
      </c>
      <c r="H310" s="145">
        <v>41</v>
      </c>
      <c r="I310" s="145">
        <f>SUM(D310:H310)</f>
        <v>260</v>
      </c>
      <c r="J310" s="145">
        <v>41</v>
      </c>
      <c r="K310" s="147" t="s">
        <v>124</v>
      </c>
      <c r="L310" s="147" t="s">
        <v>124</v>
      </c>
      <c r="M310" s="147" t="s">
        <v>124</v>
      </c>
      <c r="N310" s="147" t="s">
        <v>124</v>
      </c>
      <c r="O310" s="147" t="s">
        <v>124</v>
      </c>
      <c r="P310" s="147" t="s">
        <v>124</v>
      </c>
      <c r="Q310" s="148" t="s">
        <v>446</v>
      </c>
      <c r="R310" s="148" t="s">
        <v>119</v>
      </c>
      <c r="S310" s="148" t="s">
        <v>119</v>
      </c>
      <c r="T310" s="148" t="s">
        <v>126</v>
      </c>
      <c r="U310" s="145">
        <f>D310+E310</f>
        <v>60</v>
      </c>
      <c r="V310" s="149"/>
      <c r="W310" s="145">
        <f>D310+E310+F310</f>
        <v>134</v>
      </c>
      <c r="X310" s="149"/>
    </row>
    <row r="311" customHeight="1" spans="1:24">
      <c r="A311" s="153">
        <v>126</v>
      </c>
      <c r="B311" s="175" t="s">
        <v>582</v>
      </c>
      <c r="C311" s="144">
        <v>20</v>
      </c>
      <c r="D311" s="145">
        <v>70</v>
      </c>
      <c r="E311" s="145">
        <v>104</v>
      </c>
      <c r="F311" s="145">
        <v>38</v>
      </c>
      <c r="G311" s="145">
        <v>32</v>
      </c>
      <c r="H311" s="145">
        <v>41</v>
      </c>
      <c r="I311" s="145">
        <f>SUM(D311:H311)</f>
        <v>285</v>
      </c>
      <c r="J311" s="145">
        <v>65</v>
      </c>
      <c r="K311" s="147" t="s">
        <v>114</v>
      </c>
      <c r="L311" s="147" t="s">
        <v>130</v>
      </c>
      <c r="M311" s="147" t="s">
        <v>130</v>
      </c>
      <c r="N311" s="179" t="s">
        <v>115</v>
      </c>
      <c r="O311" s="147" t="s">
        <v>124</v>
      </c>
      <c r="P311" s="147" t="s">
        <v>124</v>
      </c>
      <c r="Q311" s="148" t="s">
        <v>306</v>
      </c>
      <c r="R311" s="148" t="s">
        <v>275</v>
      </c>
      <c r="S311" s="148" t="s">
        <v>136</v>
      </c>
      <c r="T311" s="148" t="s">
        <v>250</v>
      </c>
      <c r="U311" s="145">
        <f>D311+E311</f>
        <v>174</v>
      </c>
      <c r="V311" s="149"/>
      <c r="W311" s="145">
        <f>D311+E311+F311</f>
        <v>212</v>
      </c>
      <c r="X311" s="149"/>
    </row>
    <row r="312" customHeight="1" spans="1:24">
      <c r="A312" s="153">
        <v>399</v>
      </c>
      <c r="B312" s="154" t="s">
        <v>583</v>
      </c>
      <c r="C312" s="144">
        <v>10</v>
      </c>
      <c r="D312" s="145">
        <v>74</v>
      </c>
      <c r="E312" s="145">
        <v>94</v>
      </c>
      <c r="F312" s="145">
        <v>37</v>
      </c>
      <c r="G312" s="145">
        <v>45</v>
      </c>
      <c r="H312" s="145">
        <v>41</v>
      </c>
      <c r="I312" s="145">
        <f>SUM(D312:H312)</f>
        <v>291</v>
      </c>
      <c r="J312" s="145">
        <v>142</v>
      </c>
      <c r="K312" s="147" t="s">
        <v>130</v>
      </c>
      <c r="L312" s="147" t="s">
        <v>130</v>
      </c>
      <c r="M312" s="147" t="s">
        <v>115</v>
      </c>
      <c r="N312" s="147" t="s">
        <v>114</v>
      </c>
      <c r="O312" s="147" t="s">
        <v>124</v>
      </c>
      <c r="P312" s="147" t="s">
        <v>124</v>
      </c>
      <c r="Q312" s="148" t="s">
        <v>429</v>
      </c>
      <c r="R312" s="148" t="s">
        <v>119</v>
      </c>
      <c r="S312" s="148" t="s">
        <v>119</v>
      </c>
      <c r="T312" s="148" t="s">
        <v>250</v>
      </c>
      <c r="U312" s="145">
        <f>D312+E312</f>
        <v>168</v>
      </c>
      <c r="V312" s="149"/>
      <c r="W312" s="145">
        <f>D312+E312+F312</f>
        <v>205</v>
      </c>
      <c r="X312" s="149"/>
    </row>
    <row r="313" customHeight="1" spans="1:24">
      <c r="A313" s="153">
        <v>317</v>
      </c>
      <c r="B313" s="156" t="s">
        <v>584</v>
      </c>
      <c r="C313" s="144">
        <v>13</v>
      </c>
      <c r="D313" s="145">
        <v>79</v>
      </c>
      <c r="E313" s="145">
        <v>76</v>
      </c>
      <c r="F313" s="145">
        <v>54</v>
      </c>
      <c r="G313" s="145">
        <v>91</v>
      </c>
      <c r="H313" s="145">
        <v>41</v>
      </c>
      <c r="I313" s="145">
        <f>SUM(D313:H313)</f>
        <v>341</v>
      </c>
      <c r="J313" s="145">
        <v>90</v>
      </c>
      <c r="K313" s="147" t="s">
        <v>114</v>
      </c>
      <c r="L313" s="147" t="s">
        <v>115</v>
      </c>
      <c r="M313" s="147" t="s">
        <v>114</v>
      </c>
      <c r="N313" s="160" t="s">
        <v>130</v>
      </c>
      <c r="O313" s="147" t="s">
        <v>124</v>
      </c>
      <c r="P313" s="147" t="s">
        <v>114</v>
      </c>
      <c r="Q313" s="148" t="s">
        <v>362</v>
      </c>
      <c r="R313" s="148" t="s">
        <v>275</v>
      </c>
      <c r="S313" s="148" t="s">
        <v>136</v>
      </c>
      <c r="T313" s="148" t="s">
        <v>148</v>
      </c>
      <c r="U313" s="145">
        <f>D313+E313</f>
        <v>155</v>
      </c>
      <c r="V313" s="149"/>
      <c r="W313" s="145">
        <f>D313+E313+F313</f>
        <v>209</v>
      </c>
      <c r="X313" s="149"/>
    </row>
    <row r="314" customHeight="1" spans="1:24">
      <c r="A314" s="153">
        <v>344</v>
      </c>
      <c r="B314" s="154" t="s">
        <v>585</v>
      </c>
      <c r="C314" s="144">
        <v>5</v>
      </c>
      <c r="D314" s="145">
        <v>64</v>
      </c>
      <c r="E314" s="145">
        <v>91</v>
      </c>
      <c r="F314" s="145">
        <v>34</v>
      </c>
      <c r="G314" s="145">
        <v>34</v>
      </c>
      <c r="H314" s="145">
        <v>40</v>
      </c>
      <c r="I314" s="145">
        <f>SUM(D314:H314)</f>
        <v>263</v>
      </c>
      <c r="J314" s="145">
        <v>86</v>
      </c>
      <c r="K314" s="147" t="s">
        <v>124</v>
      </c>
      <c r="L314" s="147" t="s">
        <v>130</v>
      </c>
      <c r="M314" s="147" t="s">
        <v>130</v>
      </c>
      <c r="N314" s="147" t="s">
        <v>114</v>
      </c>
      <c r="O314" s="147" t="s">
        <v>124</v>
      </c>
      <c r="P314" s="147" t="s">
        <v>130</v>
      </c>
      <c r="Q314" s="148" t="s">
        <v>311</v>
      </c>
      <c r="R314" s="148" t="s">
        <v>132</v>
      </c>
      <c r="S314" s="148" t="s">
        <v>119</v>
      </c>
      <c r="T314" s="148" t="s">
        <v>250</v>
      </c>
      <c r="U314" s="145">
        <f>D314+E314</f>
        <v>155</v>
      </c>
      <c r="V314" s="149"/>
      <c r="W314" s="145">
        <f>D314+E314+F314</f>
        <v>189</v>
      </c>
      <c r="X314" s="149"/>
    </row>
    <row r="315" customHeight="1" spans="1:24">
      <c r="A315" s="153">
        <v>372</v>
      </c>
      <c r="B315" s="154" t="s">
        <v>586</v>
      </c>
      <c r="C315" s="144">
        <v>3</v>
      </c>
      <c r="D315" s="145">
        <v>70</v>
      </c>
      <c r="E315" s="145">
        <v>84</v>
      </c>
      <c r="F315" s="145">
        <v>41</v>
      </c>
      <c r="G315" s="145">
        <v>33</v>
      </c>
      <c r="H315" s="145">
        <v>40</v>
      </c>
      <c r="I315" s="145">
        <f>SUM(D315:H315)</f>
        <v>268</v>
      </c>
      <c r="J315" s="145">
        <v>117</v>
      </c>
      <c r="K315" s="147" t="s">
        <v>114</v>
      </c>
      <c r="L315" s="147" t="s">
        <v>114</v>
      </c>
      <c r="M315" s="147" t="s">
        <v>130</v>
      </c>
      <c r="N315" s="147" t="s">
        <v>124</v>
      </c>
      <c r="O315" s="147" t="s">
        <v>124</v>
      </c>
      <c r="P315" s="147" t="s">
        <v>114</v>
      </c>
      <c r="Q315" s="148" t="s">
        <v>587</v>
      </c>
      <c r="R315" s="148" t="s">
        <v>119</v>
      </c>
      <c r="S315" s="148" t="s">
        <v>119</v>
      </c>
      <c r="T315" s="148" t="s">
        <v>126</v>
      </c>
      <c r="U315" s="145">
        <f>D315+E315</f>
        <v>154</v>
      </c>
      <c r="V315" s="149"/>
      <c r="W315" s="145">
        <f>D315+E315+F315</f>
        <v>195</v>
      </c>
      <c r="X315" s="149"/>
    </row>
    <row r="316" customHeight="1" spans="1:24">
      <c r="A316" s="153">
        <v>471</v>
      </c>
      <c r="B316" s="154" t="s">
        <v>588</v>
      </c>
      <c r="C316" s="157">
        <v>8</v>
      </c>
      <c r="D316" s="145">
        <v>56</v>
      </c>
      <c r="E316" s="145">
        <v>95</v>
      </c>
      <c r="F316" s="145">
        <v>22</v>
      </c>
      <c r="G316" s="145">
        <v>21</v>
      </c>
      <c r="H316" s="145">
        <v>38</v>
      </c>
      <c r="I316" s="145">
        <f>SUM(D316:H316)</f>
        <v>232</v>
      </c>
      <c r="J316" s="145">
        <v>25</v>
      </c>
      <c r="K316" s="147" t="s">
        <v>130</v>
      </c>
      <c r="L316" s="147" t="s">
        <v>114</v>
      </c>
      <c r="M316" s="147" t="s">
        <v>124</v>
      </c>
      <c r="N316" s="147" t="s">
        <v>124</v>
      </c>
      <c r="O316" s="147" t="s">
        <v>124</v>
      </c>
      <c r="P316" s="147" t="s">
        <v>124</v>
      </c>
      <c r="Q316" s="158" t="s">
        <v>381</v>
      </c>
      <c r="R316" s="148" t="s">
        <v>118</v>
      </c>
      <c r="S316" s="148" t="s">
        <v>133</v>
      </c>
      <c r="T316" s="148" t="s">
        <v>250</v>
      </c>
      <c r="U316" s="145">
        <f>D316+E316</f>
        <v>151</v>
      </c>
      <c r="V316" s="148" t="s">
        <v>382</v>
      </c>
      <c r="W316" s="145">
        <f>D316+E316+F316</f>
        <v>173</v>
      </c>
      <c r="X316" s="149"/>
    </row>
    <row r="317" customHeight="1" spans="1:24">
      <c r="A317" s="153">
        <v>698</v>
      </c>
      <c r="B317" s="154" t="s">
        <v>589</v>
      </c>
      <c r="C317" s="144">
        <v>5</v>
      </c>
      <c r="D317" s="145">
        <v>68</v>
      </c>
      <c r="E317" s="145">
        <v>84</v>
      </c>
      <c r="F317" s="145">
        <v>51</v>
      </c>
      <c r="G317" s="145">
        <v>26</v>
      </c>
      <c r="H317" s="145">
        <v>38</v>
      </c>
      <c r="I317" s="145">
        <f>SUM(D317:H317)</f>
        <v>267</v>
      </c>
      <c r="J317" s="145">
        <v>15</v>
      </c>
      <c r="K317" s="147" t="s">
        <v>124</v>
      </c>
      <c r="L317" s="147" t="s">
        <v>130</v>
      </c>
      <c r="M317" s="147" t="s">
        <v>130</v>
      </c>
      <c r="N317" s="147" t="s">
        <v>114</v>
      </c>
      <c r="O317" s="147" t="s">
        <v>124</v>
      </c>
      <c r="P317" s="147" t="s">
        <v>124</v>
      </c>
      <c r="Q317" s="148" t="s">
        <v>402</v>
      </c>
      <c r="R317" s="148" t="s">
        <v>275</v>
      </c>
      <c r="S317" s="148" t="s">
        <v>145</v>
      </c>
      <c r="T317" s="148" t="s">
        <v>250</v>
      </c>
      <c r="U317" s="145">
        <f>D317+E317</f>
        <v>152</v>
      </c>
      <c r="V317" s="149"/>
      <c r="W317" s="145">
        <f>D317+E317+F317</f>
        <v>203</v>
      </c>
      <c r="X317" s="149"/>
    </row>
    <row r="318" customHeight="1" spans="1:24">
      <c r="A318" s="153">
        <v>362</v>
      </c>
      <c r="B318" s="154" t="s">
        <v>590</v>
      </c>
      <c r="C318" s="144">
        <v>10</v>
      </c>
      <c r="D318" s="145">
        <v>76</v>
      </c>
      <c r="E318" s="145">
        <v>85</v>
      </c>
      <c r="F318" s="145">
        <v>48</v>
      </c>
      <c r="G318" s="145">
        <v>31</v>
      </c>
      <c r="H318" s="145">
        <v>38</v>
      </c>
      <c r="I318" s="145">
        <f>SUM(D318:H318)</f>
        <v>278</v>
      </c>
      <c r="J318" s="145">
        <v>78</v>
      </c>
      <c r="K318" s="147" t="s">
        <v>114</v>
      </c>
      <c r="L318" s="147" t="s">
        <v>130</v>
      </c>
      <c r="M318" s="147" t="s">
        <v>114</v>
      </c>
      <c r="N318" s="147" t="s">
        <v>114</v>
      </c>
      <c r="O318" s="147" t="s">
        <v>124</v>
      </c>
      <c r="P318" s="147" t="s">
        <v>114</v>
      </c>
      <c r="Q318" s="158" t="s">
        <v>210</v>
      </c>
      <c r="R318" s="148" t="s">
        <v>132</v>
      </c>
      <c r="S318" s="148" t="s">
        <v>119</v>
      </c>
      <c r="T318" s="148" t="s">
        <v>250</v>
      </c>
      <c r="U318" s="145">
        <f>D318+E318</f>
        <v>161</v>
      </c>
      <c r="V318" s="148" t="s">
        <v>211</v>
      </c>
      <c r="W318" s="145">
        <f>D318+E318+F318</f>
        <v>209</v>
      </c>
      <c r="X318" s="149"/>
    </row>
    <row r="319" customHeight="1" spans="1:24">
      <c r="A319" s="153">
        <v>682</v>
      </c>
      <c r="B319" s="154" t="s">
        <v>591</v>
      </c>
      <c r="C319" s="144">
        <v>12</v>
      </c>
      <c r="D319" s="145">
        <v>70</v>
      </c>
      <c r="E319" s="145">
        <v>92</v>
      </c>
      <c r="F319" s="145">
        <v>37</v>
      </c>
      <c r="G319" s="145">
        <v>23</v>
      </c>
      <c r="H319" s="145">
        <v>36</v>
      </c>
      <c r="I319" s="145">
        <f>SUM(D319:H319)</f>
        <v>258</v>
      </c>
      <c r="J319" s="145">
        <v>86</v>
      </c>
      <c r="K319" s="147" t="s">
        <v>114</v>
      </c>
      <c r="L319" s="147" t="s">
        <v>114</v>
      </c>
      <c r="M319" s="147" t="s">
        <v>114</v>
      </c>
      <c r="N319" s="147" t="s">
        <v>130</v>
      </c>
      <c r="O319" s="147" t="s">
        <v>124</v>
      </c>
      <c r="P319" s="147" t="s">
        <v>130</v>
      </c>
      <c r="Q319" s="148" t="s">
        <v>592</v>
      </c>
      <c r="R319" s="148" t="s">
        <v>132</v>
      </c>
      <c r="S319" s="148" t="s">
        <v>119</v>
      </c>
      <c r="T319" s="148" t="s">
        <v>250</v>
      </c>
      <c r="U319" s="145">
        <f>D319+E319</f>
        <v>162</v>
      </c>
      <c r="V319" s="149"/>
      <c r="W319" s="145">
        <f>D319+E319+F319</f>
        <v>199</v>
      </c>
      <c r="X319" s="149"/>
    </row>
    <row r="320" customHeight="1" spans="1:24">
      <c r="A320" s="153">
        <v>508</v>
      </c>
      <c r="B320" s="154" t="s">
        <v>593</v>
      </c>
      <c r="C320" s="144">
        <v>14</v>
      </c>
      <c r="D320" s="145">
        <v>77</v>
      </c>
      <c r="E320" s="145">
        <v>94</v>
      </c>
      <c r="F320" s="145">
        <v>36</v>
      </c>
      <c r="G320" s="145">
        <v>43</v>
      </c>
      <c r="H320" s="145">
        <v>36</v>
      </c>
      <c r="I320" s="145">
        <f>SUM(D320:H320)</f>
        <v>286</v>
      </c>
      <c r="J320" s="145">
        <v>40</v>
      </c>
      <c r="K320" s="147" t="s">
        <v>114</v>
      </c>
      <c r="L320" s="147" t="s">
        <v>130</v>
      </c>
      <c r="M320" s="147" t="s">
        <v>130</v>
      </c>
      <c r="N320" s="147" t="s">
        <v>115</v>
      </c>
      <c r="O320" s="147" t="s">
        <v>124</v>
      </c>
      <c r="P320" s="147" t="s">
        <v>124</v>
      </c>
      <c r="Q320" s="148" t="s">
        <v>435</v>
      </c>
      <c r="R320" s="148" t="s">
        <v>275</v>
      </c>
      <c r="S320" s="148" t="s">
        <v>136</v>
      </c>
      <c r="T320" s="148" t="s">
        <v>250</v>
      </c>
      <c r="U320" s="145">
        <f>D320+E320</f>
        <v>171</v>
      </c>
      <c r="V320" s="149"/>
      <c r="W320" s="145">
        <f>D320+E320+F320</f>
        <v>207</v>
      </c>
      <c r="X320" s="149"/>
    </row>
    <row r="321" customHeight="1" spans="1:24">
      <c r="A321" s="153">
        <v>158</v>
      </c>
      <c r="B321" s="154" t="s">
        <v>594</v>
      </c>
      <c r="C321" s="144">
        <v>14</v>
      </c>
      <c r="D321" s="145">
        <v>24</v>
      </c>
      <c r="E321" s="145">
        <v>26</v>
      </c>
      <c r="F321" s="145">
        <v>77</v>
      </c>
      <c r="G321" s="145">
        <v>95</v>
      </c>
      <c r="H321" s="145">
        <v>35</v>
      </c>
      <c r="I321" s="145">
        <f>SUM(D321:H321)</f>
        <v>257</v>
      </c>
      <c r="J321" s="145">
        <v>72</v>
      </c>
      <c r="K321" s="147" t="s">
        <v>124</v>
      </c>
      <c r="L321" s="147" t="s">
        <v>124</v>
      </c>
      <c r="M321" s="147" t="s">
        <v>124</v>
      </c>
      <c r="N321" s="147" t="s">
        <v>124</v>
      </c>
      <c r="O321" s="147" t="s">
        <v>124</v>
      </c>
      <c r="P321" s="147" t="s">
        <v>124</v>
      </c>
      <c r="Q321" s="148" t="s">
        <v>446</v>
      </c>
      <c r="R321" s="148" t="s">
        <v>119</v>
      </c>
      <c r="S321" s="148" t="s">
        <v>119</v>
      </c>
      <c r="T321" s="148" t="s">
        <v>120</v>
      </c>
      <c r="U321" s="145">
        <f>D321+E321</f>
        <v>50</v>
      </c>
      <c r="V321" s="149"/>
      <c r="W321" s="145">
        <f>D321+E321+F321</f>
        <v>127</v>
      </c>
      <c r="X321" s="149"/>
    </row>
    <row r="322" customHeight="1" spans="1:24">
      <c r="A322" s="153">
        <v>570</v>
      </c>
      <c r="B322" s="154" t="s">
        <v>595</v>
      </c>
      <c r="C322" s="144">
        <v>5</v>
      </c>
      <c r="D322" s="145">
        <v>64</v>
      </c>
      <c r="E322" s="145">
        <v>91</v>
      </c>
      <c r="F322" s="145">
        <v>28</v>
      </c>
      <c r="G322" s="145">
        <v>29</v>
      </c>
      <c r="H322" s="145">
        <v>34</v>
      </c>
      <c r="I322" s="145">
        <f>SUM(D322:H322)</f>
        <v>246</v>
      </c>
      <c r="J322" s="145">
        <v>31</v>
      </c>
      <c r="K322" s="147" t="s">
        <v>114</v>
      </c>
      <c r="L322" s="147" t="s">
        <v>130</v>
      </c>
      <c r="M322" s="147" t="s">
        <v>124</v>
      </c>
      <c r="N322" s="147" t="s">
        <v>114</v>
      </c>
      <c r="O322" s="147" t="s">
        <v>124</v>
      </c>
      <c r="P322" s="147" t="s">
        <v>124</v>
      </c>
      <c r="Q322" s="148" t="s">
        <v>311</v>
      </c>
      <c r="R322" s="148" t="s">
        <v>119</v>
      </c>
      <c r="S322" s="148" t="s">
        <v>119</v>
      </c>
      <c r="T322" s="148" t="s">
        <v>250</v>
      </c>
      <c r="U322" s="145">
        <f>D322+E322</f>
        <v>155</v>
      </c>
      <c r="V322" s="149"/>
      <c r="W322" s="145">
        <f>D322+E322+F322</f>
        <v>183</v>
      </c>
      <c r="X322" s="149"/>
    </row>
    <row r="323" customHeight="1" spans="1:24">
      <c r="A323" s="153">
        <v>164</v>
      </c>
      <c r="B323" s="154" t="s">
        <v>596</v>
      </c>
      <c r="C323" s="144">
        <v>51</v>
      </c>
      <c r="D323" s="167">
        <v>103</v>
      </c>
      <c r="E323" s="145">
        <v>87</v>
      </c>
      <c r="F323" s="145">
        <v>52</v>
      </c>
      <c r="G323" s="145">
        <v>14</v>
      </c>
      <c r="H323" s="145">
        <v>31</v>
      </c>
      <c r="I323" s="145">
        <f>SUM(D323:H323)</f>
        <v>287</v>
      </c>
      <c r="J323" s="145">
        <v>75</v>
      </c>
      <c r="K323" s="147" t="s">
        <v>115</v>
      </c>
      <c r="L323" s="147" t="s">
        <v>114</v>
      </c>
      <c r="M323" s="147" t="s">
        <v>115</v>
      </c>
      <c r="N323" s="160" t="s">
        <v>116</v>
      </c>
      <c r="O323" s="147" t="s">
        <v>124</v>
      </c>
      <c r="P323" s="147" t="s">
        <v>124</v>
      </c>
      <c r="Q323" s="158" t="s">
        <v>597</v>
      </c>
      <c r="R323" s="148" t="s">
        <v>132</v>
      </c>
      <c r="S323" s="148" t="s">
        <v>119</v>
      </c>
      <c r="T323" s="148" t="s">
        <v>250</v>
      </c>
      <c r="U323" s="145">
        <f>D323+E323</f>
        <v>190</v>
      </c>
      <c r="V323" s="148" t="s">
        <v>598</v>
      </c>
      <c r="W323" s="145">
        <f>D323+E323+F323</f>
        <v>242</v>
      </c>
      <c r="X323" s="149"/>
    </row>
    <row r="324" customHeight="1" spans="1:24">
      <c r="A324" s="153">
        <v>336</v>
      </c>
      <c r="B324" s="154" t="s">
        <v>599</v>
      </c>
      <c r="C324" s="144">
        <v>6</v>
      </c>
      <c r="D324" s="145">
        <v>60</v>
      </c>
      <c r="E324" s="145">
        <v>90</v>
      </c>
      <c r="F324" s="145">
        <v>38</v>
      </c>
      <c r="G324" s="145">
        <v>25</v>
      </c>
      <c r="H324" s="145">
        <v>30</v>
      </c>
      <c r="I324" s="145">
        <f>SUM(D324:H324)</f>
        <v>243</v>
      </c>
      <c r="J324" s="145">
        <v>86</v>
      </c>
      <c r="K324" s="147" t="s">
        <v>130</v>
      </c>
      <c r="L324" s="147" t="s">
        <v>124</v>
      </c>
      <c r="M324" s="147" t="s">
        <v>130</v>
      </c>
      <c r="N324" s="147" t="s">
        <v>114</v>
      </c>
      <c r="O324" s="147" t="s">
        <v>124</v>
      </c>
      <c r="P324" s="147" t="s">
        <v>130</v>
      </c>
      <c r="Q324" s="148" t="s">
        <v>239</v>
      </c>
      <c r="R324" s="148" t="s">
        <v>119</v>
      </c>
      <c r="S324" s="148" t="s">
        <v>119</v>
      </c>
      <c r="T324" s="148" t="s">
        <v>250</v>
      </c>
      <c r="U324" s="145">
        <f>D324+E324</f>
        <v>150</v>
      </c>
      <c r="V324" s="149"/>
      <c r="W324" s="145">
        <f>D324+E324+F324</f>
        <v>188</v>
      </c>
      <c r="X324" s="149"/>
    </row>
    <row r="325" customHeight="1" spans="1:24">
      <c r="A325" s="153">
        <v>155</v>
      </c>
      <c r="B325" s="154" t="s">
        <v>600</v>
      </c>
      <c r="C325" s="144">
        <v>3</v>
      </c>
      <c r="D325" s="145">
        <v>50</v>
      </c>
      <c r="E325" s="145">
        <v>43</v>
      </c>
      <c r="F325" s="145">
        <v>80</v>
      </c>
      <c r="G325" s="145">
        <v>89</v>
      </c>
      <c r="H325" s="145">
        <v>29</v>
      </c>
      <c r="I325" s="145">
        <f>SUM(D325:H325)</f>
        <v>291</v>
      </c>
      <c r="J325" s="145">
        <v>74</v>
      </c>
      <c r="K325" s="147" t="s">
        <v>124</v>
      </c>
      <c r="L325" s="147" t="s">
        <v>130</v>
      </c>
      <c r="M325" s="147" t="s">
        <v>130</v>
      </c>
      <c r="N325" s="147" t="s">
        <v>124</v>
      </c>
      <c r="O325" s="147" t="s">
        <v>124</v>
      </c>
      <c r="P325" s="147" t="s">
        <v>124</v>
      </c>
      <c r="Q325" s="148" t="s">
        <v>205</v>
      </c>
      <c r="R325" s="148" t="s">
        <v>118</v>
      </c>
      <c r="S325" s="148" t="s">
        <v>119</v>
      </c>
      <c r="T325" s="148" t="s">
        <v>126</v>
      </c>
      <c r="U325" s="145">
        <f>D325+E325</f>
        <v>93</v>
      </c>
      <c r="V325" s="149"/>
      <c r="W325" s="145">
        <f>D325+E325+F325</f>
        <v>173</v>
      </c>
      <c r="X325" s="149"/>
    </row>
    <row r="326" customHeight="1" spans="1:24">
      <c r="A326" s="153">
        <v>575</v>
      </c>
      <c r="B326" s="154" t="s">
        <v>601</v>
      </c>
      <c r="C326" s="144">
        <v>4</v>
      </c>
      <c r="D326" s="145">
        <v>70</v>
      </c>
      <c r="E326" s="145">
        <v>84</v>
      </c>
      <c r="F326" s="145">
        <v>51</v>
      </c>
      <c r="G326" s="145">
        <v>65</v>
      </c>
      <c r="H326" s="145">
        <v>28</v>
      </c>
      <c r="I326" s="145">
        <f>SUM(D326:H326)</f>
        <v>298</v>
      </c>
      <c r="J326" s="145">
        <v>30</v>
      </c>
      <c r="K326" s="147" t="s">
        <v>114</v>
      </c>
      <c r="L326" s="147" t="s">
        <v>130</v>
      </c>
      <c r="M326" s="147" t="s">
        <v>114</v>
      </c>
      <c r="N326" s="147" t="s">
        <v>114</v>
      </c>
      <c r="O326" s="147" t="s">
        <v>124</v>
      </c>
      <c r="P326" s="147" t="s">
        <v>124</v>
      </c>
      <c r="Q326" s="148" t="s">
        <v>339</v>
      </c>
      <c r="R326" s="148" t="s">
        <v>175</v>
      </c>
      <c r="S326" s="148" t="s">
        <v>136</v>
      </c>
      <c r="T326" s="148" t="s">
        <v>126</v>
      </c>
      <c r="U326" s="145">
        <f>D326+E326</f>
        <v>154</v>
      </c>
      <c r="V326" s="149"/>
      <c r="W326" s="145">
        <f>D326+E326+F326</f>
        <v>205</v>
      </c>
      <c r="X326" s="149"/>
    </row>
    <row r="327" customHeight="1" spans="1:24">
      <c r="A327" s="153">
        <v>422</v>
      </c>
      <c r="B327" s="154" t="s">
        <v>602</v>
      </c>
      <c r="C327" s="157">
        <v>8</v>
      </c>
      <c r="D327" s="145">
        <v>66</v>
      </c>
      <c r="E327" s="145">
        <v>93</v>
      </c>
      <c r="F327" s="145">
        <v>15</v>
      </c>
      <c r="G327" s="145">
        <v>18</v>
      </c>
      <c r="H327" s="145">
        <v>27</v>
      </c>
      <c r="I327" s="145">
        <f>SUM(D327:H327)</f>
        <v>219</v>
      </c>
      <c r="J327" s="145">
        <v>5</v>
      </c>
      <c r="K327" s="147" t="s">
        <v>130</v>
      </c>
      <c r="L327" s="147" t="s">
        <v>124</v>
      </c>
      <c r="M327" s="147" t="s">
        <v>130</v>
      </c>
      <c r="N327" s="147" t="s">
        <v>114</v>
      </c>
      <c r="O327" s="147" t="s">
        <v>124</v>
      </c>
      <c r="P327" s="147" t="s">
        <v>124</v>
      </c>
      <c r="Q327" s="158" t="s">
        <v>381</v>
      </c>
      <c r="R327" s="148" t="s">
        <v>275</v>
      </c>
      <c r="S327" s="148" t="s">
        <v>119</v>
      </c>
      <c r="T327" s="148" t="s">
        <v>250</v>
      </c>
      <c r="U327" s="145">
        <f>D327+E327</f>
        <v>159</v>
      </c>
      <c r="V327" s="148" t="s">
        <v>382</v>
      </c>
      <c r="W327" s="145">
        <f>D327+E327+F327</f>
        <v>174</v>
      </c>
      <c r="X327" s="149"/>
    </row>
    <row r="328" customHeight="1" spans="1:24">
      <c r="A328" s="153">
        <v>335</v>
      </c>
      <c r="B328" s="154" t="s">
        <v>603</v>
      </c>
      <c r="C328" s="144">
        <v>8</v>
      </c>
      <c r="D328" s="145">
        <v>67</v>
      </c>
      <c r="E328" s="145">
        <v>89</v>
      </c>
      <c r="F328" s="145">
        <v>23</v>
      </c>
      <c r="G328" s="145">
        <v>24</v>
      </c>
      <c r="H328" s="145">
        <v>25</v>
      </c>
      <c r="I328" s="145">
        <f>SUM(D328:H328)</f>
        <v>228</v>
      </c>
      <c r="J328" s="145">
        <v>61</v>
      </c>
      <c r="K328" s="147" t="s">
        <v>130</v>
      </c>
      <c r="L328" s="147" t="s">
        <v>130</v>
      </c>
      <c r="M328" s="147" t="s">
        <v>114</v>
      </c>
      <c r="N328" s="147" t="s">
        <v>114</v>
      </c>
      <c r="O328" s="147" t="s">
        <v>124</v>
      </c>
      <c r="P328" s="147" t="s">
        <v>130</v>
      </c>
      <c r="Q328" s="148" t="s">
        <v>309</v>
      </c>
      <c r="R328" s="148" t="s">
        <v>119</v>
      </c>
      <c r="S328" s="148" t="s">
        <v>119</v>
      </c>
      <c r="T328" s="148" t="s">
        <v>250</v>
      </c>
      <c r="U328" s="145">
        <f>D328+E328</f>
        <v>156</v>
      </c>
      <c r="V328" s="149"/>
      <c r="W328" s="145">
        <f>D328+E328+F328</f>
        <v>179</v>
      </c>
      <c r="X328" s="149"/>
    </row>
    <row r="329" customHeight="1" spans="1:24">
      <c r="A329" s="153">
        <v>407</v>
      </c>
      <c r="B329" s="154" t="s">
        <v>604</v>
      </c>
      <c r="C329" s="157">
        <v>8</v>
      </c>
      <c r="D329" s="145">
        <v>66</v>
      </c>
      <c r="E329" s="145">
        <v>91</v>
      </c>
      <c r="F329" s="145">
        <v>18</v>
      </c>
      <c r="G329" s="145">
        <v>10</v>
      </c>
      <c r="H329" s="145">
        <v>23</v>
      </c>
      <c r="I329" s="145">
        <f>SUM(D329:H329)</f>
        <v>208</v>
      </c>
      <c r="J329" s="145">
        <v>0</v>
      </c>
      <c r="K329" s="147" t="s">
        <v>130</v>
      </c>
      <c r="L329" s="147" t="s">
        <v>130</v>
      </c>
      <c r="M329" s="147" t="s">
        <v>130</v>
      </c>
      <c r="N329" s="147" t="s">
        <v>114</v>
      </c>
      <c r="O329" s="147" t="s">
        <v>124</v>
      </c>
      <c r="P329" s="147" t="s">
        <v>124</v>
      </c>
      <c r="Q329" s="158" t="s">
        <v>381</v>
      </c>
      <c r="R329" s="148" t="s">
        <v>175</v>
      </c>
      <c r="S329" s="148" t="s">
        <v>136</v>
      </c>
      <c r="T329" s="148" t="s">
        <v>250</v>
      </c>
      <c r="U329" s="145">
        <f>D329+E329</f>
        <v>157</v>
      </c>
      <c r="V329" s="148" t="s">
        <v>382</v>
      </c>
      <c r="W329" s="145">
        <f>D329+E329+F329</f>
        <v>175</v>
      </c>
      <c r="X329" s="149"/>
    </row>
    <row r="330" customHeight="1" spans="1:24">
      <c r="A330" s="153">
        <v>255</v>
      </c>
      <c r="B330" s="154" t="s">
        <v>605</v>
      </c>
      <c r="C330" s="144">
        <v>10</v>
      </c>
      <c r="D330" s="145">
        <v>77</v>
      </c>
      <c r="E330" s="145">
        <v>90</v>
      </c>
      <c r="F330" s="145">
        <v>35</v>
      </c>
      <c r="G330" s="145">
        <v>20</v>
      </c>
      <c r="H330" s="145">
        <v>17</v>
      </c>
      <c r="I330" s="145">
        <f>SUM(D330:H330)</f>
        <v>239</v>
      </c>
      <c r="J330" s="145">
        <v>143</v>
      </c>
      <c r="K330" s="147" t="s">
        <v>114</v>
      </c>
      <c r="L330" s="147" t="s">
        <v>130</v>
      </c>
      <c r="M330" s="147" t="s">
        <v>130</v>
      </c>
      <c r="N330" s="147" t="s">
        <v>115</v>
      </c>
      <c r="O330" s="147" t="s">
        <v>124</v>
      </c>
      <c r="P330" s="147" t="s">
        <v>124</v>
      </c>
      <c r="Q330" s="148" t="s">
        <v>606</v>
      </c>
      <c r="R330" s="148" t="s">
        <v>175</v>
      </c>
      <c r="S330" s="148" t="s">
        <v>145</v>
      </c>
      <c r="T330" s="148" t="s">
        <v>250</v>
      </c>
      <c r="U330" s="145">
        <f>D330+E330</f>
        <v>167</v>
      </c>
      <c r="V330" s="149"/>
      <c r="W330" s="145">
        <f>D330+E330+F330</f>
        <v>202</v>
      </c>
      <c r="X330" s="149"/>
    </row>
    <row r="331" customHeight="1" spans="1:24">
      <c r="A331" s="153">
        <v>17</v>
      </c>
      <c r="B331" s="154" t="s">
        <v>607</v>
      </c>
      <c r="C331" s="144">
        <v>13</v>
      </c>
      <c r="D331" s="145">
        <v>65</v>
      </c>
      <c r="E331" s="145">
        <v>65</v>
      </c>
      <c r="F331" s="145">
        <v>88</v>
      </c>
      <c r="G331" s="145">
        <v>98</v>
      </c>
      <c r="H331" s="145">
        <v>110</v>
      </c>
      <c r="I331" s="145">
        <f>SUM(D331:H331)</f>
        <v>426</v>
      </c>
      <c r="J331" s="145">
        <v>62</v>
      </c>
      <c r="K331" s="147" t="s">
        <v>124</v>
      </c>
      <c r="L331" s="147" t="s">
        <v>124</v>
      </c>
      <c r="M331" s="147" t="s">
        <v>130</v>
      </c>
      <c r="N331" s="147" t="s">
        <v>124</v>
      </c>
      <c r="O331" s="147" t="s">
        <v>130</v>
      </c>
      <c r="P331" s="147" t="s">
        <v>124</v>
      </c>
      <c r="Q331" s="148" t="s">
        <v>608</v>
      </c>
      <c r="R331" s="148" t="s">
        <v>118</v>
      </c>
      <c r="S331" s="148" t="s">
        <v>136</v>
      </c>
      <c r="T331" s="148" t="s">
        <v>126</v>
      </c>
      <c r="U331" s="145">
        <f>D331+E331</f>
        <v>130</v>
      </c>
      <c r="V331" s="149"/>
      <c r="W331" s="145">
        <f>D331+E331+F331</f>
        <v>218</v>
      </c>
      <c r="X331" s="149"/>
    </row>
    <row r="332" customHeight="1" spans="1:24">
      <c r="A332" s="153">
        <v>481</v>
      </c>
      <c r="B332" s="154" t="s">
        <v>609</v>
      </c>
      <c r="C332" s="144">
        <v>45</v>
      </c>
      <c r="D332" s="167">
        <v>102</v>
      </c>
      <c r="E332" s="145">
        <v>83</v>
      </c>
      <c r="F332" s="145">
        <v>95</v>
      </c>
      <c r="G332" s="145">
        <v>96</v>
      </c>
      <c r="H332" s="145">
        <v>103</v>
      </c>
      <c r="I332" s="145">
        <f>SUM(D332:H332)</f>
        <v>479</v>
      </c>
      <c r="J332" s="145">
        <v>70</v>
      </c>
      <c r="K332" s="160" t="s">
        <v>123</v>
      </c>
      <c r="L332" s="147" t="s">
        <v>115</v>
      </c>
      <c r="M332" s="147" t="s">
        <v>114</v>
      </c>
      <c r="N332" s="147" t="s">
        <v>115</v>
      </c>
      <c r="O332" s="147" t="s">
        <v>130</v>
      </c>
      <c r="P332" s="147" t="s">
        <v>130</v>
      </c>
      <c r="Q332" s="171" t="s">
        <v>610</v>
      </c>
      <c r="R332" s="148" t="s">
        <v>119</v>
      </c>
      <c r="S332" s="148" t="s">
        <v>145</v>
      </c>
      <c r="T332" s="148" t="s">
        <v>126</v>
      </c>
      <c r="U332" s="145">
        <f>D332+E332</f>
        <v>185</v>
      </c>
      <c r="V332" s="172" t="s">
        <v>611</v>
      </c>
      <c r="W332" s="145">
        <f>D332+E332+F332</f>
        <v>280</v>
      </c>
      <c r="X332" s="149"/>
    </row>
    <row r="333" customHeight="1" spans="1:24">
      <c r="A333" s="153">
        <v>142</v>
      </c>
      <c r="B333" s="154" t="s">
        <v>612</v>
      </c>
      <c r="C333" s="144">
        <v>39</v>
      </c>
      <c r="D333" s="177">
        <v>93</v>
      </c>
      <c r="E333" s="145">
        <v>54</v>
      </c>
      <c r="F333" s="145">
        <v>100</v>
      </c>
      <c r="G333" s="145">
        <v>104</v>
      </c>
      <c r="H333" s="145">
        <v>102</v>
      </c>
      <c r="I333" s="145">
        <f>SUM(D333:H333)</f>
        <v>453</v>
      </c>
      <c r="J333" s="145">
        <v>75</v>
      </c>
      <c r="K333" s="147" t="s">
        <v>130</v>
      </c>
      <c r="L333" s="147" t="s">
        <v>115</v>
      </c>
      <c r="M333" s="160" t="s">
        <v>123</v>
      </c>
      <c r="N333" s="147" t="s">
        <v>130</v>
      </c>
      <c r="O333" s="147" t="s">
        <v>130</v>
      </c>
      <c r="P333" s="147" t="s">
        <v>114</v>
      </c>
      <c r="Q333" s="148" t="s">
        <v>139</v>
      </c>
      <c r="R333" s="148" t="s">
        <v>118</v>
      </c>
      <c r="S333" s="148" t="s">
        <v>119</v>
      </c>
      <c r="T333" s="148" t="s">
        <v>120</v>
      </c>
      <c r="U333" s="145">
        <f>D333+E333</f>
        <v>147</v>
      </c>
      <c r="V333" s="172"/>
      <c r="W333" s="145">
        <f>D333+E333+F333</f>
        <v>247</v>
      </c>
      <c r="X333" s="149"/>
    </row>
    <row r="334" customHeight="1" spans="1:24">
      <c r="A334" s="153">
        <v>672</v>
      </c>
      <c r="B334" s="154" t="s">
        <v>613</v>
      </c>
      <c r="C334" s="144">
        <v>4</v>
      </c>
      <c r="D334" s="145">
        <v>55</v>
      </c>
      <c r="E334" s="145">
        <v>60</v>
      </c>
      <c r="F334" s="145">
        <v>70</v>
      </c>
      <c r="G334" s="145">
        <v>82</v>
      </c>
      <c r="H334" s="145">
        <v>98</v>
      </c>
      <c r="I334" s="145">
        <f>SUM(D334:H334)</f>
        <v>365</v>
      </c>
      <c r="J334" s="145">
        <v>60</v>
      </c>
      <c r="K334" s="147" t="s">
        <v>124</v>
      </c>
      <c r="L334" s="147" t="s">
        <v>130</v>
      </c>
      <c r="M334" s="147" t="s">
        <v>130</v>
      </c>
      <c r="N334" s="147" t="s">
        <v>124</v>
      </c>
      <c r="O334" s="147" t="s">
        <v>130</v>
      </c>
      <c r="P334" s="147" t="s">
        <v>130</v>
      </c>
      <c r="Q334" s="148" t="s">
        <v>321</v>
      </c>
      <c r="R334" s="148" t="s">
        <v>118</v>
      </c>
      <c r="S334" s="148" t="s">
        <v>119</v>
      </c>
      <c r="T334" s="148" t="s">
        <v>126</v>
      </c>
      <c r="U334" s="145">
        <f>D334+E334</f>
        <v>115</v>
      </c>
      <c r="V334" s="149"/>
      <c r="W334" s="145">
        <f>D334+E334+F334</f>
        <v>185</v>
      </c>
      <c r="X334" s="149"/>
    </row>
    <row r="335" customHeight="1" spans="1:24">
      <c r="A335" s="153">
        <v>506</v>
      </c>
      <c r="B335" s="154" t="s">
        <v>614</v>
      </c>
      <c r="C335" s="144">
        <v>19</v>
      </c>
      <c r="D335" s="145">
        <v>92</v>
      </c>
      <c r="E335" s="145">
        <v>82</v>
      </c>
      <c r="F335" s="145">
        <v>73</v>
      </c>
      <c r="G335" s="145">
        <v>67</v>
      </c>
      <c r="H335" s="145">
        <v>97</v>
      </c>
      <c r="I335" s="145">
        <f>SUM(D335:H335)</f>
        <v>411</v>
      </c>
      <c r="J335" s="145">
        <v>46</v>
      </c>
      <c r="K335" s="147" t="s">
        <v>115</v>
      </c>
      <c r="L335" s="147" t="s">
        <v>115</v>
      </c>
      <c r="M335" s="147" t="s">
        <v>114</v>
      </c>
      <c r="N335" s="147" t="s">
        <v>114</v>
      </c>
      <c r="O335" s="147" t="s">
        <v>130</v>
      </c>
      <c r="P335" s="147" t="s">
        <v>114</v>
      </c>
      <c r="Q335" s="148" t="s">
        <v>172</v>
      </c>
      <c r="R335" s="148" t="s">
        <v>118</v>
      </c>
      <c r="S335" s="148" t="s">
        <v>119</v>
      </c>
      <c r="T335" s="148" t="s">
        <v>120</v>
      </c>
      <c r="U335" s="145">
        <f>D335+E335</f>
        <v>174</v>
      </c>
      <c r="V335" s="149"/>
      <c r="W335" s="145">
        <f>D335+E335+F335</f>
        <v>247</v>
      </c>
      <c r="X335" s="149"/>
    </row>
    <row r="336" customHeight="1" spans="1:24">
      <c r="A336" s="153">
        <v>277</v>
      </c>
      <c r="B336" s="154" t="s">
        <v>615</v>
      </c>
      <c r="C336" s="144">
        <v>4</v>
      </c>
      <c r="D336" s="145">
        <v>67</v>
      </c>
      <c r="E336" s="145">
        <v>65</v>
      </c>
      <c r="F336" s="145">
        <v>79</v>
      </c>
      <c r="G336" s="145">
        <v>82</v>
      </c>
      <c r="H336" s="145">
        <v>96</v>
      </c>
      <c r="I336" s="145">
        <f>SUM(D336:H336)</f>
        <v>389</v>
      </c>
      <c r="J336" s="145">
        <v>115</v>
      </c>
      <c r="K336" s="147" t="s">
        <v>114</v>
      </c>
      <c r="L336" s="147" t="s">
        <v>130</v>
      </c>
      <c r="M336" s="147" t="s">
        <v>130</v>
      </c>
      <c r="N336" s="147" t="s">
        <v>124</v>
      </c>
      <c r="O336" s="147" t="s">
        <v>130</v>
      </c>
      <c r="P336" s="147" t="s">
        <v>114</v>
      </c>
      <c r="Q336" s="148" t="s">
        <v>299</v>
      </c>
      <c r="R336" s="148" t="s">
        <v>132</v>
      </c>
      <c r="S336" s="148" t="s">
        <v>119</v>
      </c>
      <c r="T336" s="148" t="s">
        <v>120</v>
      </c>
      <c r="U336" s="145">
        <f>D336+E336</f>
        <v>132</v>
      </c>
      <c r="V336" s="149"/>
      <c r="W336" s="145">
        <f>D336+E336+F336</f>
        <v>211</v>
      </c>
      <c r="X336" s="149"/>
    </row>
    <row r="337" customHeight="1" spans="1:24">
      <c r="A337" s="153">
        <v>21</v>
      </c>
      <c r="B337" s="154" t="s">
        <v>616</v>
      </c>
      <c r="C337" s="144">
        <v>4</v>
      </c>
      <c r="D337" s="145">
        <v>69</v>
      </c>
      <c r="E337" s="145">
        <v>62</v>
      </c>
      <c r="F337" s="145">
        <v>71</v>
      </c>
      <c r="G337" s="145">
        <v>85</v>
      </c>
      <c r="H337" s="145">
        <v>95</v>
      </c>
      <c r="I337" s="145">
        <f>SUM(D337:H337)</f>
        <v>382</v>
      </c>
      <c r="J337" s="145">
        <v>20</v>
      </c>
      <c r="K337" s="147" t="s">
        <v>124</v>
      </c>
      <c r="L337" s="147" t="s">
        <v>114</v>
      </c>
      <c r="M337" s="147" t="s">
        <v>130</v>
      </c>
      <c r="N337" s="147" t="s">
        <v>130</v>
      </c>
      <c r="O337" s="147" t="s">
        <v>130</v>
      </c>
      <c r="P337" s="147" t="s">
        <v>130</v>
      </c>
      <c r="Q337" s="148" t="s">
        <v>286</v>
      </c>
      <c r="R337" s="148" t="s">
        <v>132</v>
      </c>
      <c r="S337" s="148" t="s">
        <v>136</v>
      </c>
      <c r="T337" s="148" t="s">
        <v>120</v>
      </c>
      <c r="U337" s="145">
        <f>D337+E337</f>
        <v>131</v>
      </c>
      <c r="V337" s="149"/>
      <c r="W337" s="145">
        <f>D337+E337+F337</f>
        <v>202</v>
      </c>
      <c r="X337" s="149"/>
    </row>
    <row r="338" customHeight="1" spans="1:24">
      <c r="A338" s="153">
        <v>237</v>
      </c>
      <c r="B338" s="154" t="s">
        <v>617</v>
      </c>
      <c r="C338" s="144">
        <v>10</v>
      </c>
      <c r="D338" s="145">
        <v>63</v>
      </c>
      <c r="E338" s="145">
        <v>53</v>
      </c>
      <c r="F338" s="145">
        <v>87</v>
      </c>
      <c r="G338" s="145">
        <v>91</v>
      </c>
      <c r="H338" s="145">
        <v>95</v>
      </c>
      <c r="I338" s="145">
        <f>SUM(D338:H338)</f>
        <v>389</v>
      </c>
      <c r="J338" s="145">
        <v>33</v>
      </c>
      <c r="K338" s="147" t="s">
        <v>130</v>
      </c>
      <c r="L338" s="147" t="s">
        <v>130</v>
      </c>
      <c r="M338" s="147" t="s">
        <v>130</v>
      </c>
      <c r="N338" s="147" t="s">
        <v>130</v>
      </c>
      <c r="O338" s="147" t="s">
        <v>130</v>
      </c>
      <c r="P338" s="147" t="s">
        <v>130</v>
      </c>
      <c r="Q338" s="158" t="s">
        <v>296</v>
      </c>
      <c r="R338" s="148" t="s">
        <v>118</v>
      </c>
      <c r="S338" s="148" t="s">
        <v>119</v>
      </c>
      <c r="T338" s="148" t="s">
        <v>120</v>
      </c>
      <c r="U338" s="145">
        <f>D338+E338</f>
        <v>116</v>
      </c>
      <c r="V338" s="148" t="s">
        <v>297</v>
      </c>
      <c r="W338" s="145">
        <f>D338+E338+F338</f>
        <v>203</v>
      </c>
      <c r="X338" s="149"/>
    </row>
    <row r="339" customHeight="1" spans="1:24">
      <c r="A339" s="153">
        <v>521</v>
      </c>
      <c r="B339" s="154" t="s">
        <v>618</v>
      </c>
      <c r="C339" s="144">
        <v>7</v>
      </c>
      <c r="D339" s="145">
        <v>71</v>
      </c>
      <c r="E339" s="145">
        <v>50</v>
      </c>
      <c r="F339" s="145">
        <v>91</v>
      </c>
      <c r="G339" s="145">
        <v>85</v>
      </c>
      <c r="H339" s="145">
        <v>95</v>
      </c>
      <c r="I339" s="145">
        <f>SUM(D339:H339)</f>
        <v>392</v>
      </c>
      <c r="J339" s="145">
        <v>46</v>
      </c>
      <c r="K339" s="147" t="s">
        <v>130</v>
      </c>
      <c r="L339" s="147" t="s">
        <v>130</v>
      </c>
      <c r="M339" s="147" t="s">
        <v>130</v>
      </c>
      <c r="N339" s="147" t="s">
        <v>130</v>
      </c>
      <c r="O339" s="147" t="s">
        <v>130</v>
      </c>
      <c r="P339" s="147" t="s">
        <v>130</v>
      </c>
      <c r="Q339" s="148" t="s">
        <v>230</v>
      </c>
      <c r="R339" s="148" t="s">
        <v>118</v>
      </c>
      <c r="S339" s="148" t="s">
        <v>119</v>
      </c>
      <c r="T339" s="148" t="s">
        <v>126</v>
      </c>
      <c r="U339" s="145">
        <f>D339+E339</f>
        <v>121</v>
      </c>
      <c r="V339" s="149"/>
      <c r="W339" s="145">
        <f>D339+E339+F339</f>
        <v>212</v>
      </c>
      <c r="X339" s="149"/>
    </row>
    <row r="340" customHeight="1" spans="1:24">
      <c r="A340" s="153">
        <v>140</v>
      </c>
      <c r="B340" s="154" t="s">
        <v>619</v>
      </c>
      <c r="C340" s="144">
        <v>15</v>
      </c>
      <c r="D340" s="145">
        <v>80</v>
      </c>
      <c r="E340" s="145">
        <v>77</v>
      </c>
      <c r="F340" s="145">
        <v>74</v>
      </c>
      <c r="G340" s="145">
        <v>80</v>
      </c>
      <c r="H340" s="145">
        <v>95</v>
      </c>
      <c r="I340" s="145">
        <f>SUM(D340:H340)</f>
        <v>406</v>
      </c>
      <c r="J340" s="145">
        <v>75</v>
      </c>
      <c r="K340" s="147" t="s">
        <v>130</v>
      </c>
      <c r="L340" s="147" t="s">
        <v>115</v>
      </c>
      <c r="M340" s="147" t="s">
        <v>114</v>
      </c>
      <c r="N340" s="147" t="s">
        <v>130</v>
      </c>
      <c r="O340" s="147" t="s">
        <v>130</v>
      </c>
      <c r="P340" s="147" t="s">
        <v>130</v>
      </c>
      <c r="Q340" s="158" t="s">
        <v>243</v>
      </c>
      <c r="R340" s="148" t="s">
        <v>119</v>
      </c>
      <c r="S340" s="148" t="s">
        <v>145</v>
      </c>
      <c r="T340" s="148" t="s">
        <v>120</v>
      </c>
      <c r="U340" s="145">
        <f>D340+E340</f>
        <v>157</v>
      </c>
      <c r="V340" s="149"/>
      <c r="W340" s="145">
        <f>D340+E340+F340</f>
        <v>231</v>
      </c>
      <c r="X340" s="149"/>
    </row>
    <row r="341" customHeight="1" spans="1:24">
      <c r="A341" s="153">
        <v>309</v>
      </c>
      <c r="B341" s="156" t="s">
        <v>620</v>
      </c>
      <c r="C341" s="144">
        <v>15</v>
      </c>
      <c r="D341" s="145">
        <v>81</v>
      </c>
      <c r="E341" s="145">
        <v>84</v>
      </c>
      <c r="F341" s="145">
        <v>95</v>
      </c>
      <c r="G341" s="145">
        <v>80</v>
      </c>
      <c r="H341" s="145">
        <v>95</v>
      </c>
      <c r="I341" s="145">
        <f>SUM(D341:H341)</f>
        <v>435</v>
      </c>
      <c r="J341" s="145">
        <v>0</v>
      </c>
      <c r="K341" s="147" t="s">
        <v>124</v>
      </c>
      <c r="L341" s="147" t="s">
        <v>130</v>
      </c>
      <c r="M341" s="147" t="s">
        <v>115</v>
      </c>
      <c r="N341" s="147" t="s">
        <v>124</v>
      </c>
      <c r="O341" s="147" t="s">
        <v>130</v>
      </c>
      <c r="P341" s="147" t="s">
        <v>130</v>
      </c>
      <c r="Q341" s="158" t="s">
        <v>296</v>
      </c>
      <c r="R341" s="148" t="s">
        <v>621</v>
      </c>
      <c r="S341" s="148" t="s">
        <v>136</v>
      </c>
      <c r="T341" s="148" t="s">
        <v>148</v>
      </c>
      <c r="U341" s="145">
        <f>D341+E341</f>
        <v>165</v>
      </c>
      <c r="V341" s="148" t="s">
        <v>297</v>
      </c>
      <c r="W341" s="145">
        <f>D341+E341+F341</f>
        <v>260</v>
      </c>
      <c r="X341" s="149"/>
    </row>
    <row r="342" customHeight="1" spans="1:24">
      <c r="A342" s="153">
        <v>649</v>
      </c>
      <c r="B342" s="154" t="s">
        <v>622</v>
      </c>
      <c r="C342" s="144">
        <v>5</v>
      </c>
      <c r="D342" s="145">
        <v>64</v>
      </c>
      <c r="E342" s="145">
        <v>53</v>
      </c>
      <c r="F342" s="145">
        <v>74</v>
      </c>
      <c r="G342" s="145">
        <v>87</v>
      </c>
      <c r="H342" s="145">
        <v>94</v>
      </c>
      <c r="I342" s="145">
        <f>SUM(D342:H342)</f>
        <v>372</v>
      </c>
      <c r="J342" s="145">
        <v>59</v>
      </c>
      <c r="K342" s="147" t="s">
        <v>130</v>
      </c>
      <c r="L342" s="147" t="s">
        <v>130</v>
      </c>
      <c r="M342" s="147" t="s">
        <v>114</v>
      </c>
      <c r="N342" s="147" t="s">
        <v>124</v>
      </c>
      <c r="O342" s="147" t="s">
        <v>130</v>
      </c>
      <c r="P342" s="147" t="s">
        <v>130</v>
      </c>
      <c r="Q342" s="148" t="s">
        <v>321</v>
      </c>
      <c r="R342" s="148" t="s">
        <v>118</v>
      </c>
      <c r="S342" s="148" t="s">
        <v>119</v>
      </c>
      <c r="T342" s="148" t="s">
        <v>126</v>
      </c>
      <c r="U342" s="145">
        <f>D342+E342</f>
        <v>117</v>
      </c>
      <c r="V342" s="149"/>
      <c r="W342" s="145">
        <f>D342+E342+F342</f>
        <v>191</v>
      </c>
      <c r="X342" s="149"/>
    </row>
    <row r="343" customHeight="1" spans="1:24">
      <c r="A343" s="153">
        <v>496</v>
      </c>
      <c r="B343" s="154" t="s">
        <v>623</v>
      </c>
      <c r="C343" s="144">
        <v>7</v>
      </c>
      <c r="D343" s="145">
        <v>55</v>
      </c>
      <c r="E343" s="145">
        <v>46</v>
      </c>
      <c r="F343" s="145">
        <v>86</v>
      </c>
      <c r="G343" s="145">
        <v>92</v>
      </c>
      <c r="H343" s="145">
        <v>94</v>
      </c>
      <c r="I343" s="145">
        <f>SUM(D343:H343)</f>
        <v>373</v>
      </c>
      <c r="J343" s="145">
        <v>46</v>
      </c>
      <c r="K343" s="147" t="s">
        <v>124</v>
      </c>
      <c r="L343" s="147" t="s">
        <v>130</v>
      </c>
      <c r="M343" s="147" t="s">
        <v>124</v>
      </c>
      <c r="N343" s="147" t="s">
        <v>124</v>
      </c>
      <c r="O343" s="147" t="s">
        <v>130</v>
      </c>
      <c r="P343" s="147" t="s">
        <v>124</v>
      </c>
      <c r="Q343" s="148" t="s">
        <v>624</v>
      </c>
      <c r="R343" s="148" t="s">
        <v>118</v>
      </c>
      <c r="S343" s="148" t="s">
        <v>119</v>
      </c>
      <c r="T343" s="148" t="s">
        <v>126</v>
      </c>
      <c r="U343" s="145">
        <f>D343+E343</f>
        <v>101</v>
      </c>
      <c r="V343" s="149"/>
      <c r="W343" s="145">
        <f>D343+E343+F343</f>
        <v>187</v>
      </c>
      <c r="X343" s="149"/>
    </row>
    <row r="344" customHeight="1" spans="1:24">
      <c r="A344" s="153">
        <v>404</v>
      </c>
      <c r="B344" s="154" t="s">
        <v>625</v>
      </c>
      <c r="C344" s="144">
        <v>23</v>
      </c>
      <c r="D344" s="145">
        <v>91</v>
      </c>
      <c r="E344" s="145">
        <v>77</v>
      </c>
      <c r="F344" s="145">
        <v>90</v>
      </c>
      <c r="G344" s="145">
        <v>91</v>
      </c>
      <c r="H344" s="145">
        <v>94</v>
      </c>
      <c r="I344" s="145">
        <f>SUM(D344:H344)</f>
        <v>443</v>
      </c>
      <c r="J344" s="145">
        <v>10</v>
      </c>
      <c r="K344" s="147" t="s">
        <v>114</v>
      </c>
      <c r="L344" s="147" t="s">
        <v>115</v>
      </c>
      <c r="M344" s="147" t="s">
        <v>114</v>
      </c>
      <c r="N344" s="147" t="s">
        <v>115</v>
      </c>
      <c r="O344" s="147" t="s">
        <v>130</v>
      </c>
      <c r="P344" s="147" t="s">
        <v>124</v>
      </c>
      <c r="Q344" s="171" t="s">
        <v>626</v>
      </c>
      <c r="R344" s="148" t="s">
        <v>119</v>
      </c>
      <c r="S344" s="148" t="s">
        <v>145</v>
      </c>
      <c r="T344" s="148" t="s">
        <v>120</v>
      </c>
      <c r="U344" s="145">
        <f>D344+E344</f>
        <v>168</v>
      </c>
      <c r="V344" s="172" t="s">
        <v>627</v>
      </c>
      <c r="W344" s="145">
        <f>D344+E344+F344</f>
        <v>258</v>
      </c>
      <c r="X344" s="149"/>
    </row>
    <row r="345" customHeight="1" spans="1:24">
      <c r="A345" s="153">
        <v>13</v>
      </c>
      <c r="B345" s="154" t="s">
        <v>628</v>
      </c>
      <c r="C345" s="144">
        <v>13</v>
      </c>
      <c r="D345" s="145">
        <v>59</v>
      </c>
      <c r="E345" s="145">
        <v>54</v>
      </c>
      <c r="F345" s="145">
        <v>67</v>
      </c>
      <c r="G345" s="145">
        <v>73</v>
      </c>
      <c r="H345" s="145">
        <v>93</v>
      </c>
      <c r="I345" s="145">
        <f>SUM(D345:H345)</f>
        <v>346</v>
      </c>
      <c r="J345" s="145">
        <v>68</v>
      </c>
      <c r="K345" s="147" t="s">
        <v>124</v>
      </c>
      <c r="L345" s="147" t="s">
        <v>124</v>
      </c>
      <c r="M345" s="147" t="s">
        <v>130</v>
      </c>
      <c r="N345" s="147" t="s">
        <v>124</v>
      </c>
      <c r="O345" s="147" t="s">
        <v>130</v>
      </c>
      <c r="P345" s="147" t="s">
        <v>124</v>
      </c>
      <c r="Q345" s="148" t="s">
        <v>153</v>
      </c>
      <c r="R345" s="148" t="s">
        <v>119</v>
      </c>
      <c r="S345" s="148" t="s">
        <v>136</v>
      </c>
      <c r="T345" s="148" t="s">
        <v>126</v>
      </c>
      <c r="U345" s="145">
        <f>D345+E345</f>
        <v>113</v>
      </c>
      <c r="V345" s="149"/>
      <c r="W345" s="145">
        <f>D345+E345+F345</f>
        <v>180</v>
      </c>
      <c r="X345" s="149"/>
    </row>
    <row r="346" customHeight="1" spans="1:24">
      <c r="A346" s="153">
        <v>512</v>
      </c>
      <c r="B346" s="154" t="s">
        <v>629</v>
      </c>
      <c r="C346" s="144">
        <v>3</v>
      </c>
      <c r="D346" s="145">
        <v>72</v>
      </c>
      <c r="E346" s="145">
        <v>58</v>
      </c>
      <c r="F346" s="145">
        <v>75</v>
      </c>
      <c r="G346" s="145">
        <v>79</v>
      </c>
      <c r="H346" s="145">
        <v>93</v>
      </c>
      <c r="I346" s="145">
        <f>SUM(D346:H346)</f>
        <v>377</v>
      </c>
      <c r="J346" s="145">
        <v>46</v>
      </c>
      <c r="K346" s="147" t="s">
        <v>130</v>
      </c>
      <c r="L346" s="147" t="s">
        <v>114</v>
      </c>
      <c r="M346" s="147" t="s">
        <v>114</v>
      </c>
      <c r="N346" s="147" t="s">
        <v>124</v>
      </c>
      <c r="O346" s="147" t="s">
        <v>130</v>
      </c>
      <c r="P346" s="147" t="s">
        <v>124</v>
      </c>
      <c r="Q346" s="148" t="s">
        <v>314</v>
      </c>
      <c r="R346" s="148" t="s">
        <v>118</v>
      </c>
      <c r="S346" s="148" t="s">
        <v>119</v>
      </c>
      <c r="T346" s="148" t="s">
        <v>126</v>
      </c>
      <c r="U346" s="145">
        <f>D346+E346</f>
        <v>130</v>
      </c>
      <c r="V346" s="149"/>
      <c r="W346" s="145">
        <f>D346+E346+F346</f>
        <v>205</v>
      </c>
      <c r="X346" s="149"/>
    </row>
    <row r="347" customHeight="1" spans="1:24">
      <c r="A347" s="153">
        <v>577</v>
      </c>
      <c r="B347" s="154" t="s">
        <v>630</v>
      </c>
      <c r="C347" s="144">
        <v>7</v>
      </c>
      <c r="D347" s="145">
        <v>84</v>
      </c>
      <c r="E347" s="145">
        <v>42</v>
      </c>
      <c r="F347" s="145">
        <v>81</v>
      </c>
      <c r="G347" s="145">
        <v>80</v>
      </c>
      <c r="H347" s="145">
        <v>93</v>
      </c>
      <c r="I347" s="145">
        <f>SUM(D347:H347)</f>
        <v>380</v>
      </c>
      <c r="J347" s="145">
        <v>27</v>
      </c>
      <c r="K347" s="147" t="s">
        <v>114</v>
      </c>
      <c r="L347" s="147" t="s">
        <v>130</v>
      </c>
      <c r="M347" s="147" t="s">
        <v>114</v>
      </c>
      <c r="N347" s="147" t="s">
        <v>114</v>
      </c>
      <c r="O347" s="147" t="s">
        <v>130</v>
      </c>
      <c r="P347" s="147" t="s">
        <v>114</v>
      </c>
      <c r="Q347" s="148" t="s">
        <v>172</v>
      </c>
      <c r="R347" s="148" t="s">
        <v>132</v>
      </c>
      <c r="S347" s="148" t="s">
        <v>119</v>
      </c>
      <c r="T347" s="148" t="s">
        <v>120</v>
      </c>
      <c r="U347" s="145">
        <f>D347+E347</f>
        <v>126</v>
      </c>
      <c r="V347" s="149"/>
      <c r="W347" s="145">
        <f>D347+E347+F347</f>
        <v>207</v>
      </c>
      <c r="X347" s="149"/>
    </row>
    <row r="348" customHeight="1" spans="1:24">
      <c r="A348" s="153">
        <v>128</v>
      </c>
      <c r="B348" s="154" t="s">
        <v>631</v>
      </c>
      <c r="C348" s="144">
        <v>11</v>
      </c>
      <c r="D348" s="145">
        <v>64</v>
      </c>
      <c r="E348" s="145">
        <v>56</v>
      </c>
      <c r="F348" s="145">
        <v>86</v>
      </c>
      <c r="G348" s="145">
        <v>93</v>
      </c>
      <c r="H348" s="145">
        <v>93</v>
      </c>
      <c r="I348" s="145">
        <f>SUM(D348:H348)</f>
        <v>392</v>
      </c>
      <c r="J348" s="145">
        <v>26</v>
      </c>
      <c r="K348" s="147" t="s">
        <v>130</v>
      </c>
      <c r="L348" s="147" t="s">
        <v>114</v>
      </c>
      <c r="M348" s="147" t="s">
        <v>130</v>
      </c>
      <c r="N348" s="147" t="s">
        <v>124</v>
      </c>
      <c r="O348" s="147" t="s">
        <v>130</v>
      </c>
      <c r="P348" s="147" t="s">
        <v>124</v>
      </c>
      <c r="Q348" s="148" t="s">
        <v>302</v>
      </c>
      <c r="R348" s="148" t="s">
        <v>118</v>
      </c>
      <c r="S348" s="148" t="s">
        <v>119</v>
      </c>
      <c r="T348" s="148" t="s">
        <v>120</v>
      </c>
      <c r="U348" s="145">
        <f>D348+E348</f>
        <v>120</v>
      </c>
      <c r="V348" s="149"/>
      <c r="W348" s="145">
        <f>D348+E348+F348</f>
        <v>206</v>
      </c>
      <c r="X348" s="149"/>
    </row>
    <row r="349" customHeight="1" spans="1:24">
      <c r="A349" s="153">
        <v>368</v>
      </c>
      <c r="B349" s="154" t="s">
        <v>632</v>
      </c>
      <c r="C349" s="144">
        <v>5</v>
      </c>
      <c r="D349" s="145">
        <v>78</v>
      </c>
      <c r="E349" s="145">
        <v>75</v>
      </c>
      <c r="F349" s="145">
        <v>47</v>
      </c>
      <c r="G349" s="145">
        <v>35</v>
      </c>
      <c r="H349" s="145">
        <v>92</v>
      </c>
      <c r="I349" s="145">
        <f>SUM(D349:H349)</f>
        <v>327</v>
      </c>
      <c r="J349" s="145">
        <v>76</v>
      </c>
      <c r="K349" s="147" t="s">
        <v>114</v>
      </c>
      <c r="L349" s="147" t="s">
        <v>114</v>
      </c>
      <c r="M349" s="147" t="s">
        <v>114</v>
      </c>
      <c r="N349" s="147" t="s">
        <v>124</v>
      </c>
      <c r="O349" s="147" t="s">
        <v>130</v>
      </c>
      <c r="P349" s="147" t="s">
        <v>115</v>
      </c>
      <c r="Q349" s="148" t="s">
        <v>321</v>
      </c>
      <c r="R349" s="148" t="s">
        <v>132</v>
      </c>
      <c r="S349" s="148" t="s">
        <v>136</v>
      </c>
      <c r="T349" s="148" t="s">
        <v>120</v>
      </c>
      <c r="U349" s="145">
        <f>D349+E349</f>
        <v>153</v>
      </c>
      <c r="V349" s="149"/>
      <c r="W349" s="145">
        <f>D349+E349+F349</f>
        <v>200</v>
      </c>
      <c r="X349" s="149"/>
    </row>
    <row r="350" customHeight="1" spans="1:24">
      <c r="A350" s="153">
        <v>34</v>
      </c>
      <c r="B350" s="154" t="s">
        <v>633</v>
      </c>
      <c r="C350" s="144">
        <v>13</v>
      </c>
      <c r="D350" s="145">
        <v>65</v>
      </c>
      <c r="E350" s="145">
        <v>54</v>
      </c>
      <c r="F350" s="145">
        <v>62</v>
      </c>
      <c r="G350" s="145">
        <v>73</v>
      </c>
      <c r="H350" s="145">
        <v>92</v>
      </c>
      <c r="I350" s="145">
        <f>SUM(D350:H350)</f>
        <v>346</v>
      </c>
      <c r="J350" s="145">
        <v>22</v>
      </c>
      <c r="K350" s="147" t="s">
        <v>124</v>
      </c>
      <c r="L350" s="147" t="s">
        <v>124</v>
      </c>
      <c r="M350" s="147" t="s">
        <v>114</v>
      </c>
      <c r="N350" s="147" t="s">
        <v>124</v>
      </c>
      <c r="O350" s="147" t="s">
        <v>130</v>
      </c>
      <c r="P350" s="147" t="s">
        <v>124</v>
      </c>
      <c r="Q350" s="148" t="s">
        <v>153</v>
      </c>
      <c r="R350" s="148" t="s">
        <v>132</v>
      </c>
      <c r="S350" s="148" t="s">
        <v>119</v>
      </c>
      <c r="T350" s="148" t="s">
        <v>148</v>
      </c>
      <c r="U350" s="145">
        <f>D350+E350</f>
        <v>119</v>
      </c>
      <c r="V350" s="149"/>
      <c r="W350" s="145">
        <f>D350+E350+F350</f>
        <v>181</v>
      </c>
      <c r="X350" s="149"/>
    </row>
    <row r="351" customHeight="1" spans="1:24">
      <c r="A351" s="153">
        <v>115</v>
      </c>
      <c r="B351" s="154" t="s">
        <v>634</v>
      </c>
      <c r="C351" s="144">
        <v>3</v>
      </c>
      <c r="D351" s="145">
        <v>56</v>
      </c>
      <c r="E351" s="145">
        <v>53</v>
      </c>
      <c r="F351" s="145">
        <v>70</v>
      </c>
      <c r="G351" s="145">
        <v>80</v>
      </c>
      <c r="H351" s="145">
        <v>91</v>
      </c>
      <c r="I351" s="145">
        <f>SUM(D351:H351)</f>
        <v>350</v>
      </c>
      <c r="J351" s="145">
        <v>5</v>
      </c>
      <c r="K351" s="147" t="s">
        <v>124</v>
      </c>
      <c r="L351" s="147" t="s">
        <v>124</v>
      </c>
      <c r="M351" s="147" t="s">
        <v>124</v>
      </c>
      <c r="N351" s="147" t="s">
        <v>130</v>
      </c>
      <c r="O351" s="147" t="s">
        <v>130</v>
      </c>
      <c r="P351" s="147" t="s">
        <v>124</v>
      </c>
      <c r="Q351" s="149"/>
      <c r="R351" s="148" t="s">
        <v>119</v>
      </c>
      <c r="S351" s="148" t="s">
        <v>136</v>
      </c>
      <c r="T351" s="148" t="s">
        <v>126</v>
      </c>
      <c r="U351" s="145">
        <f>D351+E351</f>
        <v>109</v>
      </c>
      <c r="V351" s="149"/>
      <c r="W351" s="145">
        <f>D351+E351+F351</f>
        <v>179</v>
      </c>
      <c r="X351" s="149"/>
    </row>
    <row r="352" customHeight="1" spans="1:24">
      <c r="A352" s="153">
        <v>0</v>
      </c>
      <c r="B352" s="154" t="s">
        <v>635</v>
      </c>
      <c r="C352" s="144">
        <v>4</v>
      </c>
      <c r="D352" s="145">
        <v>67</v>
      </c>
      <c r="E352" s="145">
        <v>61</v>
      </c>
      <c r="F352" s="145">
        <v>70</v>
      </c>
      <c r="G352" s="145">
        <v>79</v>
      </c>
      <c r="H352" s="145">
        <v>91</v>
      </c>
      <c r="I352" s="145">
        <f>SUM(D352:H352)</f>
        <v>368</v>
      </c>
      <c r="J352" s="145">
        <v>65</v>
      </c>
      <c r="K352" s="147" t="s">
        <v>130</v>
      </c>
      <c r="L352" s="147" t="s">
        <v>114</v>
      </c>
      <c r="M352" s="147" t="s">
        <v>130</v>
      </c>
      <c r="N352" s="147" t="s">
        <v>130</v>
      </c>
      <c r="O352" s="147" t="s">
        <v>130</v>
      </c>
      <c r="P352" s="147" t="s">
        <v>124</v>
      </c>
      <c r="Q352" s="148" t="s">
        <v>636</v>
      </c>
      <c r="R352" s="148" t="s">
        <v>119</v>
      </c>
      <c r="S352" s="148" t="s">
        <v>136</v>
      </c>
      <c r="T352" s="148" t="s">
        <v>120</v>
      </c>
      <c r="U352" s="145">
        <f>D352+E352</f>
        <v>128</v>
      </c>
      <c r="V352" s="149"/>
      <c r="W352" s="145">
        <f>D352+E352+F352</f>
        <v>198</v>
      </c>
      <c r="X352" s="149"/>
    </row>
    <row r="353" customHeight="1" spans="1:24">
      <c r="A353" s="153">
        <v>511</v>
      </c>
      <c r="B353" s="154" t="s">
        <v>637</v>
      </c>
      <c r="C353" s="144">
        <v>5</v>
      </c>
      <c r="D353" s="145">
        <v>69</v>
      </c>
      <c r="E353" s="145">
        <v>64</v>
      </c>
      <c r="F353" s="145">
        <v>78</v>
      </c>
      <c r="G353" s="145">
        <v>83</v>
      </c>
      <c r="H353" s="145">
        <v>91</v>
      </c>
      <c r="I353" s="145">
        <f>SUM(D353:H353)</f>
        <v>385</v>
      </c>
      <c r="J353" s="145">
        <v>46</v>
      </c>
      <c r="K353" s="147" t="s">
        <v>130</v>
      </c>
      <c r="L353" s="147" t="s">
        <v>130</v>
      </c>
      <c r="M353" s="147" t="s">
        <v>130</v>
      </c>
      <c r="N353" s="147" t="s">
        <v>130</v>
      </c>
      <c r="O353" s="147" t="s">
        <v>130</v>
      </c>
      <c r="P353" s="147" t="s">
        <v>124</v>
      </c>
      <c r="Q353" s="148" t="s">
        <v>353</v>
      </c>
      <c r="R353" s="148" t="s">
        <v>118</v>
      </c>
      <c r="S353" s="148" t="s">
        <v>119</v>
      </c>
      <c r="T353" s="148" t="s">
        <v>126</v>
      </c>
      <c r="U353" s="145">
        <f>D353+E353</f>
        <v>133</v>
      </c>
      <c r="V353" s="149"/>
      <c r="W353" s="145">
        <f>D353+E353+F353</f>
        <v>211</v>
      </c>
      <c r="X353" s="149"/>
    </row>
    <row r="354" customHeight="1" spans="1:24">
      <c r="A354" s="153">
        <v>370</v>
      </c>
      <c r="B354" s="154" t="s">
        <v>638</v>
      </c>
      <c r="C354" s="144">
        <v>16</v>
      </c>
      <c r="D354" s="145">
        <v>86</v>
      </c>
      <c r="E354" s="145">
        <v>89</v>
      </c>
      <c r="F354" s="145">
        <v>57</v>
      </c>
      <c r="G354" s="145">
        <v>63</v>
      </c>
      <c r="H354" s="145">
        <v>91</v>
      </c>
      <c r="I354" s="145">
        <f>SUM(D354:H354)</f>
        <v>386</v>
      </c>
      <c r="J354" s="145">
        <v>125</v>
      </c>
      <c r="K354" s="147" t="s">
        <v>115</v>
      </c>
      <c r="L354" s="147" t="s">
        <v>114</v>
      </c>
      <c r="M354" s="147" t="s">
        <v>130</v>
      </c>
      <c r="N354" s="147" t="s">
        <v>114</v>
      </c>
      <c r="O354" s="147" t="s">
        <v>130</v>
      </c>
      <c r="P354" s="147" t="s">
        <v>115</v>
      </c>
      <c r="Q354" s="148" t="s">
        <v>220</v>
      </c>
      <c r="R354" s="148" t="s">
        <v>132</v>
      </c>
      <c r="S354" s="148" t="s">
        <v>136</v>
      </c>
      <c r="T354" s="148" t="s">
        <v>250</v>
      </c>
      <c r="U354" s="145">
        <f>D354+E354</f>
        <v>175</v>
      </c>
      <c r="V354" s="149"/>
      <c r="W354" s="145">
        <f>D354+E354+F354</f>
        <v>232</v>
      </c>
      <c r="X354" s="149"/>
    </row>
    <row r="355" customHeight="1" spans="1:24">
      <c r="A355" s="153">
        <v>7</v>
      </c>
      <c r="B355" s="154" t="s">
        <v>639</v>
      </c>
      <c r="C355" s="144">
        <v>6</v>
      </c>
      <c r="D355" s="145">
        <v>54</v>
      </c>
      <c r="E355" s="145">
        <v>68</v>
      </c>
      <c r="F355" s="145">
        <v>76</v>
      </c>
      <c r="G355" s="145">
        <v>88</v>
      </c>
      <c r="H355" s="145">
        <v>90</v>
      </c>
      <c r="I355" s="145">
        <f>SUM(D355:H355)</f>
        <v>376</v>
      </c>
      <c r="J355" s="145">
        <v>67</v>
      </c>
      <c r="K355" s="147" t="s">
        <v>124</v>
      </c>
      <c r="L355" s="147" t="s">
        <v>130</v>
      </c>
      <c r="M355" s="147" t="s">
        <v>124</v>
      </c>
      <c r="N355" s="147" t="s">
        <v>124</v>
      </c>
      <c r="O355" s="147" t="s">
        <v>130</v>
      </c>
      <c r="P355" s="147" t="s">
        <v>124</v>
      </c>
      <c r="Q355" s="148" t="s">
        <v>474</v>
      </c>
      <c r="R355" s="148" t="s">
        <v>119</v>
      </c>
      <c r="S355" s="148" t="s">
        <v>136</v>
      </c>
      <c r="T355" s="148" t="s">
        <v>126</v>
      </c>
      <c r="U355" s="145">
        <f>D355+E355</f>
        <v>122</v>
      </c>
      <c r="V355" s="149"/>
      <c r="W355" s="145">
        <f>D355+E355+F355</f>
        <v>198</v>
      </c>
      <c r="X355" s="149"/>
    </row>
    <row r="356" customHeight="1" spans="1:24">
      <c r="A356" s="153">
        <v>437</v>
      </c>
      <c r="B356" s="154" t="s">
        <v>640</v>
      </c>
      <c r="C356" s="144">
        <v>12</v>
      </c>
      <c r="D356" s="145">
        <v>77</v>
      </c>
      <c r="E356" s="145">
        <v>84</v>
      </c>
      <c r="F356" s="145">
        <v>66</v>
      </c>
      <c r="G356" s="145">
        <v>80</v>
      </c>
      <c r="H356" s="145">
        <v>90</v>
      </c>
      <c r="I356" s="145">
        <f>SUM(D356:H356)</f>
        <v>397</v>
      </c>
      <c r="J356" s="145">
        <v>12</v>
      </c>
      <c r="K356" s="147" t="s">
        <v>130</v>
      </c>
      <c r="L356" s="147" t="s">
        <v>130</v>
      </c>
      <c r="M356" s="147" t="s">
        <v>130</v>
      </c>
      <c r="N356" s="147" t="s">
        <v>114</v>
      </c>
      <c r="O356" s="147" t="s">
        <v>130</v>
      </c>
      <c r="P356" s="147" t="s">
        <v>130</v>
      </c>
      <c r="Q356" s="148" t="s">
        <v>153</v>
      </c>
      <c r="R356" s="148" t="s">
        <v>132</v>
      </c>
      <c r="S356" s="148" t="s">
        <v>119</v>
      </c>
      <c r="T356" s="148" t="s">
        <v>120</v>
      </c>
      <c r="U356" s="145">
        <f>D356+E356</f>
        <v>161</v>
      </c>
      <c r="V356" s="149"/>
      <c r="W356" s="145">
        <f>D356+E356+F356</f>
        <v>227</v>
      </c>
      <c r="X356" s="149"/>
    </row>
    <row r="357" customHeight="1" spans="1:24">
      <c r="A357" s="153">
        <v>588</v>
      </c>
      <c r="B357" s="156" t="s">
        <v>641</v>
      </c>
      <c r="C357" s="144">
        <v>2</v>
      </c>
      <c r="D357" s="145">
        <v>41</v>
      </c>
      <c r="E357" s="145">
        <v>47</v>
      </c>
      <c r="F357" s="145">
        <v>77</v>
      </c>
      <c r="G357" s="145">
        <v>85</v>
      </c>
      <c r="H357" s="145">
        <v>89</v>
      </c>
      <c r="I357" s="145">
        <f>SUM(D357:H357)</f>
        <v>339</v>
      </c>
      <c r="J357" s="145">
        <v>95</v>
      </c>
      <c r="K357" s="147" t="s">
        <v>124</v>
      </c>
      <c r="L357" s="147" t="s">
        <v>124</v>
      </c>
      <c r="M357" s="147" t="s">
        <v>124</v>
      </c>
      <c r="N357" s="147" t="s">
        <v>130</v>
      </c>
      <c r="O357" s="147" t="s">
        <v>130</v>
      </c>
      <c r="P357" s="147" t="s">
        <v>130</v>
      </c>
      <c r="Q357" s="148" t="s">
        <v>147</v>
      </c>
      <c r="R357" s="148" t="s">
        <v>319</v>
      </c>
      <c r="S357" s="148" t="s">
        <v>136</v>
      </c>
      <c r="T357" s="148" t="s">
        <v>120</v>
      </c>
      <c r="U357" s="145">
        <f>D357+E357</f>
        <v>88</v>
      </c>
      <c r="V357" s="149"/>
      <c r="W357" s="145">
        <f>D357+E357+F357</f>
        <v>165</v>
      </c>
      <c r="X357" s="149"/>
    </row>
    <row r="358" customHeight="1" spans="1:24">
      <c r="A358" s="153">
        <v>318</v>
      </c>
      <c r="B358" s="154" t="s">
        <v>642</v>
      </c>
      <c r="C358" s="144">
        <v>4</v>
      </c>
      <c r="D358" s="145">
        <v>52</v>
      </c>
      <c r="E358" s="145">
        <v>40</v>
      </c>
      <c r="F358" s="145">
        <v>81</v>
      </c>
      <c r="G358" s="145">
        <v>80</v>
      </c>
      <c r="H358" s="145">
        <v>89</v>
      </c>
      <c r="I358" s="145">
        <f>SUM(D358:H358)</f>
        <v>342</v>
      </c>
      <c r="J358" s="145">
        <v>82</v>
      </c>
      <c r="K358" s="147" t="s">
        <v>124</v>
      </c>
      <c r="L358" s="147" t="s">
        <v>124</v>
      </c>
      <c r="M358" s="147" t="s">
        <v>130</v>
      </c>
      <c r="N358" s="147" t="s">
        <v>124</v>
      </c>
      <c r="O358" s="147" t="s">
        <v>130</v>
      </c>
      <c r="P358" s="147" t="s">
        <v>124</v>
      </c>
      <c r="Q358" s="148" t="s">
        <v>316</v>
      </c>
      <c r="R358" s="148" t="s">
        <v>119</v>
      </c>
      <c r="S358" s="148" t="s">
        <v>279</v>
      </c>
      <c r="T358" s="148" t="s">
        <v>148</v>
      </c>
      <c r="U358" s="145">
        <f>D358+E358</f>
        <v>92</v>
      </c>
      <c r="V358" s="149"/>
      <c r="W358" s="145">
        <f>D358+E358+F358</f>
        <v>173</v>
      </c>
      <c r="X358" s="149"/>
    </row>
    <row r="359" customHeight="1" spans="1:24">
      <c r="A359" s="153">
        <v>202</v>
      </c>
      <c r="B359" s="154" t="s">
        <v>643</v>
      </c>
      <c r="C359" s="144">
        <v>2</v>
      </c>
      <c r="D359" s="145">
        <v>74</v>
      </c>
      <c r="E359" s="145">
        <v>70</v>
      </c>
      <c r="F359" s="145">
        <v>74</v>
      </c>
      <c r="G359" s="145">
        <v>77</v>
      </c>
      <c r="H359" s="145">
        <v>89</v>
      </c>
      <c r="I359" s="145">
        <f>SUM(D359:H359)</f>
        <v>384</v>
      </c>
      <c r="J359" s="145">
        <v>73</v>
      </c>
      <c r="K359" s="147" t="s">
        <v>114</v>
      </c>
      <c r="L359" s="147" t="s">
        <v>114</v>
      </c>
      <c r="M359" s="147" t="s">
        <v>130</v>
      </c>
      <c r="N359" s="147" t="s">
        <v>130</v>
      </c>
      <c r="O359" s="147" t="s">
        <v>130</v>
      </c>
      <c r="P359" s="147" t="s">
        <v>124</v>
      </c>
      <c r="Q359" s="148" t="s">
        <v>344</v>
      </c>
      <c r="R359" s="148" t="s">
        <v>118</v>
      </c>
      <c r="S359" s="148" t="s">
        <v>119</v>
      </c>
      <c r="T359" s="148" t="s">
        <v>126</v>
      </c>
      <c r="U359" s="145">
        <f>D359+E359</f>
        <v>144</v>
      </c>
      <c r="V359" s="149"/>
      <c r="W359" s="145">
        <f>D359+E359+F359</f>
        <v>218</v>
      </c>
      <c r="X359" s="149"/>
    </row>
    <row r="360" customHeight="1" spans="1:24">
      <c r="A360" s="153">
        <v>666</v>
      </c>
      <c r="B360" s="154" t="s">
        <v>644</v>
      </c>
      <c r="C360" s="144">
        <v>7</v>
      </c>
      <c r="D360" s="145">
        <v>85</v>
      </c>
      <c r="E360" s="145">
        <v>71</v>
      </c>
      <c r="F360" s="145">
        <v>88</v>
      </c>
      <c r="G360" s="145">
        <v>86</v>
      </c>
      <c r="H360" s="145">
        <v>89</v>
      </c>
      <c r="I360" s="145">
        <f>SUM(D360:H360)</f>
        <v>419</v>
      </c>
      <c r="J360" s="145">
        <v>63</v>
      </c>
      <c r="K360" s="147" t="s">
        <v>130</v>
      </c>
      <c r="L360" s="147" t="s">
        <v>114</v>
      </c>
      <c r="M360" s="147" t="s">
        <v>114</v>
      </c>
      <c r="N360" s="147" t="s">
        <v>124</v>
      </c>
      <c r="O360" s="147" t="s">
        <v>130</v>
      </c>
      <c r="P360" s="147" t="s">
        <v>115</v>
      </c>
      <c r="Q360" s="148" t="s">
        <v>230</v>
      </c>
      <c r="R360" s="148" t="s">
        <v>118</v>
      </c>
      <c r="S360" s="148" t="s">
        <v>119</v>
      </c>
      <c r="T360" s="148" t="s">
        <v>126</v>
      </c>
      <c r="U360" s="145">
        <f>D360+E360</f>
        <v>156</v>
      </c>
      <c r="V360" s="149"/>
      <c r="W360" s="145">
        <f>D360+E360+F360</f>
        <v>244</v>
      </c>
      <c r="X360" s="149"/>
    </row>
    <row r="361" customHeight="1" spans="1:24">
      <c r="A361" s="153">
        <v>582</v>
      </c>
      <c r="B361" s="154" t="s">
        <v>645</v>
      </c>
      <c r="C361" s="144">
        <v>25</v>
      </c>
      <c r="D361" s="145">
        <v>91</v>
      </c>
      <c r="E361" s="145">
        <v>80</v>
      </c>
      <c r="F361" s="145">
        <v>79</v>
      </c>
      <c r="G361" s="145">
        <v>94</v>
      </c>
      <c r="H361" s="145">
        <v>89</v>
      </c>
      <c r="I361" s="145">
        <f>SUM(D361:H361)</f>
        <v>433</v>
      </c>
      <c r="J361" s="145">
        <v>55</v>
      </c>
      <c r="K361" s="147" t="s">
        <v>114</v>
      </c>
      <c r="L361" s="147" t="s">
        <v>115</v>
      </c>
      <c r="M361" s="147" t="s">
        <v>115</v>
      </c>
      <c r="N361" s="147" t="s">
        <v>114</v>
      </c>
      <c r="O361" s="147" t="s">
        <v>130</v>
      </c>
      <c r="P361" s="147" t="s">
        <v>114</v>
      </c>
      <c r="Q361" s="148" t="s">
        <v>461</v>
      </c>
      <c r="R361" s="148" t="s">
        <v>132</v>
      </c>
      <c r="S361" s="148" t="s">
        <v>136</v>
      </c>
      <c r="T361" s="148" t="s">
        <v>126</v>
      </c>
      <c r="U361" s="145">
        <f>D361+E361</f>
        <v>171</v>
      </c>
      <c r="V361" s="149"/>
      <c r="W361" s="145">
        <f>D361+E361+F361</f>
        <v>250</v>
      </c>
      <c r="X361" s="149"/>
    </row>
    <row r="362" customHeight="1" spans="1:24">
      <c r="A362" s="153">
        <v>583</v>
      </c>
      <c r="B362" s="156" t="s">
        <v>646</v>
      </c>
      <c r="C362" s="144">
        <v>11</v>
      </c>
      <c r="D362" s="145">
        <v>44</v>
      </c>
      <c r="E362" s="145">
        <v>38</v>
      </c>
      <c r="F362" s="145">
        <v>87</v>
      </c>
      <c r="G362" s="145">
        <v>95</v>
      </c>
      <c r="H362" s="145">
        <v>88</v>
      </c>
      <c r="I362" s="145">
        <f>SUM(D362:H362)</f>
        <v>352</v>
      </c>
      <c r="J362" s="145">
        <v>76</v>
      </c>
      <c r="K362" s="147" t="s">
        <v>124</v>
      </c>
      <c r="L362" s="147" t="s">
        <v>124</v>
      </c>
      <c r="M362" s="147" t="s">
        <v>124</v>
      </c>
      <c r="N362" s="147" t="s">
        <v>124</v>
      </c>
      <c r="O362" s="147" t="s">
        <v>130</v>
      </c>
      <c r="P362" s="147" t="s">
        <v>114</v>
      </c>
      <c r="Q362" s="148" t="s">
        <v>302</v>
      </c>
      <c r="R362" s="148" t="s">
        <v>118</v>
      </c>
      <c r="S362" s="148" t="s">
        <v>119</v>
      </c>
      <c r="T362" s="148" t="s">
        <v>120</v>
      </c>
      <c r="U362" s="145">
        <f>D362+E362</f>
        <v>82</v>
      </c>
      <c r="V362" s="149"/>
      <c r="W362" s="145">
        <f>D362+E362+F362</f>
        <v>169</v>
      </c>
      <c r="X362" s="149"/>
    </row>
    <row r="363" customHeight="1" spans="1:24">
      <c r="A363" s="153">
        <v>26</v>
      </c>
      <c r="B363" s="154" t="s">
        <v>647</v>
      </c>
      <c r="C363" s="144">
        <v>5</v>
      </c>
      <c r="D363" s="145">
        <v>60</v>
      </c>
      <c r="E363" s="145">
        <v>59</v>
      </c>
      <c r="F363" s="145">
        <v>73</v>
      </c>
      <c r="G363" s="145">
        <v>82</v>
      </c>
      <c r="H363" s="145">
        <v>88</v>
      </c>
      <c r="I363" s="145">
        <f>SUM(D363:H363)</f>
        <v>362</v>
      </c>
      <c r="J363" s="145">
        <v>22</v>
      </c>
      <c r="K363" s="147" t="s">
        <v>124</v>
      </c>
      <c r="L363" s="147" t="s">
        <v>124</v>
      </c>
      <c r="M363" s="147" t="s">
        <v>130</v>
      </c>
      <c r="N363" s="147" t="s">
        <v>124</v>
      </c>
      <c r="O363" s="147" t="s">
        <v>130</v>
      </c>
      <c r="P363" s="147" t="s">
        <v>124</v>
      </c>
      <c r="Q363" s="148" t="s">
        <v>353</v>
      </c>
      <c r="R363" s="148" t="s">
        <v>118</v>
      </c>
      <c r="S363" s="148" t="s">
        <v>133</v>
      </c>
      <c r="T363" s="148" t="s">
        <v>120</v>
      </c>
      <c r="U363" s="145">
        <f>D363+E363</f>
        <v>119</v>
      </c>
      <c r="V363" s="149"/>
      <c r="W363" s="145">
        <f>D363+E363+F363</f>
        <v>192</v>
      </c>
      <c r="X363" s="149"/>
    </row>
    <row r="364" customHeight="1" spans="1:24">
      <c r="A364" s="153">
        <v>204</v>
      </c>
      <c r="B364" s="154" t="s">
        <v>648</v>
      </c>
      <c r="C364" s="144">
        <v>4</v>
      </c>
      <c r="D364" s="145">
        <v>68</v>
      </c>
      <c r="E364" s="145">
        <v>72</v>
      </c>
      <c r="F364" s="145">
        <v>74</v>
      </c>
      <c r="G364" s="145">
        <v>83</v>
      </c>
      <c r="H364" s="145">
        <v>88</v>
      </c>
      <c r="I364" s="145">
        <f>SUM(D364:H364)</f>
        <v>385</v>
      </c>
      <c r="J364" s="145">
        <v>69</v>
      </c>
      <c r="K364" s="147" t="s">
        <v>130</v>
      </c>
      <c r="L364" s="147" t="s">
        <v>124</v>
      </c>
      <c r="M364" s="147" t="s">
        <v>114</v>
      </c>
      <c r="N364" s="147" t="s">
        <v>114</v>
      </c>
      <c r="O364" s="147" t="s">
        <v>130</v>
      </c>
      <c r="P364" s="147" t="s">
        <v>124</v>
      </c>
      <c r="Q364" s="148" t="s">
        <v>550</v>
      </c>
      <c r="R364" s="148" t="s">
        <v>132</v>
      </c>
      <c r="S364" s="148" t="s">
        <v>119</v>
      </c>
      <c r="T364" s="148" t="s">
        <v>148</v>
      </c>
      <c r="U364" s="145">
        <f>D364+E364</f>
        <v>140</v>
      </c>
      <c r="V364" s="149"/>
      <c r="W364" s="145">
        <f>D364+E364+F364</f>
        <v>214</v>
      </c>
      <c r="X364" s="149"/>
    </row>
    <row r="365" customHeight="1" spans="1:24">
      <c r="A365" s="153">
        <v>414</v>
      </c>
      <c r="B365" s="154" t="s">
        <v>649</v>
      </c>
      <c r="C365" s="144">
        <v>15</v>
      </c>
      <c r="D365" s="145">
        <v>87</v>
      </c>
      <c r="E365" s="145">
        <v>78</v>
      </c>
      <c r="F365" s="145">
        <v>94</v>
      </c>
      <c r="G365" s="145">
        <v>87</v>
      </c>
      <c r="H365" s="145">
        <v>88</v>
      </c>
      <c r="I365" s="145">
        <f>SUM(D365:H365)</f>
        <v>434</v>
      </c>
      <c r="J365" s="145">
        <v>0</v>
      </c>
      <c r="K365" s="147" t="s">
        <v>115</v>
      </c>
      <c r="L365" s="147" t="s">
        <v>114</v>
      </c>
      <c r="M365" s="147" t="s">
        <v>114</v>
      </c>
      <c r="N365" s="147" t="s">
        <v>115</v>
      </c>
      <c r="O365" s="147" t="s">
        <v>130</v>
      </c>
      <c r="P365" s="147" t="s">
        <v>130</v>
      </c>
      <c r="Q365" s="158" t="s">
        <v>296</v>
      </c>
      <c r="R365" s="148" t="s">
        <v>119</v>
      </c>
      <c r="S365" s="148" t="s">
        <v>145</v>
      </c>
      <c r="T365" s="148" t="s">
        <v>126</v>
      </c>
      <c r="U365" s="145">
        <f>D365+E365</f>
        <v>165</v>
      </c>
      <c r="V365" s="148" t="s">
        <v>297</v>
      </c>
      <c r="W365" s="145">
        <f>D365+E365+F365</f>
        <v>259</v>
      </c>
      <c r="X365" s="149"/>
    </row>
    <row r="366" customHeight="1" spans="1:24">
      <c r="A366" s="153">
        <v>298</v>
      </c>
      <c r="B366" s="154" t="s">
        <v>650</v>
      </c>
      <c r="C366" s="144">
        <v>2</v>
      </c>
      <c r="D366" s="145">
        <v>64</v>
      </c>
      <c r="E366" s="145">
        <v>55</v>
      </c>
      <c r="F366" s="145">
        <v>72</v>
      </c>
      <c r="G366" s="145">
        <v>82</v>
      </c>
      <c r="H366" s="145">
        <v>87</v>
      </c>
      <c r="I366" s="145">
        <f>SUM(D366:H366)</f>
        <v>360</v>
      </c>
      <c r="J366" s="145">
        <v>130</v>
      </c>
      <c r="K366" s="147" t="s">
        <v>130</v>
      </c>
      <c r="L366" s="147" t="s">
        <v>130</v>
      </c>
      <c r="M366" s="147" t="s">
        <v>130</v>
      </c>
      <c r="N366" s="147" t="s">
        <v>130</v>
      </c>
      <c r="O366" s="147" t="s">
        <v>130</v>
      </c>
      <c r="P366" s="147" t="s">
        <v>124</v>
      </c>
      <c r="Q366" s="148"/>
      <c r="R366" s="148" t="s">
        <v>119</v>
      </c>
      <c r="S366" s="148" t="s">
        <v>136</v>
      </c>
      <c r="T366" s="148" t="s">
        <v>120</v>
      </c>
      <c r="U366" s="145">
        <f>D366+E366</f>
        <v>119</v>
      </c>
      <c r="V366" s="149"/>
      <c r="W366" s="145">
        <f>D366+E366+F366</f>
        <v>191</v>
      </c>
      <c r="X366" s="149"/>
    </row>
    <row r="367" customHeight="1" spans="1:24">
      <c r="A367" s="153">
        <v>469</v>
      </c>
      <c r="B367" s="154" t="s">
        <v>651</v>
      </c>
      <c r="C367" s="144">
        <v>2</v>
      </c>
      <c r="D367" s="145">
        <v>65</v>
      </c>
      <c r="E367" s="145">
        <v>61</v>
      </c>
      <c r="F367" s="145">
        <v>76</v>
      </c>
      <c r="G367" s="145">
        <v>84</v>
      </c>
      <c r="H367" s="145">
        <v>87</v>
      </c>
      <c r="I367" s="145">
        <f>SUM(D367:H367)</f>
        <v>373</v>
      </c>
      <c r="J367" s="145">
        <v>63</v>
      </c>
      <c r="K367" s="147" t="s">
        <v>130</v>
      </c>
      <c r="L367" s="147" t="s">
        <v>130</v>
      </c>
      <c r="M367" s="147" t="s">
        <v>114</v>
      </c>
      <c r="N367" s="147" t="s">
        <v>124</v>
      </c>
      <c r="O367" s="147" t="s">
        <v>130</v>
      </c>
      <c r="P367" s="147" t="s">
        <v>130</v>
      </c>
      <c r="Q367" s="148" t="s">
        <v>414</v>
      </c>
      <c r="R367" s="148" t="s">
        <v>132</v>
      </c>
      <c r="S367" s="148" t="s">
        <v>119</v>
      </c>
      <c r="T367" s="148" t="s">
        <v>120</v>
      </c>
      <c r="U367" s="145">
        <f>D367+E367</f>
        <v>126</v>
      </c>
      <c r="V367" s="149"/>
      <c r="W367" s="145">
        <f>D367+E367+F367</f>
        <v>202</v>
      </c>
      <c r="X367" s="149"/>
    </row>
    <row r="368" customHeight="1" spans="1:24">
      <c r="A368" s="153">
        <v>343</v>
      </c>
      <c r="B368" s="154" t="s">
        <v>652</v>
      </c>
      <c r="C368" s="144">
        <v>6</v>
      </c>
      <c r="D368" s="145">
        <v>75</v>
      </c>
      <c r="E368" s="145">
        <v>80</v>
      </c>
      <c r="F368" s="145">
        <v>68</v>
      </c>
      <c r="G368" s="145">
        <v>73</v>
      </c>
      <c r="H368" s="145">
        <v>87</v>
      </c>
      <c r="I368" s="145">
        <f>SUM(D368:H368)</f>
        <v>383</v>
      </c>
      <c r="J368" s="145">
        <v>45</v>
      </c>
      <c r="K368" s="147" t="s">
        <v>114</v>
      </c>
      <c r="L368" s="147" t="s">
        <v>130</v>
      </c>
      <c r="M368" s="147" t="s">
        <v>115</v>
      </c>
      <c r="N368" s="147" t="s">
        <v>114</v>
      </c>
      <c r="O368" s="147" t="s">
        <v>130</v>
      </c>
      <c r="P368" s="147" t="s">
        <v>130</v>
      </c>
      <c r="Q368" s="148" t="s">
        <v>429</v>
      </c>
      <c r="R368" s="148" t="s">
        <v>119</v>
      </c>
      <c r="S368" s="148" t="s">
        <v>145</v>
      </c>
      <c r="T368" s="148" t="s">
        <v>148</v>
      </c>
      <c r="U368" s="145">
        <f>D368+E368</f>
        <v>155</v>
      </c>
      <c r="V368" s="149"/>
      <c r="W368" s="145">
        <f>D368+E368+F368</f>
        <v>223</v>
      </c>
      <c r="X368" s="149"/>
    </row>
    <row r="369" customHeight="1" spans="1:24">
      <c r="A369" s="153">
        <v>29</v>
      </c>
      <c r="B369" s="154" t="s">
        <v>653</v>
      </c>
      <c r="C369" s="144">
        <v>4</v>
      </c>
      <c r="D369" s="145">
        <v>74</v>
      </c>
      <c r="E369" s="145">
        <v>68</v>
      </c>
      <c r="F369" s="145">
        <v>81</v>
      </c>
      <c r="G369" s="145">
        <v>76</v>
      </c>
      <c r="H369" s="145">
        <v>87</v>
      </c>
      <c r="I369" s="145">
        <f>SUM(D369:H369)</f>
        <v>386</v>
      </c>
      <c r="J369" s="145">
        <v>22</v>
      </c>
      <c r="K369" s="147" t="s">
        <v>130</v>
      </c>
      <c r="L369" s="147" t="s">
        <v>114</v>
      </c>
      <c r="M369" s="147" t="s">
        <v>114</v>
      </c>
      <c r="N369" s="147" t="s">
        <v>114</v>
      </c>
      <c r="O369" s="147" t="s">
        <v>130</v>
      </c>
      <c r="P369" s="147" t="s">
        <v>124</v>
      </c>
      <c r="Q369" s="148" t="s">
        <v>230</v>
      </c>
      <c r="R369" s="148" t="s">
        <v>119</v>
      </c>
      <c r="S369" s="148" t="s">
        <v>136</v>
      </c>
      <c r="T369" s="148" t="s">
        <v>120</v>
      </c>
      <c r="U369" s="145">
        <f>D369+E369</f>
        <v>142</v>
      </c>
      <c r="V369" s="149"/>
      <c r="W369" s="145">
        <f>D369+E369+F369</f>
        <v>223</v>
      </c>
      <c r="X369" s="149"/>
    </row>
    <row r="370" customHeight="1" spans="1:24">
      <c r="A370" s="153">
        <v>196</v>
      </c>
      <c r="B370" s="175" t="s">
        <v>654</v>
      </c>
      <c r="C370" s="144">
        <v>14</v>
      </c>
      <c r="D370" s="145">
        <v>85</v>
      </c>
      <c r="E370" s="145">
        <v>80</v>
      </c>
      <c r="F370" s="145">
        <v>80</v>
      </c>
      <c r="G370" s="145">
        <v>82</v>
      </c>
      <c r="H370" s="145">
        <v>87</v>
      </c>
      <c r="I370" s="145">
        <f>SUM(D370:H370)</f>
        <v>414</v>
      </c>
      <c r="J370" s="145">
        <v>70</v>
      </c>
      <c r="K370" s="147" t="s">
        <v>115</v>
      </c>
      <c r="L370" s="147" t="s">
        <v>130</v>
      </c>
      <c r="M370" s="147" t="s">
        <v>114</v>
      </c>
      <c r="N370" s="147" t="s">
        <v>115</v>
      </c>
      <c r="O370" s="147" t="s">
        <v>130</v>
      </c>
      <c r="P370" s="147" t="s">
        <v>114</v>
      </c>
      <c r="Q370" s="182" t="s">
        <v>655</v>
      </c>
      <c r="R370" s="148" t="s">
        <v>118</v>
      </c>
      <c r="S370" s="148" t="s">
        <v>133</v>
      </c>
      <c r="T370" s="148" t="s">
        <v>120</v>
      </c>
      <c r="U370" s="145">
        <f>D370+E370</f>
        <v>165</v>
      </c>
      <c r="V370" s="149"/>
      <c r="W370" s="145">
        <f>D370+E370+F370</f>
        <v>245</v>
      </c>
      <c r="X370" s="149"/>
    </row>
    <row r="371" customHeight="1" spans="1:24">
      <c r="A371" s="153">
        <v>10</v>
      </c>
      <c r="B371" s="156" t="s">
        <v>656</v>
      </c>
      <c r="C371" s="144">
        <v>35</v>
      </c>
      <c r="D371" s="145">
        <v>100</v>
      </c>
      <c r="E371" s="145">
        <v>82</v>
      </c>
      <c r="F371" s="145">
        <v>86</v>
      </c>
      <c r="G371" s="145">
        <v>100</v>
      </c>
      <c r="H371" s="145">
        <v>87</v>
      </c>
      <c r="I371" s="145">
        <f>SUM(D371:H371)</f>
        <v>455</v>
      </c>
      <c r="J371" s="145">
        <v>85</v>
      </c>
      <c r="K371" s="147" t="s">
        <v>124</v>
      </c>
      <c r="L371" s="160" t="s">
        <v>123</v>
      </c>
      <c r="M371" s="147" t="s">
        <v>130</v>
      </c>
      <c r="N371" s="147" t="s">
        <v>115</v>
      </c>
      <c r="O371" s="147" t="s">
        <v>130</v>
      </c>
      <c r="P371" s="147" t="s">
        <v>130</v>
      </c>
      <c r="Q371" s="171" t="s">
        <v>626</v>
      </c>
      <c r="R371" s="148" t="s">
        <v>119</v>
      </c>
      <c r="S371" s="148" t="s">
        <v>136</v>
      </c>
      <c r="T371" s="148" t="s">
        <v>148</v>
      </c>
      <c r="U371" s="145">
        <f>D371+E371</f>
        <v>182</v>
      </c>
      <c r="V371" s="172" t="s">
        <v>627</v>
      </c>
      <c r="W371" s="145">
        <f>D371+E371+F371</f>
        <v>268</v>
      </c>
      <c r="X371" s="149"/>
    </row>
    <row r="372" customHeight="1" spans="1:24">
      <c r="A372" s="153">
        <v>428</v>
      </c>
      <c r="B372" s="154" t="s">
        <v>657</v>
      </c>
      <c r="C372" s="144">
        <v>12</v>
      </c>
      <c r="D372" s="145">
        <v>84</v>
      </c>
      <c r="E372" s="145">
        <v>87</v>
      </c>
      <c r="F372" s="145">
        <v>56</v>
      </c>
      <c r="G372" s="145">
        <v>55</v>
      </c>
      <c r="H372" s="145">
        <v>86</v>
      </c>
      <c r="I372" s="145">
        <f>SUM(D372:H372)</f>
        <v>368</v>
      </c>
      <c r="J372" s="145">
        <v>0</v>
      </c>
      <c r="K372" s="147" t="s">
        <v>114</v>
      </c>
      <c r="L372" s="147" t="s">
        <v>114</v>
      </c>
      <c r="M372" s="147" t="s">
        <v>130</v>
      </c>
      <c r="N372" s="147" t="s">
        <v>115</v>
      </c>
      <c r="O372" s="147" t="s">
        <v>130</v>
      </c>
      <c r="P372" s="147" t="s">
        <v>124</v>
      </c>
      <c r="Q372" s="148" t="s">
        <v>198</v>
      </c>
      <c r="R372" s="148" t="s">
        <v>118</v>
      </c>
      <c r="S372" s="148" t="s">
        <v>133</v>
      </c>
      <c r="T372" s="148" t="s">
        <v>126</v>
      </c>
      <c r="U372" s="145">
        <f>D372+E372</f>
        <v>171</v>
      </c>
      <c r="V372" s="149"/>
      <c r="W372" s="145">
        <f>D372+E372+F372</f>
        <v>227</v>
      </c>
      <c r="X372" s="149"/>
    </row>
    <row r="373" customHeight="1" spans="1:24">
      <c r="A373" s="153">
        <v>421</v>
      </c>
      <c r="B373" s="156" t="s">
        <v>658</v>
      </c>
      <c r="C373" s="144">
        <v>7</v>
      </c>
      <c r="D373" s="145">
        <v>72</v>
      </c>
      <c r="E373" s="145">
        <v>87</v>
      </c>
      <c r="F373" s="145">
        <v>69</v>
      </c>
      <c r="G373" s="145">
        <v>57</v>
      </c>
      <c r="H373" s="145">
        <v>86</v>
      </c>
      <c r="I373" s="145">
        <f>SUM(D373:H373)</f>
        <v>371</v>
      </c>
      <c r="J373" s="145">
        <v>75</v>
      </c>
      <c r="K373" s="147" t="s">
        <v>130</v>
      </c>
      <c r="L373" s="147" t="s">
        <v>114</v>
      </c>
      <c r="M373" s="147" t="s">
        <v>115</v>
      </c>
      <c r="N373" s="147" t="s">
        <v>124</v>
      </c>
      <c r="O373" s="147" t="s">
        <v>130</v>
      </c>
      <c r="P373" s="147" t="s">
        <v>130</v>
      </c>
      <c r="Q373" s="148" t="s">
        <v>266</v>
      </c>
      <c r="R373" s="148" t="s">
        <v>319</v>
      </c>
      <c r="S373" s="148" t="s">
        <v>119</v>
      </c>
      <c r="T373" s="148" t="s">
        <v>120</v>
      </c>
      <c r="U373" s="145">
        <f>D373+E373</f>
        <v>159</v>
      </c>
      <c r="V373" s="149"/>
      <c r="W373" s="145">
        <f>D373+E373+F373</f>
        <v>228</v>
      </c>
      <c r="X373" s="149"/>
    </row>
    <row r="374" customHeight="1" spans="1:24">
      <c r="A374" s="153">
        <v>2</v>
      </c>
      <c r="B374" s="154" t="s">
        <v>659</v>
      </c>
      <c r="C374" s="144">
        <v>4</v>
      </c>
      <c r="D374" s="145">
        <v>43</v>
      </c>
      <c r="E374" s="145">
        <v>46</v>
      </c>
      <c r="F374" s="145">
        <v>73</v>
      </c>
      <c r="G374" s="145">
        <v>87</v>
      </c>
      <c r="H374" s="145">
        <v>85</v>
      </c>
      <c r="I374" s="145">
        <f>SUM(D374:H374)</f>
        <v>334</v>
      </c>
      <c r="J374" s="145">
        <v>65</v>
      </c>
      <c r="K374" s="147" t="s">
        <v>124</v>
      </c>
      <c r="L374" s="147" t="s">
        <v>124</v>
      </c>
      <c r="M374" s="147" t="s">
        <v>130</v>
      </c>
      <c r="N374" s="147" t="s">
        <v>124</v>
      </c>
      <c r="O374" s="147" t="s">
        <v>130</v>
      </c>
      <c r="P374" s="147" t="s">
        <v>124</v>
      </c>
      <c r="Q374" s="148" t="s">
        <v>353</v>
      </c>
      <c r="R374" s="148" t="s">
        <v>118</v>
      </c>
      <c r="S374" s="148" t="s">
        <v>133</v>
      </c>
      <c r="T374" s="148" t="s">
        <v>148</v>
      </c>
      <c r="U374" s="145">
        <f>D374+E374</f>
        <v>89</v>
      </c>
      <c r="V374" s="149"/>
      <c r="W374" s="145">
        <f>D374+E374+F374</f>
        <v>162</v>
      </c>
      <c r="X374" s="149"/>
    </row>
    <row r="375" customHeight="1" spans="1:24">
      <c r="A375" s="153">
        <v>93</v>
      </c>
      <c r="B375" s="154" t="s">
        <v>660</v>
      </c>
      <c r="C375" s="144">
        <v>2</v>
      </c>
      <c r="D375" s="145">
        <v>58</v>
      </c>
      <c r="E375" s="145">
        <v>64</v>
      </c>
      <c r="F375" s="145">
        <v>71</v>
      </c>
      <c r="G375" s="145">
        <v>73</v>
      </c>
      <c r="H375" s="145">
        <v>85</v>
      </c>
      <c r="I375" s="145">
        <f>SUM(D375:H375)</f>
        <v>351</v>
      </c>
      <c r="J375" s="145">
        <v>102</v>
      </c>
      <c r="K375" s="147" t="s">
        <v>124</v>
      </c>
      <c r="L375" s="147" t="s">
        <v>124</v>
      </c>
      <c r="M375" s="147" t="s">
        <v>124</v>
      </c>
      <c r="N375" s="147" t="s">
        <v>124</v>
      </c>
      <c r="O375" s="147" t="s">
        <v>130</v>
      </c>
      <c r="P375" s="147" t="s">
        <v>130</v>
      </c>
      <c r="Q375" s="148" t="s">
        <v>321</v>
      </c>
      <c r="R375" s="148" t="s">
        <v>118</v>
      </c>
      <c r="S375" s="148" t="s">
        <v>133</v>
      </c>
      <c r="T375" s="148" t="s">
        <v>120</v>
      </c>
      <c r="U375" s="145">
        <f>D375+E375</f>
        <v>122</v>
      </c>
      <c r="V375" s="149"/>
      <c r="W375" s="145">
        <f>D375+E375+F375</f>
        <v>193</v>
      </c>
      <c r="X375" s="149"/>
    </row>
    <row r="376" customHeight="1" spans="1:24">
      <c r="A376" s="153">
        <v>374</v>
      </c>
      <c r="B376" s="156" t="s">
        <v>661</v>
      </c>
      <c r="C376" s="144">
        <v>7</v>
      </c>
      <c r="D376" s="145">
        <v>74</v>
      </c>
      <c r="E376" s="145">
        <v>89</v>
      </c>
      <c r="F376" s="145">
        <v>53</v>
      </c>
      <c r="G376" s="145">
        <v>57</v>
      </c>
      <c r="H376" s="145">
        <v>85</v>
      </c>
      <c r="I376" s="145">
        <f>SUM(D376:H376)</f>
        <v>358</v>
      </c>
      <c r="J376" s="145">
        <v>15</v>
      </c>
      <c r="K376" s="147" t="s">
        <v>130</v>
      </c>
      <c r="L376" s="147" t="s">
        <v>130</v>
      </c>
      <c r="M376" s="147" t="s">
        <v>114</v>
      </c>
      <c r="N376" s="147" t="s">
        <v>115</v>
      </c>
      <c r="O376" s="147" t="s">
        <v>130</v>
      </c>
      <c r="P376" s="147" t="s">
        <v>130</v>
      </c>
      <c r="Q376" s="148" t="s">
        <v>416</v>
      </c>
      <c r="R376" s="148" t="s">
        <v>132</v>
      </c>
      <c r="S376" s="148" t="s">
        <v>133</v>
      </c>
      <c r="T376" s="148" t="s">
        <v>120</v>
      </c>
      <c r="U376" s="145">
        <f>D376+E376</f>
        <v>163</v>
      </c>
      <c r="V376" s="149"/>
      <c r="W376" s="145">
        <f>D376+E376+F376</f>
        <v>216</v>
      </c>
      <c r="X376" s="149"/>
    </row>
    <row r="377" customHeight="1" spans="1:24">
      <c r="A377" s="153">
        <v>53</v>
      </c>
      <c r="B377" s="154" t="s">
        <v>662</v>
      </c>
      <c r="C377" s="144">
        <v>1</v>
      </c>
      <c r="D377" s="145">
        <v>59</v>
      </c>
      <c r="E377" s="145">
        <v>69</v>
      </c>
      <c r="F377" s="145">
        <v>74</v>
      </c>
      <c r="G377" s="145">
        <v>76</v>
      </c>
      <c r="H377" s="145">
        <v>85</v>
      </c>
      <c r="I377" s="145">
        <f>SUM(D377:H377)</f>
        <v>363</v>
      </c>
      <c r="J377" s="145">
        <v>19</v>
      </c>
      <c r="K377" s="147" t="s">
        <v>124</v>
      </c>
      <c r="L377" s="147" t="s">
        <v>114</v>
      </c>
      <c r="M377" s="147" t="s">
        <v>130</v>
      </c>
      <c r="N377" s="147" t="s">
        <v>130</v>
      </c>
      <c r="O377" s="147" t="s">
        <v>130</v>
      </c>
      <c r="P377" s="147" t="s">
        <v>130</v>
      </c>
      <c r="Q377" s="148" t="s">
        <v>342</v>
      </c>
      <c r="R377" s="148" t="s">
        <v>132</v>
      </c>
      <c r="S377" s="148" t="s">
        <v>119</v>
      </c>
      <c r="T377" s="148" t="s">
        <v>148</v>
      </c>
      <c r="U377" s="145">
        <f>D377+E377</f>
        <v>128</v>
      </c>
      <c r="V377" s="149"/>
      <c r="W377" s="145">
        <f>D377+E377+F377</f>
        <v>202</v>
      </c>
      <c r="X377" s="149"/>
    </row>
    <row r="378" customHeight="1" spans="1:24">
      <c r="A378" s="153">
        <v>654</v>
      </c>
      <c r="B378" s="154" t="s">
        <v>663</v>
      </c>
      <c r="C378" s="144">
        <v>2</v>
      </c>
      <c r="D378" s="145">
        <v>65</v>
      </c>
      <c r="E378" s="145">
        <v>59</v>
      </c>
      <c r="F378" s="145">
        <v>75</v>
      </c>
      <c r="G378" s="145">
        <v>81</v>
      </c>
      <c r="H378" s="145">
        <v>85</v>
      </c>
      <c r="I378" s="145">
        <f>SUM(D378:H378)</f>
        <v>365</v>
      </c>
      <c r="J378" s="145">
        <v>59</v>
      </c>
      <c r="K378" s="147" t="s">
        <v>124</v>
      </c>
      <c r="L378" s="147" t="s">
        <v>124</v>
      </c>
      <c r="M378" s="147" t="s">
        <v>114</v>
      </c>
      <c r="N378" s="147" t="s">
        <v>124</v>
      </c>
      <c r="O378" s="147" t="s">
        <v>130</v>
      </c>
      <c r="P378" s="147" t="s">
        <v>114</v>
      </c>
      <c r="Q378" s="148" t="s">
        <v>344</v>
      </c>
      <c r="R378" s="148" t="s">
        <v>118</v>
      </c>
      <c r="S378" s="148" t="s">
        <v>136</v>
      </c>
      <c r="T378" s="148" t="s">
        <v>120</v>
      </c>
      <c r="U378" s="145">
        <f>D378+E378</f>
        <v>124</v>
      </c>
      <c r="V378" s="149"/>
      <c r="W378" s="145">
        <f>D378+E378+F378</f>
        <v>199</v>
      </c>
      <c r="X378" s="149"/>
    </row>
    <row r="379" customHeight="1" spans="1:24">
      <c r="A379" s="153">
        <v>641</v>
      </c>
      <c r="B379" s="154" t="s">
        <v>664</v>
      </c>
      <c r="C379" s="144">
        <v>5</v>
      </c>
      <c r="D379" s="145">
        <v>31</v>
      </c>
      <c r="E379" s="145">
        <v>38</v>
      </c>
      <c r="F379" s="145">
        <v>78</v>
      </c>
      <c r="G379" s="145">
        <v>80</v>
      </c>
      <c r="H379" s="145">
        <v>84</v>
      </c>
      <c r="I379" s="145">
        <f>SUM(D379:H379)</f>
        <v>311</v>
      </c>
      <c r="J379" s="145">
        <v>62</v>
      </c>
      <c r="K379" s="147" t="s">
        <v>124</v>
      </c>
      <c r="L379" s="147" t="s">
        <v>124</v>
      </c>
      <c r="M379" s="147" t="s">
        <v>124</v>
      </c>
      <c r="N379" s="147" t="s">
        <v>124</v>
      </c>
      <c r="O379" s="147" t="s">
        <v>130</v>
      </c>
      <c r="P379" s="147" t="s">
        <v>124</v>
      </c>
      <c r="Q379" s="148" t="s">
        <v>624</v>
      </c>
      <c r="R379" s="148" t="s">
        <v>132</v>
      </c>
      <c r="S379" s="148" t="s">
        <v>119</v>
      </c>
      <c r="T379" s="148" t="s">
        <v>126</v>
      </c>
      <c r="U379" s="145">
        <f>D379+E379</f>
        <v>69</v>
      </c>
      <c r="V379" s="149"/>
      <c r="W379" s="145">
        <f>D379+E379+F379</f>
        <v>147</v>
      </c>
      <c r="X379" s="149"/>
    </row>
    <row r="380" customHeight="1" spans="1:24">
      <c r="A380" s="153">
        <v>289</v>
      </c>
      <c r="B380" s="154" t="s">
        <v>665</v>
      </c>
      <c r="C380" s="144">
        <v>20</v>
      </c>
      <c r="D380" s="145">
        <v>62</v>
      </c>
      <c r="E380" s="145">
        <v>18</v>
      </c>
      <c r="F380" s="145">
        <v>110</v>
      </c>
      <c r="G380" s="145">
        <v>87</v>
      </c>
      <c r="H380" s="145">
        <v>84</v>
      </c>
      <c r="I380" s="145">
        <f>SUM(D380:H380)</f>
        <v>361</v>
      </c>
      <c r="J380" s="145">
        <v>75</v>
      </c>
      <c r="K380" s="147" t="s">
        <v>124</v>
      </c>
      <c r="L380" s="147" t="s">
        <v>130</v>
      </c>
      <c r="M380" s="147" t="s">
        <v>130</v>
      </c>
      <c r="N380" s="147" t="s">
        <v>124</v>
      </c>
      <c r="O380" s="147" t="s">
        <v>130</v>
      </c>
      <c r="P380" s="147" t="s">
        <v>124</v>
      </c>
      <c r="Q380" s="158" t="s">
        <v>542</v>
      </c>
      <c r="R380" s="148" t="s">
        <v>132</v>
      </c>
      <c r="S380" s="148" t="s">
        <v>133</v>
      </c>
      <c r="T380" s="148" t="s">
        <v>126</v>
      </c>
      <c r="U380" s="145">
        <f>D380+E380</f>
        <v>80</v>
      </c>
      <c r="V380" s="148" t="s">
        <v>543</v>
      </c>
      <c r="W380" s="145">
        <f>D380+E380+F380</f>
        <v>190</v>
      </c>
      <c r="X380" s="149"/>
    </row>
    <row r="381" customHeight="1" spans="1:24">
      <c r="A381" s="153">
        <v>296</v>
      </c>
      <c r="B381" s="154" t="s">
        <v>666</v>
      </c>
      <c r="C381" s="144">
        <v>1</v>
      </c>
      <c r="D381" s="145">
        <v>70</v>
      </c>
      <c r="E381" s="145">
        <v>68</v>
      </c>
      <c r="F381" s="145">
        <v>76</v>
      </c>
      <c r="G381" s="145">
        <v>73</v>
      </c>
      <c r="H381" s="145">
        <v>84</v>
      </c>
      <c r="I381" s="145">
        <f>SUM(D381:H381)</f>
        <v>371</v>
      </c>
      <c r="J381" s="145">
        <v>136</v>
      </c>
      <c r="K381" s="147" t="s">
        <v>130</v>
      </c>
      <c r="L381" s="147" t="s">
        <v>124</v>
      </c>
      <c r="M381" s="147" t="s">
        <v>130</v>
      </c>
      <c r="N381" s="147" t="s">
        <v>114</v>
      </c>
      <c r="O381" s="147" t="s">
        <v>130</v>
      </c>
      <c r="P381" s="147" t="s">
        <v>124</v>
      </c>
      <c r="Q381" s="148" t="s">
        <v>365</v>
      </c>
      <c r="R381" s="148" t="s">
        <v>132</v>
      </c>
      <c r="S381" s="148" t="s">
        <v>136</v>
      </c>
      <c r="T381" s="148" t="s">
        <v>120</v>
      </c>
      <c r="U381" s="145">
        <f>D381+E381</f>
        <v>138</v>
      </c>
      <c r="V381" s="149"/>
      <c r="W381" s="145">
        <f>D381+E381+F381</f>
        <v>214</v>
      </c>
      <c r="X381" s="252"/>
    </row>
    <row r="382" customHeight="1" spans="1:24">
      <c r="A382" s="153">
        <v>769</v>
      </c>
      <c r="B382" s="154" t="s">
        <v>667</v>
      </c>
      <c r="C382" s="144">
        <v>8</v>
      </c>
      <c r="D382" s="145">
        <v>75</v>
      </c>
      <c r="E382" s="145">
        <v>82</v>
      </c>
      <c r="F382" s="145">
        <v>64</v>
      </c>
      <c r="G382" s="145">
        <v>72</v>
      </c>
      <c r="H382" s="145">
        <v>84</v>
      </c>
      <c r="I382" s="145">
        <f>SUM(D382:H382)</f>
        <v>377</v>
      </c>
      <c r="J382" s="145">
        <v>93</v>
      </c>
      <c r="K382" s="147" t="s">
        <v>114</v>
      </c>
      <c r="L382" s="147" t="s">
        <v>114</v>
      </c>
      <c r="M382" s="147" t="s">
        <v>115</v>
      </c>
      <c r="N382" s="147" t="s">
        <v>114</v>
      </c>
      <c r="O382" s="147" t="s">
        <v>130</v>
      </c>
      <c r="P382" s="147" t="s">
        <v>130</v>
      </c>
      <c r="Q382" s="148" t="s">
        <v>194</v>
      </c>
      <c r="R382" s="148" t="s">
        <v>118</v>
      </c>
      <c r="S382" s="148" t="s">
        <v>119</v>
      </c>
      <c r="T382" s="148" t="s">
        <v>126</v>
      </c>
      <c r="U382" s="145">
        <f>D382+E382</f>
        <v>157</v>
      </c>
      <c r="V382" s="149"/>
      <c r="W382" s="145">
        <f>D382+E382+F382</f>
        <v>221</v>
      </c>
      <c r="X382" s="149"/>
    </row>
    <row r="383" customHeight="1" spans="1:24">
      <c r="A383" s="153">
        <v>323</v>
      </c>
      <c r="B383" s="154" t="s">
        <v>668</v>
      </c>
      <c r="C383" s="144">
        <v>7</v>
      </c>
      <c r="D383" s="145">
        <v>84</v>
      </c>
      <c r="E383" s="145">
        <v>68</v>
      </c>
      <c r="F383" s="145">
        <v>80</v>
      </c>
      <c r="G383" s="145">
        <v>75</v>
      </c>
      <c r="H383" s="145">
        <v>84</v>
      </c>
      <c r="I383" s="145">
        <f>SUM(D383:H383)</f>
        <v>391</v>
      </c>
      <c r="J383" s="145">
        <v>65</v>
      </c>
      <c r="K383" s="147" t="s">
        <v>114</v>
      </c>
      <c r="L383" s="147" t="s">
        <v>114</v>
      </c>
      <c r="M383" s="147" t="s">
        <v>114</v>
      </c>
      <c r="N383" s="147" t="s">
        <v>130</v>
      </c>
      <c r="O383" s="147" t="s">
        <v>130</v>
      </c>
      <c r="P383" s="147" t="s">
        <v>115</v>
      </c>
      <c r="Q383" s="148" t="s">
        <v>198</v>
      </c>
      <c r="R383" s="148" t="s">
        <v>118</v>
      </c>
      <c r="S383" s="148" t="s">
        <v>119</v>
      </c>
      <c r="T383" s="148" t="s">
        <v>120</v>
      </c>
      <c r="U383" s="145">
        <f>D383+E383</f>
        <v>152</v>
      </c>
      <c r="V383" s="149"/>
      <c r="W383" s="145">
        <f>D383+E383+F383</f>
        <v>232</v>
      </c>
      <c r="X383" s="149"/>
    </row>
    <row r="384" customHeight="1" spans="1:24">
      <c r="A384" s="153">
        <v>33</v>
      </c>
      <c r="B384" s="154" t="s">
        <v>669</v>
      </c>
      <c r="C384" s="144">
        <v>10</v>
      </c>
      <c r="D384" s="145">
        <v>71</v>
      </c>
      <c r="E384" s="145">
        <v>61</v>
      </c>
      <c r="F384" s="145">
        <v>92</v>
      </c>
      <c r="G384" s="145">
        <v>86</v>
      </c>
      <c r="H384" s="145">
        <v>84</v>
      </c>
      <c r="I384" s="145">
        <f>SUM(D384:H384)</f>
        <v>394</v>
      </c>
      <c r="J384" s="145">
        <v>21</v>
      </c>
      <c r="K384" s="147" t="s">
        <v>114</v>
      </c>
      <c r="L384" s="147" t="s">
        <v>114</v>
      </c>
      <c r="M384" s="147" t="s">
        <v>124</v>
      </c>
      <c r="N384" s="147" t="s">
        <v>124</v>
      </c>
      <c r="O384" s="147" t="s">
        <v>130</v>
      </c>
      <c r="P384" s="147" t="s">
        <v>130</v>
      </c>
      <c r="Q384" s="158" t="s">
        <v>296</v>
      </c>
      <c r="R384" s="148" t="s">
        <v>118</v>
      </c>
      <c r="S384" s="148" t="s">
        <v>119</v>
      </c>
      <c r="T384" s="148" t="s">
        <v>120</v>
      </c>
      <c r="U384" s="145">
        <f>D384+E384</f>
        <v>132</v>
      </c>
      <c r="V384" s="148" t="s">
        <v>297</v>
      </c>
      <c r="W384" s="145">
        <f>D384+E384+F384</f>
        <v>224</v>
      </c>
      <c r="X384" s="149"/>
    </row>
    <row r="385" customHeight="1" spans="1:24">
      <c r="A385" s="153">
        <v>774</v>
      </c>
      <c r="B385" s="154" t="s">
        <v>670</v>
      </c>
      <c r="C385" s="144">
        <v>2</v>
      </c>
      <c r="D385" s="145">
        <v>75</v>
      </c>
      <c r="E385" s="145">
        <v>84</v>
      </c>
      <c r="F385" s="145">
        <v>77</v>
      </c>
      <c r="G385" s="145">
        <v>78</v>
      </c>
      <c r="H385" s="145">
        <v>84</v>
      </c>
      <c r="I385" s="145">
        <f>SUM(D385:H385)</f>
        <v>398</v>
      </c>
      <c r="J385" s="145">
        <v>140</v>
      </c>
      <c r="K385" s="147" t="s">
        <v>130</v>
      </c>
      <c r="L385" s="147" t="s">
        <v>124</v>
      </c>
      <c r="M385" s="147" t="s">
        <v>114</v>
      </c>
      <c r="N385" s="147" t="s">
        <v>114</v>
      </c>
      <c r="O385" s="147" t="s">
        <v>130</v>
      </c>
      <c r="P385" s="147" t="s">
        <v>124</v>
      </c>
      <c r="Q385" s="149"/>
      <c r="R385" s="148" t="s">
        <v>132</v>
      </c>
      <c r="S385" s="148" t="s">
        <v>119</v>
      </c>
      <c r="T385" s="148" t="s">
        <v>126</v>
      </c>
      <c r="U385" s="145">
        <f>D385+E385</f>
        <v>159</v>
      </c>
      <c r="V385" s="149"/>
      <c r="W385" s="145">
        <f>D385+E385+F385</f>
        <v>236</v>
      </c>
      <c r="X385" s="149"/>
    </row>
    <row r="386" customHeight="1" spans="1:24">
      <c r="A386" s="153">
        <v>593</v>
      </c>
      <c r="B386" s="154" t="s">
        <v>671</v>
      </c>
      <c r="C386" s="144">
        <v>16</v>
      </c>
      <c r="D386" s="145">
        <v>85</v>
      </c>
      <c r="E386" s="145">
        <v>81</v>
      </c>
      <c r="F386" s="145">
        <v>78</v>
      </c>
      <c r="G386" s="145">
        <v>76</v>
      </c>
      <c r="H386" s="145">
        <v>84</v>
      </c>
      <c r="I386" s="145">
        <f>SUM(D386:H386)</f>
        <v>404</v>
      </c>
      <c r="J386" s="145">
        <v>110</v>
      </c>
      <c r="K386" s="147" t="s">
        <v>114</v>
      </c>
      <c r="L386" s="147" t="s">
        <v>115</v>
      </c>
      <c r="M386" s="147" t="s">
        <v>124</v>
      </c>
      <c r="N386" s="147" t="s">
        <v>124</v>
      </c>
      <c r="O386" s="147" t="s">
        <v>130</v>
      </c>
      <c r="P386" s="147" t="s">
        <v>115</v>
      </c>
      <c r="Q386" s="158" t="s">
        <v>505</v>
      </c>
      <c r="R386" s="148" t="s">
        <v>119</v>
      </c>
      <c r="S386" s="148" t="s">
        <v>145</v>
      </c>
      <c r="T386" s="148" t="s">
        <v>126</v>
      </c>
      <c r="U386" s="145">
        <f>D386+E386</f>
        <v>166</v>
      </c>
      <c r="V386" s="148" t="s">
        <v>506</v>
      </c>
      <c r="W386" s="145">
        <f>D386+E386+F386</f>
        <v>244</v>
      </c>
      <c r="X386" s="149"/>
    </row>
    <row r="387" customHeight="1" spans="1:24">
      <c r="A387" s="153">
        <v>135</v>
      </c>
      <c r="B387" s="154" t="s">
        <v>672</v>
      </c>
      <c r="C387" s="144">
        <v>4</v>
      </c>
      <c r="D387" s="145">
        <v>71</v>
      </c>
      <c r="E387" s="145">
        <v>82</v>
      </c>
      <c r="F387" s="145">
        <v>60</v>
      </c>
      <c r="G387" s="145">
        <v>59</v>
      </c>
      <c r="H387" s="145">
        <v>83</v>
      </c>
      <c r="I387" s="145">
        <f>SUM(D387:H387)</f>
        <v>355</v>
      </c>
      <c r="J387" s="145">
        <v>94</v>
      </c>
      <c r="K387" s="147" t="s">
        <v>130</v>
      </c>
      <c r="L387" s="147" t="s">
        <v>130</v>
      </c>
      <c r="M387" s="147" t="s">
        <v>130</v>
      </c>
      <c r="N387" s="147" t="s">
        <v>114</v>
      </c>
      <c r="O387" s="147" t="s">
        <v>130</v>
      </c>
      <c r="P387" s="147" t="s">
        <v>124</v>
      </c>
      <c r="Q387" s="148" t="s">
        <v>321</v>
      </c>
      <c r="R387" s="148" t="s">
        <v>118</v>
      </c>
      <c r="S387" s="148" t="s">
        <v>133</v>
      </c>
      <c r="T387" s="148" t="s">
        <v>126</v>
      </c>
      <c r="U387" s="145">
        <f>D387+E387</f>
        <v>153</v>
      </c>
      <c r="V387" s="149"/>
      <c r="W387" s="145">
        <f>D387+E387+F387</f>
        <v>213</v>
      </c>
      <c r="X387" s="149"/>
    </row>
    <row r="388" customHeight="1" spans="1:24">
      <c r="A388" s="153">
        <v>169</v>
      </c>
      <c r="B388" s="154" t="s">
        <v>673</v>
      </c>
      <c r="C388" s="144">
        <v>4</v>
      </c>
      <c r="D388" s="145">
        <v>65</v>
      </c>
      <c r="E388" s="145">
        <v>74</v>
      </c>
      <c r="F388" s="145">
        <v>72</v>
      </c>
      <c r="G388" s="145">
        <v>67</v>
      </c>
      <c r="H388" s="145">
        <v>83</v>
      </c>
      <c r="I388" s="145">
        <f>SUM(D388:H388)</f>
        <v>361</v>
      </c>
      <c r="J388" s="145">
        <v>73</v>
      </c>
      <c r="K388" s="147" t="s">
        <v>130</v>
      </c>
      <c r="L388" s="147" t="s">
        <v>130</v>
      </c>
      <c r="M388" s="147" t="s">
        <v>124</v>
      </c>
      <c r="N388" s="147" t="s">
        <v>130</v>
      </c>
      <c r="O388" s="147" t="s">
        <v>130</v>
      </c>
      <c r="P388" s="147" t="s">
        <v>124</v>
      </c>
      <c r="Q388" s="148" t="s">
        <v>674</v>
      </c>
      <c r="R388" s="148" t="s">
        <v>132</v>
      </c>
      <c r="S388" s="148" t="s">
        <v>119</v>
      </c>
      <c r="T388" s="148" t="s">
        <v>120</v>
      </c>
      <c r="U388" s="145">
        <f>D388+E388</f>
        <v>139</v>
      </c>
      <c r="V388" s="149"/>
      <c r="W388" s="145">
        <f>D388+E388+F388</f>
        <v>211</v>
      </c>
      <c r="X388" s="149"/>
    </row>
    <row r="389" customHeight="1" spans="1:24">
      <c r="A389" s="153">
        <v>453</v>
      </c>
      <c r="B389" s="154" t="s">
        <v>675</v>
      </c>
      <c r="C389" s="144">
        <v>15</v>
      </c>
      <c r="D389" s="145">
        <v>63</v>
      </c>
      <c r="E389" s="145">
        <v>54</v>
      </c>
      <c r="F389" s="145">
        <v>71</v>
      </c>
      <c r="G389" s="145">
        <v>96</v>
      </c>
      <c r="H389" s="145">
        <v>83</v>
      </c>
      <c r="I389" s="145">
        <f>SUM(D389:H389)</f>
        <v>367</v>
      </c>
      <c r="J389" s="145">
        <v>15</v>
      </c>
      <c r="K389" s="147" t="s">
        <v>130</v>
      </c>
      <c r="L389" s="147" t="s">
        <v>130</v>
      </c>
      <c r="M389" s="147" t="s">
        <v>124</v>
      </c>
      <c r="N389" s="147" t="s">
        <v>124</v>
      </c>
      <c r="O389" s="147" t="s">
        <v>130</v>
      </c>
      <c r="P389" s="147" t="s">
        <v>130</v>
      </c>
      <c r="Q389" s="148" t="s">
        <v>362</v>
      </c>
      <c r="R389" s="148" t="s">
        <v>119</v>
      </c>
      <c r="S389" s="148" t="s">
        <v>145</v>
      </c>
      <c r="T389" s="148" t="s">
        <v>120</v>
      </c>
      <c r="U389" s="145">
        <f>D389+E389</f>
        <v>117</v>
      </c>
      <c r="V389" s="149"/>
      <c r="W389" s="145">
        <f>D389+E389+F389</f>
        <v>188</v>
      </c>
      <c r="X389" s="149"/>
    </row>
    <row r="390" customHeight="1" spans="1:24">
      <c r="A390" s="153">
        <v>536</v>
      </c>
      <c r="B390" s="154" t="s">
        <v>676</v>
      </c>
      <c r="C390" s="144">
        <v>10</v>
      </c>
      <c r="D390" s="145">
        <v>80</v>
      </c>
      <c r="E390" s="145">
        <v>69</v>
      </c>
      <c r="F390" s="145">
        <v>64</v>
      </c>
      <c r="G390" s="145">
        <v>75</v>
      </c>
      <c r="H390" s="145">
        <v>83</v>
      </c>
      <c r="I390" s="145">
        <f>SUM(D390:H390)</f>
        <v>371</v>
      </c>
      <c r="J390" s="145">
        <v>47</v>
      </c>
      <c r="K390" s="147" t="s">
        <v>114</v>
      </c>
      <c r="L390" s="147" t="s">
        <v>114</v>
      </c>
      <c r="M390" s="147" t="s">
        <v>114</v>
      </c>
      <c r="N390" s="147" t="s">
        <v>130</v>
      </c>
      <c r="O390" s="147" t="s">
        <v>130</v>
      </c>
      <c r="P390" s="147" t="s">
        <v>124</v>
      </c>
      <c r="Q390" s="148" t="s">
        <v>268</v>
      </c>
      <c r="R390" s="148" t="s">
        <v>132</v>
      </c>
      <c r="S390" s="148" t="s">
        <v>119</v>
      </c>
      <c r="T390" s="148" t="s">
        <v>120</v>
      </c>
      <c r="U390" s="145">
        <f>D390+E390</f>
        <v>149</v>
      </c>
      <c r="V390" s="149"/>
      <c r="W390" s="145">
        <f>D390+E390+F390</f>
        <v>213</v>
      </c>
      <c r="X390" s="149"/>
    </row>
    <row r="391" customHeight="1" spans="1:24">
      <c r="A391" s="153">
        <v>668</v>
      </c>
      <c r="B391" s="154" t="s">
        <v>677</v>
      </c>
      <c r="C391" s="144">
        <v>2</v>
      </c>
      <c r="D391" s="145">
        <v>71</v>
      </c>
      <c r="E391" s="145">
        <v>72</v>
      </c>
      <c r="F391" s="145">
        <v>80</v>
      </c>
      <c r="G391" s="145">
        <v>77</v>
      </c>
      <c r="H391" s="145">
        <v>83</v>
      </c>
      <c r="I391" s="145">
        <f>SUM(D391:H391)</f>
        <v>383</v>
      </c>
      <c r="J391" s="145">
        <v>63</v>
      </c>
      <c r="K391" s="147" t="s">
        <v>130</v>
      </c>
      <c r="L391" s="147" t="s">
        <v>114</v>
      </c>
      <c r="M391" s="147" t="s">
        <v>130</v>
      </c>
      <c r="N391" s="147" t="s">
        <v>130</v>
      </c>
      <c r="O391" s="147" t="s">
        <v>130</v>
      </c>
      <c r="P391" s="147" t="s">
        <v>130</v>
      </c>
      <c r="Q391" s="148" t="s">
        <v>284</v>
      </c>
      <c r="R391" s="148" t="s">
        <v>132</v>
      </c>
      <c r="S391" s="148" t="s">
        <v>119</v>
      </c>
      <c r="T391" s="148" t="s">
        <v>126</v>
      </c>
      <c r="U391" s="145">
        <f>D391+E391</f>
        <v>143</v>
      </c>
      <c r="V391" s="149"/>
      <c r="W391" s="145">
        <f>D391+E391+F391</f>
        <v>223</v>
      </c>
      <c r="X391" s="149"/>
    </row>
    <row r="392" customHeight="1" spans="1:24">
      <c r="A392" s="153">
        <v>305</v>
      </c>
      <c r="B392" s="154" t="s">
        <v>678</v>
      </c>
      <c r="C392" s="144">
        <v>15</v>
      </c>
      <c r="D392" s="145">
        <v>62</v>
      </c>
      <c r="E392" s="145">
        <v>81</v>
      </c>
      <c r="F392" s="145">
        <v>76</v>
      </c>
      <c r="G392" s="145">
        <v>85</v>
      </c>
      <c r="H392" s="145">
        <v>83</v>
      </c>
      <c r="I392" s="145">
        <f>SUM(D392:H392)</f>
        <v>387</v>
      </c>
      <c r="J392" s="145">
        <v>130</v>
      </c>
      <c r="K392" s="147" t="s">
        <v>130</v>
      </c>
      <c r="L392" s="147" t="s">
        <v>124</v>
      </c>
      <c r="M392" s="147" t="s">
        <v>130</v>
      </c>
      <c r="N392" s="147" t="s">
        <v>130</v>
      </c>
      <c r="O392" s="147" t="s">
        <v>130</v>
      </c>
      <c r="P392" s="147" t="s">
        <v>124</v>
      </c>
      <c r="Q392" s="148" t="s">
        <v>292</v>
      </c>
      <c r="R392" s="148" t="s">
        <v>132</v>
      </c>
      <c r="S392" s="148" t="s">
        <v>133</v>
      </c>
      <c r="T392" s="148" t="s">
        <v>148</v>
      </c>
      <c r="U392" s="145">
        <f>D392+E392</f>
        <v>143</v>
      </c>
      <c r="V392" s="149"/>
      <c r="W392" s="145">
        <f>D392+E392+F392</f>
        <v>219</v>
      </c>
      <c r="X392" s="149"/>
    </row>
    <row r="393" customHeight="1" spans="1:24">
      <c r="A393" s="153">
        <v>27</v>
      </c>
      <c r="B393" s="143" t="s">
        <v>679</v>
      </c>
      <c r="C393" s="144">
        <v>1</v>
      </c>
      <c r="D393" s="145">
        <v>58</v>
      </c>
      <c r="E393" s="145">
        <v>58</v>
      </c>
      <c r="F393" s="145">
        <v>70</v>
      </c>
      <c r="G393" s="145">
        <v>79</v>
      </c>
      <c r="H393" s="145">
        <v>82</v>
      </c>
      <c r="I393" s="145">
        <f>SUM(D393:H393)</f>
        <v>347</v>
      </c>
      <c r="J393" s="145">
        <v>22</v>
      </c>
      <c r="K393" s="147" t="s">
        <v>124</v>
      </c>
      <c r="L393" s="147" t="s">
        <v>124</v>
      </c>
      <c r="M393" s="147" t="s">
        <v>130</v>
      </c>
      <c r="N393" s="147" t="s">
        <v>124</v>
      </c>
      <c r="O393" s="147" t="s">
        <v>130</v>
      </c>
      <c r="P393" s="147" t="s">
        <v>124</v>
      </c>
      <c r="Q393" s="149"/>
      <c r="R393" s="148" t="s">
        <v>119</v>
      </c>
      <c r="S393" s="148" t="s">
        <v>136</v>
      </c>
      <c r="T393" s="148" t="s">
        <v>126</v>
      </c>
      <c r="U393" s="145">
        <f>D393+E393</f>
        <v>116</v>
      </c>
      <c r="V393" s="149"/>
      <c r="W393" s="145">
        <f>D393+E393+F393</f>
        <v>186</v>
      </c>
      <c r="X393" s="149"/>
    </row>
    <row r="394" customHeight="1" spans="1:24">
      <c r="A394" s="153">
        <v>154</v>
      </c>
      <c r="B394" s="154" t="s">
        <v>680</v>
      </c>
      <c r="C394" s="144">
        <v>2</v>
      </c>
      <c r="D394" s="145">
        <v>60</v>
      </c>
      <c r="E394" s="145">
        <v>57</v>
      </c>
      <c r="F394" s="145">
        <v>75</v>
      </c>
      <c r="G394" s="145">
        <v>75</v>
      </c>
      <c r="H394" s="145">
        <v>82</v>
      </c>
      <c r="I394" s="145">
        <f>SUM(D394:H394)</f>
        <v>349</v>
      </c>
      <c r="J394" s="145">
        <v>79</v>
      </c>
      <c r="K394" s="147" t="s">
        <v>130</v>
      </c>
      <c r="L394" s="147" t="s">
        <v>124</v>
      </c>
      <c r="M394" s="147" t="s">
        <v>124</v>
      </c>
      <c r="N394" s="147" t="s">
        <v>124</v>
      </c>
      <c r="O394" s="147" t="s">
        <v>130</v>
      </c>
      <c r="P394" s="147" t="s">
        <v>124</v>
      </c>
      <c r="Q394" s="158" t="s">
        <v>522</v>
      </c>
      <c r="R394" s="148" t="s">
        <v>119</v>
      </c>
      <c r="S394" s="148" t="s">
        <v>119</v>
      </c>
      <c r="T394" s="148" t="s">
        <v>120</v>
      </c>
      <c r="U394" s="145">
        <f>D394+E394</f>
        <v>117</v>
      </c>
      <c r="V394" s="148" t="s">
        <v>523</v>
      </c>
      <c r="W394" s="145">
        <f>D394+E394+F394</f>
        <v>192</v>
      </c>
      <c r="X394" s="149"/>
    </row>
    <row r="395" customHeight="1" spans="1:24">
      <c r="A395" s="153">
        <v>314</v>
      </c>
      <c r="B395" s="154" t="s">
        <v>681</v>
      </c>
      <c r="C395" s="144">
        <v>13</v>
      </c>
      <c r="D395" s="145">
        <v>71</v>
      </c>
      <c r="E395" s="145">
        <v>78</v>
      </c>
      <c r="F395" s="145">
        <v>65</v>
      </c>
      <c r="G395" s="145">
        <v>57</v>
      </c>
      <c r="H395" s="145">
        <v>82</v>
      </c>
      <c r="I395" s="145">
        <f>SUM(D395:H395)</f>
        <v>353</v>
      </c>
      <c r="J395" s="145">
        <v>85</v>
      </c>
      <c r="K395" s="147" t="s">
        <v>114</v>
      </c>
      <c r="L395" s="147" t="s">
        <v>114</v>
      </c>
      <c r="M395" s="147" t="s">
        <v>130</v>
      </c>
      <c r="N395" s="147" t="s">
        <v>124</v>
      </c>
      <c r="O395" s="147" t="s">
        <v>130</v>
      </c>
      <c r="P395" s="147" t="s">
        <v>124</v>
      </c>
      <c r="Q395" s="148" t="s">
        <v>483</v>
      </c>
      <c r="R395" s="148" t="s">
        <v>119</v>
      </c>
      <c r="S395" s="148" t="s">
        <v>136</v>
      </c>
      <c r="T395" s="148" t="s">
        <v>126</v>
      </c>
      <c r="U395" s="145">
        <f>D395+E395</f>
        <v>149</v>
      </c>
      <c r="V395" s="149"/>
      <c r="W395" s="145">
        <f>D395+E395+F395</f>
        <v>214</v>
      </c>
      <c r="X395" s="149"/>
    </row>
    <row r="396" customHeight="1" spans="1:24">
      <c r="A396" s="153">
        <v>505</v>
      </c>
      <c r="B396" s="154" t="s">
        <v>682</v>
      </c>
      <c r="C396" s="144">
        <v>7</v>
      </c>
      <c r="D396" s="145">
        <v>76</v>
      </c>
      <c r="E396" s="145">
        <v>79</v>
      </c>
      <c r="F396" s="145">
        <v>63</v>
      </c>
      <c r="G396" s="145">
        <v>66</v>
      </c>
      <c r="H396" s="145">
        <v>82</v>
      </c>
      <c r="I396" s="145">
        <f>SUM(D396:H396)</f>
        <v>366</v>
      </c>
      <c r="J396" s="145">
        <v>88</v>
      </c>
      <c r="K396" s="147" t="s">
        <v>115</v>
      </c>
      <c r="L396" s="147" t="s">
        <v>114</v>
      </c>
      <c r="M396" s="147" t="s">
        <v>114</v>
      </c>
      <c r="N396" s="147" t="s">
        <v>130</v>
      </c>
      <c r="O396" s="147" t="s">
        <v>130</v>
      </c>
      <c r="P396" s="147" t="s">
        <v>130</v>
      </c>
      <c r="Q396" s="148" t="s">
        <v>198</v>
      </c>
      <c r="R396" s="148" t="s">
        <v>118</v>
      </c>
      <c r="S396" s="148" t="s">
        <v>119</v>
      </c>
      <c r="T396" s="148" t="s">
        <v>126</v>
      </c>
      <c r="U396" s="145">
        <f>D396+E396</f>
        <v>155</v>
      </c>
      <c r="V396" s="149"/>
      <c r="W396" s="145">
        <f>D396+E396+F396</f>
        <v>218</v>
      </c>
      <c r="X396" s="149"/>
    </row>
    <row r="397" customHeight="1" spans="1:24">
      <c r="A397" s="153">
        <v>626</v>
      </c>
      <c r="B397" s="154" t="s">
        <v>683</v>
      </c>
      <c r="C397" s="144">
        <v>8</v>
      </c>
      <c r="D397" s="145">
        <v>84</v>
      </c>
      <c r="E397" s="145">
        <v>77</v>
      </c>
      <c r="F397" s="145">
        <v>65</v>
      </c>
      <c r="G397" s="145">
        <v>66</v>
      </c>
      <c r="H397" s="145">
        <v>82</v>
      </c>
      <c r="I397" s="145">
        <f>SUM(D397:H397)</f>
        <v>374</v>
      </c>
      <c r="J397" s="145">
        <v>62</v>
      </c>
      <c r="K397" s="147" t="s">
        <v>114</v>
      </c>
      <c r="L397" s="147" t="s">
        <v>114</v>
      </c>
      <c r="M397" s="147" t="s">
        <v>114</v>
      </c>
      <c r="N397" s="147" t="s">
        <v>114</v>
      </c>
      <c r="O397" s="147" t="s">
        <v>130</v>
      </c>
      <c r="P397" s="147" t="s">
        <v>115</v>
      </c>
      <c r="Q397" s="148" t="s">
        <v>181</v>
      </c>
      <c r="R397" s="148" t="s">
        <v>132</v>
      </c>
      <c r="S397" s="148" t="s">
        <v>133</v>
      </c>
      <c r="T397" s="148" t="s">
        <v>148</v>
      </c>
      <c r="U397" s="145">
        <f>D397+E397</f>
        <v>161</v>
      </c>
      <c r="V397" s="149"/>
      <c r="W397" s="145">
        <f>D397+E397+F397</f>
        <v>226</v>
      </c>
      <c r="X397" s="149"/>
    </row>
    <row r="398" customHeight="1" spans="1:24">
      <c r="A398" s="153">
        <v>270</v>
      </c>
      <c r="B398" s="154" t="s">
        <v>684</v>
      </c>
      <c r="C398" s="144">
        <v>30</v>
      </c>
      <c r="D398" s="145">
        <v>95</v>
      </c>
      <c r="E398" s="145">
        <v>89</v>
      </c>
      <c r="F398" s="145">
        <v>91</v>
      </c>
      <c r="G398" s="145">
        <v>69</v>
      </c>
      <c r="H398" s="145">
        <v>82</v>
      </c>
      <c r="I398" s="145">
        <f>SUM(D398:H398)</f>
        <v>426</v>
      </c>
      <c r="J398" s="145">
        <v>5</v>
      </c>
      <c r="K398" s="147" t="s">
        <v>115</v>
      </c>
      <c r="L398" s="147" t="s">
        <v>114</v>
      </c>
      <c r="M398" s="147" t="s">
        <v>115</v>
      </c>
      <c r="N398" s="160" t="s">
        <v>123</v>
      </c>
      <c r="O398" s="147" t="s">
        <v>130</v>
      </c>
      <c r="P398" s="147" t="s">
        <v>124</v>
      </c>
      <c r="Q398" s="158" t="s">
        <v>174</v>
      </c>
      <c r="R398" s="148" t="s">
        <v>119</v>
      </c>
      <c r="S398" s="148" t="s">
        <v>136</v>
      </c>
      <c r="T398" s="148" t="s">
        <v>120</v>
      </c>
      <c r="U398" s="145">
        <f>D398+E398</f>
        <v>184</v>
      </c>
      <c r="V398" s="148" t="s">
        <v>176</v>
      </c>
      <c r="W398" s="145">
        <f>D398+E398+F398</f>
        <v>275</v>
      </c>
      <c r="X398" s="149"/>
    </row>
    <row r="399" customHeight="1" spans="1:24">
      <c r="A399" s="153">
        <v>25</v>
      </c>
      <c r="B399" s="154" t="s">
        <v>685</v>
      </c>
      <c r="C399" s="144">
        <v>2</v>
      </c>
      <c r="D399" s="145">
        <v>62</v>
      </c>
      <c r="E399" s="145">
        <v>52</v>
      </c>
      <c r="F399" s="145">
        <v>83</v>
      </c>
      <c r="G399" s="145">
        <v>78</v>
      </c>
      <c r="H399" s="145">
        <v>81</v>
      </c>
      <c r="I399" s="145">
        <f>SUM(D399:H399)</f>
        <v>356</v>
      </c>
      <c r="J399" s="145">
        <v>21</v>
      </c>
      <c r="K399" s="147" t="s">
        <v>124</v>
      </c>
      <c r="L399" s="147" t="s">
        <v>124</v>
      </c>
      <c r="M399" s="147" t="s">
        <v>130</v>
      </c>
      <c r="N399" s="147" t="s">
        <v>124</v>
      </c>
      <c r="O399" s="147" t="s">
        <v>130</v>
      </c>
      <c r="P399" s="147" t="s">
        <v>124</v>
      </c>
      <c r="Q399" s="148" t="s">
        <v>686</v>
      </c>
      <c r="R399" s="148" t="s">
        <v>118</v>
      </c>
      <c r="S399" s="148" t="s">
        <v>119</v>
      </c>
      <c r="T399" s="148" t="s">
        <v>120</v>
      </c>
      <c r="U399" s="145">
        <f>D399+E399</f>
        <v>114</v>
      </c>
      <c r="V399" s="149"/>
      <c r="W399" s="145">
        <f>D399+E399+F399</f>
        <v>197</v>
      </c>
      <c r="X399" s="149"/>
    </row>
    <row r="400" customHeight="1" spans="1:24">
      <c r="A400" s="153">
        <v>669</v>
      </c>
      <c r="B400" s="143" t="s">
        <v>687</v>
      </c>
      <c r="C400" s="144">
        <v>1</v>
      </c>
      <c r="D400" s="145">
        <v>70</v>
      </c>
      <c r="E400" s="145">
        <v>52</v>
      </c>
      <c r="F400" s="145">
        <v>77</v>
      </c>
      <c r="G400" s="145">
        <v>79</v>
      </c>
      <c r="H400" s="145">
        <v>81</v>
      </c>
      <c r="I400" s="145">
        <f>SUM(D400:H400)</f>
        <v>359</v>
      </c>
      <c r="J400" s="145">
        <v>71</v>
      </c>
      <c r="K400" s="147" t="s">
        <v>114</v>
      </c>
      <c r="L400" s="147" t="s">
        <v>130</v>
      </c>
      <c r="M400" s="147" t="s">
        <v>114</v>
      </c>
      <c r="N400" s="147" t="s">
        <v>130</v>
      </c>
      <c r="O400" s="147" t="s">
        <v>130</v>
      </c>
      <c r="P400" s="147" t="s">
        <v>124</v>
      </c>
      <c r="Q400" s="148" t="s">
        <v>168</v>
      </c>
      <c r="R400" s="148" t="s">
        <v>118</v>
      </c>
      <c r="S400" s="148" t="s">
        <v>133</v>
      </c>
      <c r="T400" s="148" t="s">
        <v>120</v>
      </c>
      <c r="U400" s="145">
        <f>D400+E400</f>
        <v>122</v>
      </c>
      <c r="V400" s="149"/>
      <c r="W400" s="145">
        <f>D400+E400+F400</f>
        <v>199</v>
      </c>
      <c r="X400" s="252"/>
    </row>
    <row r="401" customHeight="1" spans="1:24">
      <c r="A401" s="153">
        <v>441</v>
      </c>
      <c r="B401" s="154" t="s">
        <v>688</v>
      </c>
      <c r="C401" s="144">
        <v>2</v>
      </c>
      <c r="D401" s="145">
        <v>72</v>
      </c>
      <c r="E401" s="145">
        <v>86</v>
      </c>
      <c r="F401" s="145">
        <v>57</v>
      </c>
      <c r="G401" s="145">
        <v>64</v>
      </c>
      <c r="H401" s="145">
        <v>81</v>
      </c>
      <c r="I401" s="145">
        <f>SUM(D401:H401)</f>
        <v>360</v>
      </c>
      <c r="J401" s="145">
        <v>8</v>
      </c>
      <c r="K401" s="147" t="s">
        <v>130</v>
      </c>
      <c r="L401" s="147" t="s">
        <v>130</v>
      </c>
      <c r="M401" s="147" t="s">
        <v>114</v>
      </c>
      <c r="N401" s="147" t="s">
        <v>130</v>
      </c>
      <c r="O401" s="147" t="s">
        <v>130</v>
      </c>
      <c r="P401" s="147" t="s">
        <v>124</v>
      </c>
      <c r="Q401" s="149"/>
      <c r="R401" s="148" t="s">
        <v>132</v>
      </c>
      <c r="S401" s="148" t="s">
        <v>119</v>
      </c>
      <c r="T401" s="148" t="s">
        <v>120</v>
      </c>
      <c r="U401" s="145">
        <f>D401+E401</f>
        <v>158</v>
      </c>
      <c r="V401" s="149"/>
      <c r="W401" s="145">
        <f>D401+E401+F401</f>
        <v>215</v>
      </c>
      <c r="X401" s="149"/>
    </row>
    <row r="402" customHeight="1" spans="1:24">
      <c r="A402" s="153">
        <v>415</v>
      </c>
      <c r="B402" s="154" t="s">
        <v>689</v>
      </c>
      <c r="C402" s="144">
        <v>2</v>
      </c>
      <c r="D402" s="145">
        <v>62</v>
      </c>
      <c r="E402" s="145">
        <v>61</v>
      </c>
      <c r="F402" s="145">
        <v>77</v>
      </c>
      <c r="G402" s="145">
        <v>83</v>
      </c>
      <c r="H402" s="145">
        <v>81</v>
      </c>
      <c r="I402" s="145">
        <f>SUM(D402:H402)</f>
        <v>364</v>
      </c>
      <c r="J402" s="145">
        <v>0</v>
      </c>
      <c r="K402" s="147" t="s">
        <v>130</v>
      </c>
      <c r="L402" s="147" t="s">
        <v>130</v>
      </c>
      <c r="M402" s="147" t="s">
        <v>130</v>
      </c>
      <c r="N402" s="147" t="s">
        <v>124</v>
      </c>
      <c r="O402" s="147" t="s">
        <v>130</v>
      </c>
      <c r="P402" s="147" t="s">
        <v>124</v>
      </c>
      <c r="Q402" s="148" t="s">
        <v>342</v>
      </c>
      <c r="R402" s="148" t="s">
        <v>119</v>
      </c>
      <c r="S402" s="148" t="s">
        <v>136</v>
      </c>
      <c r="T402" s="148" t="s">
        <v>250</v>
      </c>
      <c r="U402" s="145">
        <f>D402+E402</f>
        <v>123</v>
      </c>
      <c r="V402" s="149"/>
      <c r="W402" s="145">
        <f>D402+E402+F402</f>
        <v>200</v>
      </c>
      <c r="X402" s="149"/>
    </row>
    <row r="403" customHeight="1" spans="1:24">
      <c r="A403" s="153">
        <v>381</v>
      </c>
      <c r="B403" s="154" t="s">
        <v>690</v>
      </c>
      <c r="C403" s="144">
        <v>2</v>
      </c>
      <c r="D403" s="145">
        <v>66</v>
      </c>
      <c r="E403" s="145">
        <v>55</v>
      </c>
      <c r="F403" s="145">
        <v>78</v>
      </c>
      <c r="G403" s="145">
        <v>86</v>
      </c>
      <c r="H403" s="145">
        <v>81</v>
      </c>
      <c r="I403" s="145">
        <f>SUM(D403:H403)</f>
        <v>366</v>
      </c>
      <c r="J403" s="145">
        <v>145</v>
      </c>
      <c r="K403" s="147" t="s">
        <v>130</v>
      </c>
      <c r="L403" s="147" t="s">
        <v>130</v>
      </c>
      <c r="M403" s="147" t="s">
        <v>124</v>
      </c>
      <c r="N403" s="147" t="s">
        <v>114</v>
      </c>
      <c r="O403" s="147" t="s">
        <v>130</v>
      </c>
      <c r="P403" s="147" t="s">
        <v>130</v>
      </c>
      <c r="Q403" s="148" t="s">
        <v>414</v>
      </c>
      <c r="R403" s="148" t="s">
        <v>132</v>
      </c>
      <c r="S403" s="148" t="s">
        <v>119</v>
      </c>
      <c r="T403" s="148" t="s">
        <v>120</v>
      </c>
      <c r="U403" s="145">
        <f>D403+E403</f>
        <v>121</v>
      </c>
      <c r="V403" s="149"/>
      <c r="W403" s="145">
        <f>D403+E403+F403</f>
        <v>199</v>
      </c>
      <c r="X403" s="149"/>
    </row>
    <row r="404" customHeight="1" spans="1:24">
      <c r="A404" s="153">
        <v>472</v>
      </c>
      <c r="B404" s="154" t="s">
        <v>691</v>
      </c>
      <c r="C404" s="144">
        <v>3</v>
      </c>
      <c r="D404" s="145">
        <v>77</v>
      </c>
      <c r="E404" s="145">
        <v>64</v>
      </c>
      <c r="F404" s="145">
        <v>79</v>
      </c>
      <c r="G404" s="145">
        <v>69</v>
      </c>
      <c r="H404" s="145">
        <v>81</v>
      </c>
      <c r="I404" s="145">
        <f>SUM(D404:H404)</f>
        <v>370</v>
      </c>
      <c r="J404" s="145">
        <v>32</v>
      </c>
      <c r="K404" s="147" t="s">
        <v>130</v>
      </c>
      <c r="L404" s="147" t="s">
        <v>114</v>
      </c>
      <c r="M404" s="147" t="s">
        <v>115</v>
      </c>
      <c r="N404" s="147" t="s">
        <v>130</v>
      </c>
      <c r="O404" s="147" t="s">
        <v>130</v>
      </c>
      <c r="P404" s="147" t="s">
        <v>130</v>
      </c>
      <c r="Q404" s="148" t="s">
        <v>358</v>
      </c>
      <c r="R404" s="148" t="s">
        <v>175</v>
      </c>
      <c r="S404" s="148" t="s">
        <v>145</v>
      </c>
      <c r="T404" s="148" t="s">
        <v>120</v>
      </c>
      <c r="U404" s="145">
        <f>D404+E404</f>
        <v>141</v>
      </c>
      <c r="V404" s="149"/>
      <c r="W404" s="145">
        <f>D404+E404+F404</f>
        <v>220</v>
      </c>
      <c r="X404" s="149"/>
    </row>
    <row r="405" customHeight="1" spans="1:24">
      <c r="A405" s="153">
        <v>188</v>
      </c>
      <c r="B405" s="154" t="s">
        <v>692</v>
      </c>
      <c r="C405" s="144">
        <v>5</v>
      </c>
      <c r="D405" s="145">
        <v>79</v>
      </c>
      <c r="E405" s="145">
        <v>59</v>
      </c>
      <c r="F405" s="145">
        <v>85</v>
      </c>
      <c r="G405" s="145">
        <v>90</v>
      </c>
      <c r="H405" s="145">
        <v>81</v>
      </c>
      <c r="I405" s="145">
        <f>SUM(D405:H405)</f>
        <v>394</v>
      </c>
      <c r="J405" s="145">
        <v>73</v>
      </c>
      <c r="K405" s="147" t="s">
        <v>130</v>
      </c>
      <c r="L405" s="147" t="s">
        <v>130</v>
      </c>
      <c r="M405" s="147" t="s">
        <v>114</v>
      </c>
      <c r="N405" s="147" t="s">
        <v>114</v>
      </c>
      <c r="O405" s="147" t="s">
        <v>130</v>
      </c>
      <c r="P405" s="147" t="s">
        <v>124</v>
      </c>
      <c r="Q405" s="148" t="s">
        <v>386</v>
      </c>
      <c r="R405" s="148" t="s">
        <v>132</v>
      </c>
      <c r="S405" s="148" t="s">
        <v>119</v>
      </c>
      <c r="T405" s="148" t="s">
        <v>120</v>
      </c>
      <c r="U405" s="145">
        <f>D405+E405</f>
        <v>138</v>
      </c>
      <c r="V405" s="149"/>
      <c r="W405" s="145">
        <f>D405+E405+F405</f>
        <v>223</v>
      </c>
      <c r="X405" s="149"/>
    </row>
    <row r="406" customHeight="1" spans="1:24">
      <c r="A406" s="153">
        <v>693</v>
      </c>
      <c r="B406" s="154" t="s">
        <v>693</v>
      </c>
      <c r="C406" s="144">
        <v>16</v>
      </c>
      <c r="D406" s="145">
        <v>88</v>
      </c>
      <c r="E406" s="145">
        <v>89</v>
      </c>
      <c r="F406" s="145">
        <v>80</v>
      </c>
      <c r="G406" s="145">
        <v>62</v>
      </c>
      <c r="H406" s="145">
        <v>81</v>
      </c>
      <c r="I406" s="145">
        <f>SUM(D406:H406)</f>
        <v>400</v>
      </c>
      <c r="J406" s="145">
        <v>86</v>
      </c>
      <c r="K406" s="147" t="s">
        <v>115</v>
      </c>
      <c r="L406" s="147" t="s">
        <v>114</v>
      </c>
      <c r="M406" s="147" t="s">
        <v>114</v>
      </c>
      <c r="N406" s="147" t="s">
        <v>124</v>
      </c>
      <c r="O406" s="147" t="s">
        <v>130</v>
      </c>
      <c r="P406" s="147" t="s">
        <v>114</v>
      </c>
      <c r="Q406" s="148" t="s">
        <v>435</v>
      </c>
      <c r="R406" s="148" t="s">
        <v>132</v>
      </c>
      <c r="S406" s="148" t="s">
        <v>119</v>
      </c>
      <c r="T406" s="148" t="s">
        <v>126</v>
      </c>
      <c r="U406" s="145">
        <f>D406+E406</f>
        <v>177</v>
      </c>
      <c r="V406" s="149"/>
      <c r="W406" s="145">
        <f>D406+E406+F406</f>
        <v>257</v>
      </c>
      <c r="X406" s="149"/>
    </row>
    <row r="407" customHeight="1" spans="1:24">
      <c r="A407" s="153">
        <v>603</v>
      </c>
      <c r="B407" s="154" t="s">
        <v>694</v>
      </c>
      <c r="C407" s="144">
        <v>10</v>
      </c>
      <c r="D407" s="145">
        <v>79</v>
      </c>
      <c r="E407" s="145">
        <v>70</v>
      </c>
      <c r="F407" s="145">
        <v>58</v>
      </c>
      <c r="G407" s="145">
        <v>60</v>
      </c>
      <c r="H407" s="145">
        <v>80</v>
      </c>
      <c r="I407" s="145">
        <f>SUM(D407:H407)</f>
        <v>347</v>
      </c>
      <c r="J407" s="145">
        <v>107</v>
      </c>
      <c r="K407" s="147" t="s">
        <v>130</v>
      </c>
      <c r="L407" s="147" t="s">
        <v>115</v>
      </c>
      <c r="M407" s="147" t="s">
        <v>114</v>
      </c>
      <c r="N407" s="147" t="s">
        <v>124</v>
      </c>
      <c r="O407" s="147" t="s">
        <v>130</v>
      </c>
      <c r="P407" s="147" t="s">
        <v>114</v>
      </c>
      <c r="Q407" s="148" t="s">
        <v>160</v>
      </c>
      <c r="R407" s="148" t="s">
        <v>118</v>
      </c>
      <c r="S407" s="148" t="s">
        <v>119</v>
      </c>
      <c r="T407" s="148" t="s">
        <v>126</v>
      </c>
      <c r="U407" s="145">
        <f>D407+E407</f>
        <v>149</v>
      </c>
      <c r="V407" s="149"/>
      <c r="W407" s="145">
        <f>D407+E407+F407</f>
        <v>207</v>
      </c>
      <c r="X407" s="149"/>
    </row>
    <row r="408" customHeight="1" spans="1:24">
      <c r="A408" s="153">
        <v>557</v>
      </c>
      <c r="B408" s="154" t="s">
        <v>695</v>
      </c>
      <c r="C408" s="144">
        <v>2</v>
      </c>
      <c r="D408" s="145">
        <v>63</v>
      </c>
      <c r="E408" s="145">
        <v>51</v>
      </c>
      <c r="F408" s="145">
        <v>86</v>
      </c>
      <c r="G408" s="145">
        <v>74</v>
      </c>
      <c r="H408" s="145">
        <v>80</v>
      </c>
      <c r="I408" s="145">
        <f>SUM(D408:H408)</f>
        <v>354</v>
      </c>
      <c r="J408" s="145">
        <v>76</v>
      </c>
      <c r="K408" s="147" t="s">
        <v>130</v>
      </c>
      <c r="L408" s="147" t="s">
        <v>130</v>
      </c>
      <c r="M408" s="147" t="s">
        <v>124</v>
      </c>
      <c r="N408" s="147" t="s">
        <v>124</v>
      </c>
      <c r="O408" s="147" t="s">
        <v>130</v>
      </c>
      <c r="P408" s="147" t="s">
        <v>130</v>
      </c>
      <c r="Q408" s="148" t="s">
        <v>686</v>
      </c>
      <c r="R408" s="148" t="s">
        <v>132</v>
      </c>
      <c r="S408" s="148" t="s">
        <v>119</v>
      </c>
      <c r="T408" s="148" t="s">
        <v>120</v>
      </c>
      <c r="U408" s="145">
        <f>D408+E408</f>
        <v>114</v>
      </c>
      <c r="V408" s="149"/>
      <c r="W408" s="145">
        <f>D408+E408+F408</f>
        <v>200</v>
      </c>
      <c r="X408" s="149"/>
    </row>
    <row r="409" customHeight="1" spans="1:24">
      <c r="A409" s="153">
        <v>612</v>
      </c>
      <c r="B409" s="154" t="s">
        <v>696</v>
      </c>
      <c r="C409" s="144">
        <v>1</v>
      </c>
      <c r="D409" s="145">
        <v>67</v>
      </c>
      <c r="E409" s="145">
        <v>64</v>
      </c>
      <c r="F409" s="145">
        <v>70</v>
      </c>
      <c r="G409" s="145">
        <v>76</v>
      </c>
      <c r="H409" s="145">
        <v>80</v>
      </c>
      <c r="I409" s="145">
        <f>SUM(D409:H409)</f>
        <v>357</v>
      </c>
      <c r="J409" s="145">
        <v>40</v>
      </c>
      <c r="K409" s="147" t="s">
        <v>130</v>
      </c>
      <c r="L409" s="147" t="s">
        <v>114</v>
      </c>
      <c r="M409" s="147" t="s">
        <v>130</v>
      </c>
      <c r="N409" s="147" t="s">
        <v>124</v>
      </c>
      <c r="O409" s="147" t="s">
        <v>130</v>
      </c>
      <c r="P409" s="147" t="s">
        <v>130</v>
      </c>
      <c r="Q409" s="148" t="s">
        <v>414</v>
      </c>
      <c r="R409" s="148" t="s">
        <v>119</v>
      </c>
      <c r="S409" s="148" t="s">
        <v>136</v>
      </c>
      <c r="T409" s="148" t="s">
        <v>120</v>
      </c>
      <c r="U409" s="145">
        <f>D409+E409</f>
        <v>131</v>
      </c>
      <c r="V409" s="149"/>
      <c r="W409" s="145">
        <f>D409+E409+F409</f>
        <v>201</v>
      </c>
      <c r="X409" s="149"/>
    </row>
    <row r="410" customHeight="1" spans="1:24">
      <c r="A410" s="153">
        <v>530</v>
      </c>
      <c r="B410" s="154" t="s">
        <v>697</v>
      </c>
      <c r="C410" s="144">
        <v>5</v>
      </c>
      <c r="D410" s="145">
        <v>75</v>
      </c>
      <c r="E410" s="145">
        <v>72</v>
      </c>
      <c r="F410" s="145">
        <v>71</v>
      </c>
      <c r="G410" s="145">
        <v>63</v>
      </c>
      <c r="H410" s="145">
        <v>80</v>
      </c>
      <c r="I410" s="145">
        <f>SUM(D410:H410)</f>
        <v>361</v>
      </c>
      <c r="J410" s="145">
        <v>43</v>
      </c>
      <c r="K410" s="147" t="s">
        <v>114</v>
      </c>
      <c r="L410" s="147" t="s">
        <v>114</v>
      </c>
      <c r="M410" s="147" t="s">
        <v>130</v>
      </c>
      <c r="N410" s="147" t="s">
        <v>130</v>
      </c>
      <c r="O410" s="147" t="s">
        <v>130</v>
      </c>
      <c r="P410" s="147" t="s">
        <v>124</v>
      </c>
      <c r="Q410" s="148" t="s">
        <v>194</v>
      </c>
      <c r="R410" s="148" t="s">
        <v>132</v>
      </c>
      <c r="S410" s="148" t="s">
        <v>136</v>
      </c>
      <c r="T410" s="148" t="s">
        <v>126</v>
      </c>
      <c r="U410" s="145">
        <f>D410+E410</f>
        <v>147</v>
      </c>
      <c r="V410" s="149"/>
      <c r="W410" s="145">
        <f>D410+E410+F410</f>
        <v>218</v>
      </c>
      <c r="X410" s="149"/>
    </row>
    <row r="411" customHeight="1" spans="1:24">
      <c r="A411" s="153">
        <v>35</v>
      </c>
      <c r="B411" s="154" t="s">
        <v>698</v>
      </c>
      <c r="C411" s="144">
        <v>13</v>
      </c>
      <c r="D411" s="145">
        <v>87</v>
      </c>
      <c r="E411" s="145">
        <v>75</v>
      </c>
      <c r="F411" s="145">
        <v>74</v>
      </c>
      <c r="G411" s="145">
        <v>78</v>
      </c>
      <c r="H411" s="145">
        <v>80</v>
      </c>
      <c r="I411" s="145">
        <f>SUM(D411:H411)</f>
        <v>394</v>
      </c>
      <c r="J411" s="145">
        <v>22</v>
      </c>
      <c r="K411" s="147" t="s">
        <v>114</v>
      </c>
      <c r="L411" s="147" t="s">
        <v>114</v>
      </c>
      <c r="M411" s="147" t="s">
        <v>130</v>
      </c>
      <c r="N411" s="147" t="s">
        <v>115</v>
      </c>
      <c r="O411" s="147" t="s">
        <v>130</v>
      </c>
      <c r="P411" s="147" t="s">
        <v>124</v>
      </c>
      <c r="Q411" s="158" t="s">
        <v>232</v>
      </c>
      <c r="R411" s="148" t="s">
        <v>132</v>
      </c>
      <c r="S411" s="148" t="s">
        <v>119</v>
      </c>
      <c r="T411" s="148" t="s">
        <v>126</v>
      </c>
      <c r="U411" s="145">
        <f>D411+E411</f>
        <v>162</v>
      </c>
      <c r="V411" s="148" t="s">
        <v>233</v>
      </c>
      <c r="W411" s="145">
        <f>D411+E411+F411</f>
        <v>236</v>
      </c>
      <c r="X411" s="149"/>
    </row>
    <row r="412" customHeight="1" spans="1:24">
      <c r="A412" s="153">
        <v>770</v>
      </c>
      <c r="B412" s="143" t="s">
        <v>699</v>
      </c>
      <c r="C412" s="144">
        <v>1</v>
      </c>
      <c r="D412" s="145">
        <v>67</v>
      </c>
      <c r="E412" s="145">
        <v>53</v>
      </c>
      <c r="F412" s="145">
        <v>71</v>
      </c>
      <c r="G412" s="145">
        <v>77</v>
      </c>
      <c r="H412" s="145">
        <v>79</v>
      </c>
      <c r="I412" s="145">
        <f>SUM(D412:H412)</f>
        <v>347</v>
      </c>
      <c r="J412" s="145">
        <v>73</v>
      </c>
      <c r="K412" s="147" t="s">
        <v>130</v>
      </c>
      <c r="L412" s="147" t="s">
        <v>114</v>
      </c>
      <c r="M412" s="147" t="s">
        <v>130</v>
      </c>
      <c r="N412" s="147" t="s">
        <v>124</v>
      </c>
      <c r="O412" s="147" t="s">
        <v>130</v>
      </c>
      <c r="P412" s="147" t="s">
        <v>130</v>
      </c>
      <c r="Q412" s="149"/>
      <c r="R412" s="148" t="s">
        <v>132</v>
      </c>
      <c r="S412" s="148" t="s">
        <v>119</v>
      </c>
      <c r="T412" s="148" t="s">
        <v>126</v>
      </c>
      <c r="U412" s="145">
        <f>D412+E412</f>
        <v>120</v>
      </c>
      <c r="V412" s="149"/>
      <c r="W412" s="145">
        <f>D412+E412+F412</f>
        <v>191</v>
      </c>
      <c r="X412" s="149"/>
    </row>
    <row r="413" customHeight="1" spans="1:24">
      <c r="A413" s="153">
        <v>4</v>
      </c>
      <c r="B413" s="154" t="s">
        <v>700</v>
      </c>
      <c r="C413" s="144">
        <v>2</v>
      </c>
      <c r="D413" s="145">
        <v>60</v>
      </c>
      <c r="E413" s="145">
        <v>53</v>
      </c>
      <c r="F413" s="145">
        <v>82</v>
      </c>
      <c r="G413" s="145">
        <v>82</v>
      </c>
      <c r="H413" s="145">
        <v>79</v>
      </c>
      <c r="I413" s="145">
        <f>SUM(D413:H413)</f>
        <v>356</v>
      </c>
      <c r="J413" s="145">
        <v>67</v>
      </c>
      <c r="K413" s="147" t="s">
        <v>124</v>
      </c>
      <c r="L413" s="147" t="s">
        <v>114</v>
      </c>
      <c r="M413" s="147" t="s">
        <v>130</v>
      </c>
      <c r="N413" s="147" t="s">
        <v>124</v>
      </c>
      <c r="O413" s="147" t="s">
        <v>130</v>
      </c>
      <c r="P413" s="147" t="s">
        <v>124</v>
      </c>
      <c r="Q413" s="148" t="s">
        <v>701</v>
      </c>
      <c r="R413" s="148" t="s">
        <v>175</v>
      </c>
      <c r="S413" s="148" t="s">
        <v>136</v>
      </c>
      <c r="T413" s="148" t="s">
        <v>126</v>
      </c>
      <c r="U413" s="145">
        <f>D413+E413</f>
        <v>113</v>
      </c>
      <c r="V413" s="149"/>
      <c r="W413" s="145">
        <f>D413+E413+F413</f>
        <v>195</v>
      </c>
      <c r="X413" s="149"/>
    </row>
    <row r="414" customHeight="1" spans="1:24">
      <c r="A414" s="153">
        <v>22</v>
      </c>
      <c r="B414" s="154" t="s">
        <v>702</v>
      </c>
      <c r="C414" s="144">
        <v>5</v>
      </c>
      <c r="D414" s="145">
        <v>67</v>
      </c>
      <c r="E414" s="145">
        <v>54</v>
      </c>
      <c r="F414" s="145">
        <v>88</v>
      </c>
      <c r="G414" s="145">
        <v>89</v>
      </c>
      <c r="H414" s="145">
        <v>79</v>
      </c>
      <c r="I414" s="145">
        <f>SUM(D414:H414)</f>
        <v>377</v>
      </c>
      <c r="J414" s="145">
        <v>20</v>
      </c>
      <c r="K414" s="147" t="s">
        <v>124</v>
      </c>
      <c r="L414" s="147" t="s">
        <v>114</v>
      </c>
      <c r="M414" s="147" t="s">
        <v>130</v>
      </c>
      <c r="N414" s="147" t="s">
        <v>130</v>
      </c>
      <c r="O414" s="147" t="s">
        <v>130</v>
      </c>
      <c r="P414" s="147" t="s">
        <v>124</v>
      </c>
      <c r="Q414" s="148" t="s">
        <v>358</v>
      </c>
      <c r="R414" s="148" t="s">
        <v>118</v>
      </c>
      <c r="S414" s="148" t="s">
        <v>133</v>
      </c>
      <c r="T414" s="148" t="s">
        <v>120</v>
      </c>
      <c r="U414" s="145">
        <f>D414+E414</f>
        <v>121</v>
      </c>
      <c r="V414" s="149"/>
      <c r="W414" s="145">
        <f>D414+E414+F414</f>
        <v>209</v>
      </c>
      <c r="X414" s="149"/>
    </row>
    <row r="415" customHeight="1" spans="1:24">
      <c r="A415" s="153">
        <v>555</v>
      </c>
      <c r="B415" s="154" t="s">
        <v>703</v>
      </c>
      <c r="C415" s="144">
        <v>22</v>
      </c>
      <c r="D415" s="145">
        <v>86</v>
      </c>
      <c r="E415" s="145">
        <v>94</v>
      </c>
      <c r="F415" s="145">
        <v>57</v>
      </c>
      <c r="G415" s="145">
        <v>63</v>
      </c>
      <c r="H415" s="145">
        <v>79</v>
      </c>
      <c r="I415" s="145">
        <f>SUM(D415:H415)</f>
        <v>379</v>
      </c>
      <c r="J415" s="145">
        <v>36</v>
      </c>
      <c r="K415" s="147" t="s">
        <v>115</v>
      </c>
      <c r="L415" s="147" t="s">
        <v>130</v>
      </c>
      <c r="M415" s="147" t="s">
        <v>114</v>
      </c>
      <c r="N415" s="147" t="s">
        <v>115</v>
      </c>
      <c r="O415" s="147" t="s">
        <v>130</v>
      </c>
      <c r="P415" s="147" t="s">
        <v>124</v>
      </c>
      <c r="Q415" s="148" t="s">
        <v>655</v>
      </c>
      <c r="R415" s="148" t="s">
        <v>132</v>
      </c>
      <c r="S415" s="148" t="s">
        <v>119</v>
      </c>
      <c r="T415" s="148" t="s">
        <v>148</v>
      </c>
      <c r="U415" s="145">
        <f>D415+E415</f>
        <v>180</v>
      </c>
      <c r="V415" s="149"/>
      <c r="W415" s="145">
        <f>D415+E415+F415</f>
        <v>237</v>
      </c>
      <c r="X415" s="149"/>
    </row>
    <row r="416" customHeight="1" spans="1:24">
      <c r="A416" s="153">
        <v>271</v>
      </c>
      <c r="B416" s="154" t="s">
        <v>704</v>
      </c>
      <c r="C416" s="144">
        <v>5</v>
      </c>
      <c r="D416" s="145">
        <v>72</v>
      </c>
      <c r="E416" s="145">
        <v>66</v>
      </c>
      <c r="F416" s="145">
        <v>79</v>
      </c>
      <c r="G416" s="145">
        <v>70</v>
      </c>
      <c r="H416" s="145">
        <v>78</v>
      </c>
      <c r="I416" s="145">
        <f>SUM(D416:H416)</f>
        <v>365</v>
      </c>
      <c r="J416" s="145">
        <v>5</v>
      </c>
      <c r="K416" s="147" t="s">
        <v>130</v>
      </c>
      <c r="L416" s="147" t="s">
        <v>130</v>
      </c>
      <c r="M416" s="147" t="s">
        <v>130</v>
      </c>
      <c r="N416" s="147" t="s">
        <v>114</v>
      </c>
      <c r="O416" s="147" t="s">
        <v>130</v>
      </c>
      <c r="P416" s="147" t="s">
        <v>124</v>
      </c>
      <c r="Q416" s="148" t="s">
        <v>353</v>
      </c>
      <c r="R416" s="148" t="s">
        <v>132</v>
      </c>
      <c r="S416" s="148" t="s">
        <v>136</v>
      </c>
      <c r="T416" s="148" t="s">
        <v>120</v>
      </c>
      <c r="U416" s="145">
        <f>D416+E416</f>
        <v>138</v>
      </c>
      <c r="V416" s="149"/>
      <c r="W416" s="145">
        <f>D416+E416+F416</f>
        <v>217</v>
      </c>
      <c r="X416" s="149"/>
    </row>
    <row r="417" customHeight="1" spans="1:24">
      <c r="A417" s="153">
        <v>599</v>
      </c>
      <c r="B417" s="154" t="s">
        <v>705</v>
      </c>
      <c r="C417" s="144">
        <v>2</v>
      </c>
      <c r="D417" s="145">
        <v>58</v>
      </c>
      <c r="E417" s="145">
        <v>61</v>
      </c>
      <c r="F417" s="145">
        <v>86</v>
      </c>
      <c r="G417" s="145">
        <v>85</v>
      </c>
      <c r="H417" s="145">
        <v>78</v>
      </c>
      <c r="I417" s="145">
        <f>SUM(D417:H417)</f>
        <v>368</v>
      </c>
      <c r="J417" s="145">
        <v>114</v>
      </c>
      <c r="K417" s="147" t="s">
        <v>124</v>
      </c>
      <c r="L417" s="147" t="s">
        <v>130</v>
      </c>
      <c r="M417" s="147" t="s">
        <v>124</v>
      </c>
      <c r="N417" s="147" t="s">
        <v>124</v>
      </c>
      <c r="O417" s="147" t="s">
        <v>130</v>
      </c>
      <c r="P417" s="147" t="s">
        <v>114</v>
      </c>
      <c r="Q417" s="148" t="s">
        <v>701</v>
      </c>
      <c r="R417" s="148" t="s">
        <v>119</v>
      </c>
      <c r="S417" s="148" t="s">
        <v>145</v>
      </c>
      <c r="T417" s="148" t="s">
        <v>120</v>
      </c>
      <c r="U417" s="145">
        <f>D417+E417</f>
        <v>119</v>
      </c>
      <c r="V417" s="149"/>
      <c r="W417" s="145">
        <f>D417+E417+F417</f>
        <v>205</v>
      </c>
      <c r="X417" s="149"/>
    </row>
    <row r="418" customHeight="1" spans="1:24">
      <c r="A418" s="153">
        <v>775</v>
      </c>
      <c r="B418" s="154" t="s">
        <v>706</v>
      </c>
      <c r="C418" s="144">
        <v>2</v>
      </c>
      <c r="D418" s="145">
        <v>76</v>
      </c>
      <c r="E418" s="145">
        <v>80</v>
      </c>
      <c r="F418" s="145">
        <v>67</v>
      </c>
      <c r="G418" s="145">
        <v>72</v>
      </c>
      <c r="H418" s="145">
        <v>78</v>
      </c>
      <c r="I418" s="145">
        <f>SUM(D418:H418)</f>
        <v>373</v>
      </c>
      <c r="J418" s="145">
        <v>142</v>
      </c>
      <c r="K418" s="147" t="s">
        <v>114</v>
      </c>
      <c r="L418" s="147" t="s">
        <v>124</v>
      </c>
      <c r="M418" s="147" t="s">
        <v>114</v>
      </c>
      <c r="N418" s="147" t="s">
        <v>114</v>
      </c>
      <c r="O418" s="147" t="s">
        <v>130</v>
      </c>
      <c r="P418" s="147" t="s">
        <v>130</v>
      </c>
      <c r="Q418" s="149"/>
      <c r="R418" s="148" t="s">
        <v>132</v>
      </c>
      <c r="S418" s="148" t="s">
        <v>119</v>
      </c>
      <c r="T418" s="148" t="s">
        <v>126</v>
      </c>
      <c r="U418" s="145">
        <f>D418+E418</f>
        <v>156</v>
      </c>
      <c r="V418" s="149"/>
      <c r="W418" s="145">
        <f>D418+E418+F418</f>
        <v>223</v>
      </c>
      <c r="X418" s="149"/>
    </row>
    <row r="419" customHeight="1" spans="1:24">
      <c r="A419" s="153">
        <v>436</v>
      </c>
      <c r="B419" s="154" t="s">
        <v>707</v>
      </c>
      <c r="C419" s="144">
        <v>13</v>
      </c>
      <c r="D419" s="145">
        <v>88</v>
      </c>
      <c r="E419" s="145">
        <v>79</v>
      </c>
      <c r="F419" s="145">
        <v>84</v>
      </c>
      <c r="G419" s="145">
        <v>72</v>
      </c>
      <c r="H419" s="145">
        <v>78</v>
      </c>
      <c r="I419" s="145">
        <f>SUM(D419:H419)</f>
        <v>401</v>
      </c>
      <c r="J419" s="145">
        <v>10</v>
      </c>
      <c r="K419" s="147" t="s">
        <v>114</v>
      </c>
      <c r="L419" s="147" t="s">
        <v>114</v>
      </c>
      <c r="M419" s="147" t="s">
        <v>114</v>
      </c>
      <c r="N419" s="147" t="s">
        <v>115</v>
      </c>
      <c r="O419" s="147" t="s">
        <v>130</v>
      </c>
      <c r="P419" s="147" t="s">
        <v>124</v>
      </c>
      <c r="Q419" s="148" t="s">
        <v>402</v>
      </c>
      <c r="R419" s="148" t="s">
        <v>118</v>
      </c>
      <c r="S419" s="148" t="s">
        <v>119</v>
      </c>
      <c r="T419" s="148" t="s">
        <v>126</v>
      </c>
      <c r="U419" s="145">
        <f>D419+E419</f>
        <v>167</v>
      </c>
      <c r="V419" s="149"/>
      <c r="W419" s="145">
        <f>D419+E419+F419</f>
        <v>251</v>
      </c>
      <c r="X419" s="149"/>
    </row>
    <row r="420" customHeight="1" spans="1:24">
      <c r="A420" s="153">
        <v>141</v>
      </c>
      <c r="B420" s="154" t="s">
        <v>708</v>
      </c>
      <c r="C420" s="144">
        <v>7</v>
      </c>
      <c r="D420" s="145">
        <v>68</v>
      </c>
      <c r="E420" s="145">
        <v>71</v>
      </c>
      <c r="F420" s="145">
        <v>84</v>
      </c>
      <c r="G420" s="145">
        <v>106</v>
      </c>
      <c r="H420" s="145">
        <v>78</v>
      </c>
      <c r="I420" s="145">
        <f>SUM(D420:H420)</f>
        <v>407</v>
      </c>
      <c r="J420" s="145">
        <v>75</v>
      </c>
      <c r="K420" s="147" t="s">
        <v>130</v>
      </c>
      <c r="L420" s="147" t="s">
        <v>130</v>
      </c>
      <c r="M420" s="147" t="s">
        <v>130</v>
      </c>
      <c r="N420" s="147" t="s">
        <v>130</v>
      </c>
      <c r="O420" s="147" t="s">
        <v>130</v>
      </c>
      <c r="P420" s="147" t="s">
        <v>130</v>
      </c>
      <c r="Q420" s="148" t="s">
        <v>474</v>
      </c>
      <c r="R420" s="148" t="s">
        <v>132</v>
      </c>
      <c r="S420" s="148" t="s">
        <v>145</v>
      </c>
      <c r="T420" s="148" t="s">
        <v>126</v>
      </c>
      <c r="U420" s="145">
        <f>D420+E420</f>
        <v>139</v>
      </c>
      <c r="V420" s="149"/>
      <c r="W420" s="145">
        <f>D420+E420+F420</f>
        <v>223</v>
      </c>
      <c r="X420" s="149"/>
    </row>
    <row r="421" customHeight="1" spans="1:24">
      <c r="A421" s="153">
        <v>47</v>
      </c>
      <c r="B421" s="154" t="s">
        <v>709</v>
      </c>
      <c r="C421" s="144">
        <v>4</v>
      </c>
      <c r="D421" s="145">
        <v>65</v>
      </c>
      <c r="E421" s="145">
        <v>53</v>
      </c>
      <c r="F421" s="145">
        <v>78</v>
      </c>
      <c r="G421" s="145">
        <v>80</v>
      </c>
      <c r="H421" s="145">
        <v>77</v>
      </c>
      <c r="I421" s="145">
        <f>SUM(D421:H421)</f>
        <v>353</v>
      </c>
      <c r="J421" s="145">
        <v>19</v>
      </c>
      <c r="K421" s="147" t="s">
        <v>130</v>
      </c>
      <c r="L421" s="147" t="s">
        <v>130</v>
      </c>
      <c r="M421" s="147" t="s">
        <v>130</v>
      </c>
      <c r="N421" s="147" t="s">
        <v>124</v>
      </c>
      <c r="O421" s="147" t="s">
        <v>130</v>
      </c>
      <c r="P421" s="147" t="s">
        <v>124</v>
      </c>
      <c r="Q421" s="148" t="s">
        <v>170</v>
      </c>
      <c r="R421" s="148" t="s">
        <v>132</v>
      </c>
      <c r="S421" s="148" t="s">
        <v>119</v>
      </c>
      <c r="T421" s="148" t="s">
        <v>126</v>
      </c>
      <c r="U421" s="145">
        <f>D421+E421</f>
        <v>118</v>
      </c>
      <c r="V421" s="149"/>
      <c r="W421" s="145">
        <f>D421+E421+F421</f>
        <v>196</v>
      </c>
      <c r="X421" s="149"/>
    </row>
    <row r="422" customHeight="1" spans="1:24">
      <c r="A422" s="153">
        <v>592</v>
      </c>
      <c r="B422" s="143" t="s">
        <v>710</v>
      </c>
      <c r="C422" s="144">
        <v>1</v>
      </c>
      <c r="D422" s="145">
        <v>60</v>
      </c>
      <c r="E422" s="145">
        <v>76</v>
      </c>
      <c r="F422" s="145">
        <v>71</v>
      </c>
      <c r="G422" s="145">
        <v>83</v>
      </c>
      <c r="H422" s="145">
        <v>77</v>
      </c>
      <c r="I422" s="145">
        <f>SUM(D422:H422)</f>
        <v>367</v>
      </c>
      <c r="J422" s="145">
        <v>59</v>
      </c>
      <c r="K422" s="147" t="s">
        <v>124</v>
      </c>
      <c r="L422" s="147" t="s">
        <v>130</v>
      </c>
      <c r="M422" s="147" t="s">
        <v>130</v>
      </c>
      <c r="N422" s="147" t="s">
        <v>124</v>
      </c>
      <c r="O422" s="147" t="s">
        <v>130</v>
      </c>
      <c r="P422" s="147" t="s">
        <v>130</v>
      </c>
      <c r="Q422" s="148" t="s">
        <v>344</v>
      </c>
      <c r="R422" s="148" t="s">
        <v>132</v>
      </c>
      <c r="S422" s="148" t="s">
        <v>119</v>
      </c>
      <c r="T422" s="148" t="s">
        <v>126</v>
      </c>
      <c r="U422" s="145">
        <f>D422+E422</f>
        <v>136</v>
      </c>
      <c r="V422" s="149"/>
      <c r="W422" s="145">
        <f>D422+E422+F422</f>
        <v>207</v>
      </c>
      <c r="X422" s="149"/>
    </row>
    <row r="423" customHeight="1" spans="1:24">
      <c r="A423" s="153">
        <v>393</v>
      </c>
      <c r="B423" s="143" t="s">
        <v>711</v>
      </c>
      <c r="C423" s="144">
        <v>1</v>
      </c>
      <c r="D423" s="145">
        <v>73</v>
      </c>
      <c r="E423" s="145">
        <v>70</v>
      </c>
      <c r="F423" s="145">
        <v>83</v>
      </c>
      <c r="G423" s="145">
        <v>73</v>
      </c>
      <c r="H423" s="145">
        <v>77</v>
      </c>
      <c r="I423" s="145">
        <f>SUM(D423:H423)</f>
        <v>376</v>
      </c>
      <c r="J423" s="145">
        <v>146</v>
      </c>
      <c r="K423" s="147" t="s">
        <v>130</v>
      </c>
      <c r="L423" s="147" t="s">
        <v>124</v>
      </c>
      <c r="M423" s="147" t="s">
        <v>114</v>
      </c>
      <c r="N423" s="147" t="s">
        <v>114</v>
      </c>
      <c r="O423" s="147" t="s">
        <v>130</v>
      </c>
      <c r="P423" s="147" t="s">
        <v>124</v>
      </c>
      <c r="Q423" s="149"/>
      <c r="R423" s="148" t="s">
        <v>132</v>
      </c>
      <c r="S423" s="148" t="s">
        <v>119</v>
      </c>
      <c r="T423" s="148" t="s">
        <v>126</v>
      </c>
      <c r="U423" s="145">
        <f>D423+E423</f>
        <v>143</v>
      </c>
      <c r="V423" s="149"/>
      <c r="W423" s="145">
        <f>D423+E423+F423</f>
        <v>226</v>
      </c>
      <c r="X423" s="149"/>
    </row>
    <row r="424" customHeight="1" spans="1:24">
      <c r="A424" s="153">
        <v>173</v>
      </c>
      <c r="B424" s="154" t="s">
        <v>712</v>
      </c>
      <c r="C424" s="144">
        <v>13</v>
      </c>
      <c r="D424" s="145">
        <v>87</v>
      </c>
      <c r="E424" s="145">
        <v>80</v>
      </c>
      <c r="F424" s="145">
        <v>73</v>
      </c>
      <c r="G424" s="145">
        <v>71</v>
      </c>
      <c r="H424" s="145">
        <v>77</v>
      </c>
      <c r="I424" s="145">
        <f>SUM(D424:H424)</f>
        <v>388</v>
      </c>
      <c r="J424" s="145">
        <v>77</v>
      </c>
      <c r="K424" s="147" t="s">
        <v>115</v>
      </c>
      <c r="L424" s="147" t="s">
        <v>114</v>
      </c>
      <c r="M424" s="147" t="s">
        <v>114</v>
      </c>
      <c r="N424" s="147" t="s">
        <v>115</v>
      </c>
      <c r="O424" s="147" t="s">
        <v>130</v>
      </c>
      <c r="P424" s="147" t="s">
        <v>124</v>
      </c>
      <c r="Q424" s="148" t="s">
        <v>268</v>
      </c>
      <c r="R424" s="148" t="s">
        <v>132</v>
      </c>
      <c r="S424" s="148" t="s">
        <v>119</v>
      </c>
      <c r="T424" s="148" t="s">
        <v>120</v>
      </c>
      <c r="U424" s="145">
        <f>D424+E424</f>
        <v>167</v>
      </c>
      <c r="V424" s="149"/>
      <c r="W424" s="145">
        <f>D424+E424+F424</f>
        <v>240</v>
      </c>
      <c r="X424" s="149"/>
    </row>
    <row r="425" customHeight="1" spans="1:24">
      <c r="A425" s="153">
        <v>518</v>
      </c>
      <c r="B425" s="154" t="s">
        <v>713</v>
      </c>
      <c r="C425" s="144">
        <v>9</v>
      </c>
      <c r="D425" s="145">
        <v>86</v>
      </c>
      <c r="E425" s="145">
        <v>79</v>
      </c>
      <c r="F425" s="145">
        <v>81</v>
      </c>
      <c r="G425" s="145">
        <v>69</v>
      </c>
      <c r="H425" s="145">
        <v>77</v>
      </c>
      <c r="I425" s="145">
        <f>SUM(D425:H425)</f>
        <v>392</v>
      </c>
      <c r="J425" s="145">
        <v>45</v>
      </c>
      <c r="K425" s="147" t="s">
        <v>114</v>
      </c>
      <c r="L425" s="147" t="s">
        <v>115</v>
      </c>
      <c r="M425" s="147" t="s">
        <v>114</v>
      </c>
      <c r="N425" s="147" t="s">
        <v>114</v>
      </c>
      <c r="O425" s="147" t="s">
        <v>130</v>
      </c>
      <c r="P425" s="147" t="s">
        <v>114</v>
      </c>
      <c r="Q425" s="148" t="s">
        <v>472</v>
      </c>
      <c r="R425" s="148" t="s">
        <v>132</v>
      </c>
      <c r="S425" s="148" t="s">
        <v>119</v>
      </c>
      <c r="T425" s="148" t="s">
        <v>120</v>
      </c>
      <c r="U425" s="145">
        <f>D425+E425</f>
        <v>165</v>
      </c>
      <c r="V425" s="149"/>
      <c r="W425" s="145">
        <f>D425+E425+F425</f>
        <v>246</v>
      </c>
      <c r="X425" s="149"/>
    </row>
    <row r="426" customHeight="1" spans="1:24">
      <c r="A426" s="153">
        <v>485</v>
      </c>
      <c r="B426" s="154" t="s">
        <v>714</v>
      </c>
      <c r="C426" s="144">
        <v>44</v>
      </c>
      <c r="D426" s="167">
        <v>106</v>
      </c>
      <c r="E426" s="145">
        <v>72</v>
      </c>
      <c r="F426" s="169">
        <v>102</v>
      </c>
      <c r="G426" s="145">
        <v>72</v>
      </c>
      <c r="H426" s="145">
        <v>77</v>
      </c>
      <c r="I426" s="145">
        <f>SUM(D426:H426)</f>
        <v>429</v>
      </c>
      <c r="J426" s="145">
        <v>48</v>
      </c>
      <c r="K426" s="147" t="s">
        <v>115</v>
      </c>
      <c r="L426" s="147" t="s">
        <v>115</v>
      </c>
      <c r="M426" s="160" t="s">
        <v>123</v>
      </c>
      <c r="N426" s="160" t="s">
        <v>123</v>
      </c>
      <c r="O426" s="147" t="s">
        <v>130</v>
      </c>
      <c r="P426" s="160" t="s">
        <v>123</v>
      </c>
      <c r="Q426" s="158" t="s">
        <v>715</v>
      </c>
      <c r="R426" s="148" t="s">
        <v>132</v>
      </c>
      <c r="S426" s="148" t="s">
        <v>136</v>
      </c>
      <c r="T426" s="148" t="s">
        <v>126</v>
      </c>
      <c r="U426" s="145">
        <f>D426+E426</f>
        <v>178</v>
      </c>
      <c r="V426" s="173" t="s">
        <v>716</v>
      </c>
      <c r="W426" s="145">
        <f>D426+E426+F426</f>
        <v>280</v>
      </c>
      <c r="X426" s="149"/>
    </row>
    <row r="427" customHeight="1" spans="1:24">
      <c r="A427" s="153">
        <v>534</v>
      </c>
      <c r="B427" s="154" t="s">
        <v>717</v>
      </c>
      <c r="C427" s="144">
        <v>5</v>
      </c>
      <c r="D427" s="145">
        <v>78</v>
      </c>
      <c r="E427" s="145">
        <v>80</v>
      </c>
      <c r="F427" s="145">
        <v>61</v>
      </c>
      <c r="G427" s="145">
        <v>53</v>
      </c>
      <c r="H427" s="145">
        <v>76</v>
      </c>
      <c r="I427" s="145">
        <f>SUM(D427:H427)</f>
        <v>348</v>
      </c>
      <c r="J427" s="145">
        <v>47</v>
      </c>
      <c r="K427" s="147" t="s">
        <v>114</v>
      </c>
      <c r="L427" s="147" t="s">
        <v>114</v>
      </c>
      <c r="M427" s="147" t="s">
        <v>114</v>
      </c>
      <c r="N427" s="147" t="s">
        <v>130</v>
      </c>
      <c r="O427" s="147" t="s">
        <v>130</v>
      </c>
      <c r="P427" s="147" t="s">
        <v>124</v>
      </c>
      <c r="Q427" s="148" t="s">
        <v>155</v>
      </c>
      <c r="R427" s="148" t="s">
        <v>132</v>
      </c>
      <c r="S427" s="148" t="s">
        <v>119</v>
      </c>
      <c r="T427" s="148" t="s">
        <v>126</v>
      </c>
      <c r="U427" s="145">
        <f>D427+E427</f>
        <v>158</v>
      </c>
      <c r="V427" s="149"/>
      <c r="W427" s="145">
        <f>D427+E427+F427</f>
        <v>219</v>
      </c>
      <c r="X427" s="149"/>
    </row>
    <row r="428" customHeight="1" spans="1:24">
      <c r="A428" s="153">
        <v>214</v>
      </c>
      <c r="B428" s="154" t="s">
        <v>718</v>
      </c>
      <c r="C428" s="144">
        <v>4</v>
      </c>
      <c r="D428" s="145">
        <v>81</v>
      </c>
      <c r="E428" s="145">
        <v>69</v>
      </c>
      <c r="F428" s="145">
        <v>71</v>
      </c>
      <c r="G428" s="145">
        <v>67</v>
      </c>
      <c r="H428" s="145">
        <v>76</v>
      </c>
      <c r="I428" s="145">
        <f>SUM(D428:H428)</f>
        <v>364</v>
      </c>
      <c r="J428" s="145">
        <v>68</v>
      </c>
      <c r="K428" s="147" t="s">
        <v>114</v>
      </c>
      <c r="L428" s="147" t="s">
        <v>114</v>
      </c>
      <c r="M428" s="147" t="s">
        <v>130</v>
      </c>
      <c r="N428" s="147" t="s">
        <v>114</v>
      </c>
      <c r="O428" s="147" t="s">
        <v>130</v>
      </c>
      <c r="P428" s="147" t="s">
        <v>124</v>
      </c>
      <c r="Q428" s="148" t="s">
        <v>476</v>
      </c>
      <c r="R428" s="148" t="s">
        <v>118</v>
      </c>
      <c r="S428" s="148" t="s">
        <v>133</v>
      </c>
      <c r="T428" s="148" t="s">
        <v>126</v>
      </c>
      <c r="U428" s="145">
        <f>D428+E428</f>
        <v>150</v>
      </c>
      <c r="V428" s="149"/>
      <c r="W428" s="145">
        <f>D428+E428+F428</f>
        <v>221</v>
      </c>
      <c r="X428" s="149"/>
    </row>
    <row r="429" customHeight="1" spans="1:24">
      <c r="A429" s="153">
        <v>479</v>
      </c>
      <c r="B429" s="156" t="s">
        <v>719</v>
      </c>
      <c r="C429" s="144">
        <v>7</v>
      </c>
      <c r="D429" s="145">
        <v>68</v>
      </c>
      <c r="E429" s="145">
        <v>34</v>
      </c>
      <c r="F429" s="145">
        <v>96</v>
      </c>
      <c r="G429" s="145">
        <v>92</v>
      </c>
      <c r="H429" s="145">
        <v>76</v>
      </c>
      <c r="I429" s="145">
        <f>SUM(D429:H429)</f>
        <v>366</v>
      </c>
      <c r="J429" s="145">
        <v>25</v>
      </c>
      <c r="K429" s="147" t="s">
        <v>124</v>
      </c>
      <c r="L429" s="147" t="s">
        <v>124</v>
      </c>
      <c r="M429" s="147" t="s">
        <v>114</v>
      </c>
      <c r="N429" s="147" t="s">
        <v>130</v>
      </c>
      <c r="O429" s="147" t="s">
        <v>130</v>
      </c>
      <c r="P429" s="147" t="s">
        <v>124</v>
      </c>
      <c r="Q429" s="148" t="s">
        <v>503</v>
      </c>
      <c r="R429" s="148" t="s">
        <v>132</v>
      </c>
      <c r="S429" s="148" t="s">
        <v>119</v>
      </c>
      <c r="T429" s="148" t="s">
        <v>120</v>
      </c>
      <c r="U429" s="145">
        <f>D429+E429</f>
        <v>102</v>
      </c>
      <c r="V429" s="149"/>
      <c r="W429" s="145">
        <f>D429+E429+F429</f>
        <v>198</v>
      </c>
      <c r="X429" s="149"/>
    </row>
    <row r="430" customHeight="1" spans="1:24">
      <c r="A430" s="153">
        <v>646</v>
      </c>
      <c r="B430" s="154" t="s">
        <v>720</v>
      </c>
      <c r="C430" s="144">
        <v>7</v>
      </c>
      <c r="D430" s="145">
        <v>87</v>
      </c>
      <c r="E430" s="145">
        <v>68</v>
      </c>
      <c r="F430" s="145">
        <v>81</v>
      </c>
      <c r="G430" s="145">
        <v>71</v>
      </c>
      <c r="H430" s="145">
        <v>76</v>
      </c>
      <c r="I430" s="145">
        <f>SUM(D430:H430)</f>
        <v>383</v>
      </c>
      <c r="J430" s="145">
        <v>62</v>
      </c>
      <c r="K430" s="147" t="s">
        <v>130</v>
      </c>
      <c r="L430" s="147" t="s">
        <v>115</v>
      </c>
      <c r="M430" s="147" t="s">
        <v>114</v>
      </c>
      <c r="N430" s="147" t="s">
        <v>115</v>
      </c>
      <c r="O430" s="147" t="s">
        <v>130</v>
      </c>
      <c r="P430" s="147" t="s">
        <v>124</v>
      </c>
      <c r="Q430" s="148" t="s">
        <v>721</v>
      </c>
      <c r="R430" s="148" t="s">
        <v>132</v>
      </c>
      <c r="S430" s="148" t="s">
        <v>119</v>
      </c>
      <c r="T430" s="148" t="s">
        <v>126</v>
      </c>
      <c r="U430" s="145">
        <f>D430+E430</f>
        <v>155</v>
      </c>
      <c r="V430" s="149"/>
      <c r="W430" s="145">
        <f>D430+E430+F430</f>
        <v>236</v>
      </c>
      <c r="X430" s="149"/>
    </row>
    <row r="431" customHeight="1" spans="1:24">
      <c r="A431" s="153">
        <v>605</v>
      </c>
      <c r="B431" s="154" t="s">
        <v>722</v>
      </c>
      <c r="C431" s="144">
        <v>13</v>
      </c>
      <c r="D431" s="145">
        <v>76</v>
      </c>
      <c r="E431" s="145">
        <v>83</v>
      </c>
      <c r="F431" s="145">
        <v>69</v>
      </c>
      <c r="G431" s="145">
        <v>84</v>
      </c>
      <c r="H431" s="145">
        <v>76</v>
      </c>
      <c r="I431" s="145">
        <f>SUM(D431:H431)</f>
        <v>388</v>
      </c>
      <c r="J431" s="145">
        <v>105</v>
      </c>
      <c r="K431" s="147" t="s">
        <v>130</v>
      </c>
      <c r="L431" s="147" t="s">
        <v>114</v>
      </c>
      <c r="M431" s="147" t="s">
        <v>114</v>
      </c>
      <c r="N431" s="147" t="s">
        <v>124</v>
      </c>
      <c r="O431" s="147" t="s">
        <v>130</v>
      </c>
      <c r="P431" s="147" t="s">
        <v>114</v>
      </c>
      <c r="Q431" s="148" t="s">
        <v>483</v>
      </c>
      <c r="R431" s="148" t="s">
        <v>119</v>
      </c>
      <c r="S431" s="148" t="s">
        <v>136</v>
      </c>
      <c r="T431" s="148" t="s">
        <v>120</v>
      </c>
      <c r="U431" s="145">
        <f>D431+E431</f>
        <v>159</v>
      </c>
      <c r="V431" s="149"/>
      <c r="W431" s="145">
        <f>D431+E431+F431</f>
        <v>228</v>
      </c>
      <c r="X431" s="149"/>
    </row>
    <row r="432" customHeight="1" spans="1:24">
      <c r="A432" s="153">
        <v>623</v>
      </c>
      <c r="B432" s="154" t="s">
        <v>723</v>
      </c>
      <c r="C432" s="144">
        <v>18</v>
      </c>
      <c r="D432" s="145">
        <v>91</v>
      </c>
      <c r="E432" s="145">
        <v>60</v>
      </c>
      <c r="F432" s="145">
        <v>88</v>
      </c>
      <c r="G432" s="145">
        <v>85</v>
      </c>
      <c r="H432" s="145">
        <v>76</v>
      </c>
      <c r="I432" s="145">
        <f>SUM(D432:H432)</f>
        <v>400</v>
      </c>
      <c r="J432" s="145">
        <v>30</v>
      </c>
      <c r="K432" s="147" t="s">
        <v>115</v>
      </c>
      <c r="L432" s="147" t="s">
        <v>115</v>
      </c>
      <c r="M432" s="147" t="s">
        <v>114</v>
      </c>
      <c r="N432" s="147" t="s">
        <v>114</v>
      </c>
      <c r="O432" s="147" t="s">
        <v>130</v>
      </c>
      <c r="P432" s="147" t="s">
        <v>130</v>
      </c>
      <c r="Q432" s="158" t="s">
        <v>505</v>
      </c>
      <c r="R432" s="148" t="s">
        <v>119</v>
      </c>
      <c r="S432" s="148" t="s">
        <v>136</v>
      </c>
      <c r="T432" s="148" t="s">
        <v>120</v>
      </c>
      <c r="U432" s="145">
        <f>D432+E432</f>
        <v>151</v>
      </c>
      <c r="V432" s="148" t="s">
        <v>506</v>
      </c>
      <c r="W432" s="145">
        <f>D432+E432+F432</f>
        <v>239</v>
      </c>
      <c r="X432" s="149"/>
    </row>
    <row r="433" customHeight="1" spans="1:24">
      <c r="A433" s="153">
        <v>401</v>
      </c>
      <c r="B433" s="154" t="s">
        <v>724</v>
      </c>
      <c r="C433" s="144">
        <v>3</v>
      </c>
      <c r="D433" s="145">
        <v>41</v>
      </c>
      <c r="E433" s="145">
        <v>32</v>
      </c>
      <c r="F433" s="145">
        <v>80</v>
      </c>
      <c r="G433" s="145">
        <v>75</v>
      </c>
      <c r="H433" s="145">
        <v>75</v>
      </c>
      <c r="I433" s="145">
        <f>SUM(D433:H433)</f>
        <v>303</v>
      </c>
      <c r="J433" s="145">
        <v>31</v>
      </c>
      <c r="K433" s="147" t="s">
        <v>124</v>
      </c>
      <c r="L433" s="147" t="s">
        <v>124</v>
      </c>
      <c r="M433" s="147" t="s">
        <v>124</v>
      </c>
      <c r="N433" s="147" t="s">
        <v>124</v>
      </c>
      <c r="O433" s="147" t="s">
        <v>130</v>
      </c>
      <c r="P433" s="147" t="s">
        <v>124</v>
      </c>
      <c r="Q433" s="148" t="s">
        <v>316</v>
      </c>
      <c r="R433" s="148" t="s">
        <v>132</v>
      </c>
      <c r="S433" s="148" t="s">
        <v>119</v>
      </c>
      <c r="T433" s="148" t="s">
        <v>120</v>
      </c>
      <c r="U433" s="145">
        <f>D433+E433</f>
        <v>73</v>
      </c>
      <c r="V433" s="149"/>
      <c r="W433" s="145">
        <f>D433+E433+F433</f>
        <v>153</v>
      </c>
      <c r="X433" s="149"/>
    </row>
    <row r="434" customHeight="1" spans="1:24">
      <c r="A434" s="153">
        <v>781</v>
      </c>
      <c r="B434" s="156" t="s">
        <v>725</v>
      </c>
      <c r="C434" s="144">
        <v>1</v>
      </c>
      <c r="D434" s="145">
        <v>32</v>
      </c>
      <c r="E434" s="145">
        <v>54</v>
      </c>
      <c r="F434" s="145">
        <v>89</v>
      </c>
      <c r="G434" s="145">
        <v>89</v>
      </c>
      <c r="H434" s="145">
        <v>75</v>
      </c>
      <c r="I434" s="145">
        <f>SUM(D434:H434)</f>
        <v>339</v>
      </c>
      <c r="J434" s="145">
        <v>125</v>
      </c>
      <c r="K434" s="147" t="s">
        <v>124</v>
      </c>
      <c r="L434" s="147" t="s">
        <v>124</v>
      </c>
      <c r="M434" s="147" t="s">
        <v>124</v>
      </c>
      <c r="N434" s="147" t="s">
        <v>124</v>
      </c>
      <c r="O434" s="147" t="s">
        <v>130</v>
      </c>
      <c r="P434" s="147" t="s">
        <v>130</v>
      </c>
      <c r="Q434" s="148" t="s">
        <v>330</v>
      </c>
      <c r="R434" s="148" t="s">
        <v>119</v>
      </c>
      <c r="S434" s="148" t="s">
        <v>133</v>
      </c>
      <c r="T434" s="148" t="s">
        <v>148</v>
      </c>
      <c r="U434" s="145">
        <f>D434+E434</f>
        <v>86</v>
      </c>
      <c r="V434" s="149"/>
      <c r="W434" s="145">
        <f>D434+E434+F434</f>
        <v>175</v>
      </c>
      <c r="X434" s="252"/>
    </row>
    <row r="435" customHeight="1" spans="1:24">
      <c r="A435" s="153">
        <v>466</v>
      </c>
      <c r="B435" s="154" t="s">
        <v>726</v>
      </c>
      <c r="C435" s="144">
        <v>4</v>
      </c>
      <c r="D435" s="145">
        <v>51</v>
      </c>
      <c r="E435" s="145">
        <v>45</v>
      </c>
      <c r="F435" s="145">
        <v>89</v>
      </c>
      <c r="G435" s="145">
        <v>85</v>
      </c>
      <c r="H435" s="145">
        <v>75</v>
      </c>
      <c r="I435" s="145">
        <f>SUM(D435:H435)</f>
        <v>345</v>
      </c>
      <c r="J435" s="145">
        <v>94</v>
      </c>
      <c r="K435" s="147" t="s">
        <v>124</v>
      </c>
      <c r="L435" s="147" t="s">
        <v>124</v>
      </c>
      <c r="M435" s="147" t="s">
        <v>124</v>
      </c>
      <c r="N435" s="147" t="s">
        <v>124</v>
      </c>
      <c r="O435" s="147" t="s">
        <v>130</v>
      </c>
      <c r="P435" s="147" t="s">
        <v>124</v>
      </c>
      <c r="Q435" s="148" t="s">
        <v>499</v>
      </c>
      <c r="R435" s="148" t="s">
        <v>119</v>
      </c>
      <c r="S435" s="148" t="s">
        <v>119</v>
      </c>
      <c r="T435" s="148" t="s">
        <v>120</v>
      </c>
      <c r="U435" s="145">
        <f>D435+E435</f>
        <v>96</v>
      </c>
      <c r="V435" s="149"/>
      <c r="W435" s="145">
        <f>D435+E435+F435</f>
        <v>185</v>
      </c>
      <c r="X435" s="149"/>
    </row>
    <row r="436" customHeight="1" spans="1:24">
      <c r="A436" s="153">
        <v>609</v>
      </c>
      <c r="B436" s="143" t="s">
        <v>727</v>
      </c>
      <c r="C436" s="144">
        <v>1</v>
      </c>
      <c r="D436" s="145">
        <v>63</v>
      </c>
      <c r="E436" s="145">
        <v>54</v>
      </c>
      <c r="F436" s="145">
        <v>83</v>
      </c>
      <c r="G436" s="145">
        <v>78</v>
      </c>
      <c r="H436" s="145">
        <v>75</v>
      </c>
      <c r="I436" s="145">
        <f>SUM(D436:H436)</f>
        <v>353</v>
      </c>
      <c r="J436" s="145">
        <v>28</v>
      </c>
      <c r="K436" s="147" t="s">
        <v>124</v>
      </c>
      <c r="L436" s="147" t="s">
        <v>130</v>
      </c>
      <c r="M436" s="147" t="s">
        <v>124</v>
      </c>
      <c r="N436" s="147" t="s">
        <v>124</v>
      </c>
      <c r="O436" s="147" t="s">
        <v>130</v>
      </c>
      <c r="P436" s="147" t="s">
        <v>130</v>
      </c>
      <c r="Q436" s="149"/>
      <c r="R436" s="148" t="s">
        <v>119</v>
      </c>
      <c r="S436" s="148" t="s">
        <v>119</v>
      </c>
      <c r="T436" s="148" t="s">
        <v>120</v>
      </c>
      <c r="U436" s="145">
        <f>D436+E436</f>
        <v>117</v>
      </c>
      <c r="V436" s="149"/>
      <c r="W436" s="145">
        <f>D436+E436+F436</f>
        <v>200</v>
      </c>
      <c r="X436" s="252"/>
    </row>
    <row r="437" customHeight="1" spans="1:24">
      <c r="A437" s="153">
        <v>413</v>
      </c>
      <c r="B437" s="154" t="s">
        <v>728</v>
      </c>
      <c r="C437" s="144">
        <v>9</v>
      </c>
      <c r="D437" s="145">
        <v>80</v>
      </c>
      <c r="E437" s="145">
        <v>86</v>
      </c>
      <c r="F437" s="145">
        <v>57</v>
      </c>
      <c r="G437" s="145">
        <v>68</v>
      </c>
      <c r="H437" s="145">
        <v>75</v>
      </c>
      <c r="I437" s="145">
        <f>SUM(D437:H437)</f>
        <v>366</v>
      </c>
      <c r="J437" s="145">
        <v>148</v>
      </c>
      <c r="K437" s="147" t="s">
        <v>130</v>
      </c>
      <c r="L437" s="147" t="s">
        <v>130</v>
      </c>
      <c r="M437" s="147" t="s">
        <v>114</v>
      </c>
      <c r="N437" s="147" t="s">
        <v>115</v>
      </c>
      <c r="O437" s="147" t="s">
        <v>130</v>
      </c>
      <c r="P437" s="147" t="s">
        <v>124</v>
      </c>
      <c r="Q437" s="148" t="s">
        <v>393</v>
      </c>
      <c r="R437" s="148" t="s">
        <v>132</v>
      </c>
      <c r="S437" s="148" t="s">
        <v>119</v>
      </c>
      <c r="T437" s="148" t="s">
        <v>250</v>
      </c>
      <c r="U437" s="145">
        <f>D437+E437</f>
        <v>166</v>
      </c>
      <c r="V437" s="149"/>
      <c r="W437" s="145">
        <f>D437+E437+F437</f>
        <v>223</v>
      </c>
      <c r="X437" s="149"/>
    </row>
    <row r="438" customHeight="1" spans="1:24">
      <c r="A438" s="153">
        <v>596</v>
      </c>
      <c r="B438" s="154" t="s">
        <v>729</v>
      </c>
      <c r="C438" s="144">
        <v>1</v>
      </c>
      <c r="D438" s="145">
        <v>72</v>
      </c>
      <c r="E438" s="145">
        <v>67</v>
      </c>
      <c r="F438" s="145">
        <v>75</v>
      </c>
      <c r="G438" s="145">
        <v>78</v>
      </c>
      <c r="H438" s="145">
        <v>75</v>
      </c>
      <c r="I438" s="145">
        <f>SUM(D438:H438)</f>
        <v>367</v>
      </c>
      <c r="J438" s="145">
        <v>112</v>
      </c>
      <c r="K438" s="147" t="s">
        <v>124</v>
      </c>
      <c r="L438" s="147" t="s">
        <v>130</v>
      </c>
      <c r="M438" s="147" t="s">
        <v>114</v>
      </c>
      <c r="N438" s="147" t="s">
        <v>124</v>
      </c>
      <c r="O438" s="147" t="s">
        <v>130</v>
      </c>
      <c r="P438" s="147" t="s">
        <v>114</v>
      </c>
      <c r="Q438" s="148" t="s">
        <v>205</v>
      </c>
      <c r="R438" s="148" t="s">
        <v>119</v>
      </c>
      <c r="S438" s="148" t="s">
        <v>136</v>
      </c>
      <c r="T438" s="148" t="s">
        <v>120</v>
      </c>
      <c r="U438" s="145">
        <f>D438+E438</f>
        <v>139</v>
      </c>
      <c r="V438" s="149"/>
      <c r="W438" s="145">
        <f>D438+E438+F438</f>
        <v>214</v>
      </c>
      <c r="X438" s="252"/>
    </row>
    <row r="439" customHeight="1" spans="1:24">
      <c r="A439" s="153">
        <v>462</v>
      </c>
      <c r="B439" s="154" t="s">
        <v>730</v>
      </c>
      <c r="C439" s="144">
        <v>3</v>
      </c>
      <c r="D439" s="145">
        <v>72</v>
      </c>
      <c r="E439" s="145">
        <v>78</v>
      </c>
      <c r="F439" s="145">
        <v>94</v>
      </c>
      <c r="G439" s="145">
        <v>74</v>
      </c>
      <c r="H439" s="145">
        <v>75</v>
      </c>
      <c r="I439" s="145">
        <f>SUM(D439:H439)</f>
        <v>393</v>
      </c>
      <c r="J439" s="145">
        <v>12</v>
      </c>
      <c r="K439" s="147" t="s">
        <v>130</v>
      </c>
      <c r="L439" s="147" t="s">
        <v>130</v>
      </c>
      <c r="M439" s="147" t="s">
        <v>114</v>
      </c>
      <c r="N439" s="147" t="s">
        <v>114</v>
      </c>
      <c r="O439" s="147" t="s">
        <v>130</v>
      </c>
      <c r="P439" s="147" t="s">
        <v>124</v>
      </c>
      <c r="Q439" s="148" t="s">
        <v>429</v>
      </c>
      <c r="R439" s="148" t="s">
        <v>132</v>
      </c>
      <c r="S439" s="148" t="s">
        <v>119</v>
      </c>
      <c r="T439" s="148" t="s">
        <v>126</v>
      </c>
      <c r="U439" s="145">
        <f>D439+E439</f>
        <v>150</v>
      </c>
      <c r="V439" s="149"/>
      <c r="W439" s="145">
        <f>D439+E439+F439</f>
        <v>244</v>
      </c>
      <c r="X439" s="149"/>
    </row>
    <row r="440" customHeight="1" spans="1:24">
      <c r="A440" s="153">
        <v>648</v>
      </c>
      <c r="B440" s="143" t="s">
        <v>731</v>
      </c>
      <c r="C440" s="144">
        <v>1</v>
      </c>
      <c r="D440" s="145">
        <v>67</v>
      </c>
      <c r="E440" s="145">
        <v>53</v>
      </c>
      <c r="F440" s="145">
        <v>73</v>
      </c>
      <c r="G440" s="145">
        <v>82</v>
      </c>
      <c r="H440" s="145">
        <v>74</v>
      </c>
      <c r="I440" s="145">
        <f>SUM(D440:H440)</f>
        <v>349</v>
      </c>
      <c r="J440" s="145">
        <v>57</v>
      </c>
      <c r="K440" s="147" t="s">
        <v>124</v>
      </c>
      <c r="L440" s="147" t="s">
        <v>130</v>
      </c>
      <c r="M440" s="147" t="s">
        <v>130</v>
      </c>
      <c r="N440" s="147" t="s">
        <v>130</v>
      </c>
      <c r="O440" s="147" t="s">
        <v>130</v>
      </c>
      <c r="P440" s="147" t="s">
        <v>130</v>
      </c>
      <c r="Q440" s="149"/>
      <c r="R440" s="148" t="s">
        <v>132</v>
      </c>
      <c r="S440" s="148" t="s">
        <v>119</v>
      </c>
      <c r="T440" s="148" t="s">
        <v>120</v>
      </c>
      <c r="U440" s="145">
        <f>D440+E440</f>
        <v>120</v>
      </c>
      <c r="V440" s="149"/>
      <c r="W440" s="145">
        <f>D440+E440+F440</f>
        <v>193</v>
      </c>
      <c r="X440" s="252"/>
    </row>
    <row r="441" customHeight="1" spans="1:24">
      <c r="A441" s="153">
        <v>478</v>
      </c>
      <c r="B441" s="154" t="s">
        <v>732</v>
      </c>
      <c r="C441" s="144">
        <v>3</v>
      </c>
      <c r="D441" s="145">
        <v>77</v>
      </c>
      <c r="E441" s="145">
        <v>65</v>
      </c>
      <c r="F441" s="145">
        <v>66</v>
      </c>
      <c r="G441" s="145">
        <v>71</v>
      </c>
      <c r="H441" s="145">
        <v>74</v>
      </c>
      <c r="I441" s="145">
        <f>SUM(D441:H441)</f>
        <v>353</v>
      </c>
      <c r="J441" s="145">
        <v>45</v>
      </c>
      <c r="K441" s="147" t="s">
        <v>114</v>
      </c>
      <c r="L441" s="147" t="s">
        <v>130</v>
      </c>
      <c r="M441" s="147" t="s">
        <v>130</v>
      </c>
      <c r="N441" s="147" t="s">
        <v>124</v>
      </c>
      <c r="O441" s="147" t="s">
        <v>130</v>
      </c>
      <c r="P441" s="147" t="s">
        <v>115</v>
      </c>
      <c r="Q441" s="148" t="s">
        <v>245</v>
      </c>
      <c r="R441" s="148" t="s">
        <v>132</v>
      </c>
      <c r="S441" s="148" t="s">
        <v>119</v>
      </c>
      <c r="T441" s="148" t="s">
        <v>120</v>
      </c>
      <c r="U441" s="145">
        <f>D441+E441</f>
        <v>142</v>
      </c>
      <c r="V441" s="149"/>
      <c r="W441" s="145">
        <f>D441+E441+F441</f>
        <v>208</v>
      </c>
      <c r="X441" s="149"/>
    </row>
    <row r="442" customHeight="1" spans="1:24">
      <c r="A442" s="153">
        <v>572</v>
      </c>
      <c r="B442" s="154" t="s">
        <v>733</v>
      </c>
      <c r="C442" s="144">
        <v>1</v>
      </c>
      <c r="D442" s="145">
        <v>71</v>
      </c>
      <c r="E442" s="145">
        <v>62</v>
      </c>
      <c r="F442" s="145">
        <v>69</v>
      </c>
      <c r="G442" s="145">
        <v>82</v>
      </c>
      <c r="H442" s="145">
        <v>74</v>
      </c>
      <c r="I442" s="145">
        <f>SUM(D442:H442)</f>
        <v>358</v>
      </c>
      <c r="J442" s="145">
        <v>32</v>
      </c>
      <c r="K442" s="147" t="s">
        <v>130</v>
      </c>
      <c r="L442" s="147" t="s">
        <v>114</v>
      </c>
      <c r="M442" s="147" t="s">
        <v>130</v>
      </c>
      <c r="N442" s="147" t="s">
        <v>130</v>
      </c>
      <c r="O442" s="147" t="s">
        <v>130</v>
      </c>
      <c r="P442" s="147" t="s">
        <v>130</v>
      </c>
      <c r="Q442" s="148" t="s">
        <v>365</v>
      </c>
      <c r="R442" s="148" t="s">
        <v>132</v>
      </c>
      <c r="S442" s="148" t="s">
        <v>119</v>
      </c>
      <c r="T442" s="148" t="s">
        <v>250</v>
      </c>
      <c r="U442" s="145">
        <f>D442+E442</f>
        <v>133</v>
      </c>
      <c r="V442" s="149"/>
      <c r="W442" s="145">
        <f>D442+E442+F442</f>
        <v>202</v>
      </c>
      <c r="X442" s="252"/>
    </row>
    <row r="443" customHeight="1" spans="1:24">
      <c r="A443" s="153">
        <v>796</v>
      </c>
      <c r="B443" s="154" t="s">
        <v>734</v>
      </c>
      <c r="C443" s="144">
        <v>9</v>
      </c>
      <c r="D443" s="145">
        <v>69</v>
      </c>
      <c r="E443" s="145">
        <v>58</v>
      </c>
      <c r="F443" s="145">
        <v>87</v>
      </c>
      <c r="G443" s="145">
        <v>73</v>
      </c>
      <c r="H443" s="145">
        <v>74</v>
      </c>
      <c r="I443" s="145">
        <f>SUM(D443:H443)</f>
        <v>361</v>
      </c>
      <c r="J443" s="145">
        <v>94</v>
      </c>
      <c r="K443" s="147" t="s">
        <v>130</v>
      </c>
      <c r="L443" s="147" t="s">
        <v>130</v>
      </c>
      <c r="M443" s="147" t="s">
        <v>130</v>
      </c>
      <c r="N443" s="147" t="s">
        <v>124</v>
      </c>
      <c r="O443" s="147" t="s">
        <v>130</v>
      </c>
      <c r="P443" s="147" t="s">
        <v>130</v>
      </c>
      <c r="Q443" s="158" t="s">
        <v>522</v>
      </c>
      <c r="R443" s="148" t="s">
        <v>175</v>
      </c>
      <c r="S443" s="148" t="s">
        <v>136</v>
      </c>
      <c r="T443" s="148" t="s">
        <v>120</v>
      </c>
      <c r="U443" s="145">
        <f>D443+E443</f>
        <v>127</v>
      </c>
      <c r="V443" s="148" t="s">
        <v>523</v>
      </c>
      <c r="W443" s="145">
        <f>D443+E443+F443</f>
        <v>214</v>
      </c>
      <c r="X443" s="149"/>
    </row>
    <row r="444" customHeight="1" spans="1:24">
      <c r="A444" s="153">
        <v>624</v>
      </c>
      <c r="B444" s="154" t="s">
        <v>735</v>
      </c>
      <c r="C444" s="144">
        <v>3</v>
      </c>
      <c r="D444" s="145">
        <v>68</v>
      </c>
      <c r="E444" s="145">
        <v>69</v>
      </c>
      <c r="F444" s="145">
        <v>75</v>
      </c>
      <c r="G444" s="145">
        <v>84</v>
      </c>
      <c r="H444" s="145">
        <v>74</v>
      </c>
      <c r="I444" s="145">
        <f>SUM(D444:H444)</f>
        <v>370</v>
      </c>
      <c r="J444" s="145">
        <v>60</v>
      </c>
      <c r="K444" s="147" t="s">
        <v>130</v>
      </c>
      <c r="L444" s="147" t="s">
        <v>130</v>
      </c>
      <c r="M444" s="147" t="s">
        <v>130</v>
      </c>
      <c r="N444" s="147" t="s">
        <v>130</v>
      </c>
      <c r="O444" s="147" t="s">
        <v>130</v>
      </c>
      <c r="P444" s="147" t="s">
        <v>130</v>
      </c>
      <c r="Q444" s="148" t="s">
        <v>636</v>
      </c>
      <c r="R444" s="148" t="s">
        <v>119</v>
      </c>
      <c r="S444" s="148" t="s">
        <v>136</v>
      </c>
      <c r="T444" s="148" t="s">
        <v>120</v>
      </c>
      <c r="U444" s="145">
        <f>D444+E444</f>
        <v>137</v>
      </c>
      <c r="V444" s="149"/>
      <c r="W444" s="145">
        <f>D444+E444+F444</f>
        <v>212</v>
      </c>
      <c r="X444" s="149"/>
    </row>
    <row r="445" customHeight="1" spans="1:24">
      <c r="A445" s="153">
        <v>383</v>
      </c>
      <c r="B445" s="154" t="s">
        <v>736</v>
      </c>
      <c r="C445" s="144">
        <v>4</v>
      </c>
      <c r="D445" s="145">
        <v>71</v>
      </c>
      <c r="E445" s="145">
        <v>59</v>
      </c>
      <c r="F445" s="145">
        <v>63</v>
      </c>
      <c r="G445" s="145">
        <v>75</v>
      </c>
      <c r="H445" s="145">
        <v>73</v>
      </c>
      <c r="I445" s="145">
        <f>SUM(D445:H445)</f>
        <v>341</v>
      </c>
      <c r="J445" s="145">
        <v>144</v>
      </c>
      <c r="K445" s="147" t="s">
        <v>124</v>
      </c>
      <c r="L445" s="147" t="s">
        <v>124</v>
      </c>
      <c r="M445" s="147" t="s">
        <v>130</v>
      </c>
      <c r="N445" s="147" t="s">
        <v>114</v>
      </c>
      <c r="O445" s="147" t="s">
        <v>130</v>
      </c>
      <c r="P445" s="147" t="s">
        <v>124</v>
      </c>
      <c r="Q445" s="148" t="s">
        <v>170</v>
      </c>
      <c r="R445" s="148" t="s">
        <v>132</v>
      </c>
      <c r="S445" s="148" t="s">
        <v>133</v>
      </c>
      <c r="T445" s="148" t="s">
        <v>148</v>
      </c>
      <c r="U445" s="145">
        <f>D445+E445</f>
        <v>130</v>
      </c>
      <c r="V445" s="149"/>
      <c r="W445" s="145">
        <f>D445+E445+F445</f>
        <v>193</v>
      </c>
      <c r="X445" s="149"/>
    </row>
    <row r="446" customHeight="1" spans="1:24">
      <c r="A446" s="153">
        <v>385</v>
      </c>
      <c r="B446" s="154" t="s">
        <v>737</v>
      </c>
      <c r="C446" s="144">
        <v>5</v>
      </c>
      <c r="D446" s="145">
        <v>70</v>
      </c>
      <c r="E446" s="145">
        <v>73</v>
      </c>
      <c r="F446" s="145">
        <v>60</v>
      </c>
      <c r="G446" s="145">
        <v>74</v>
      </c>
      <c r="H446" s="145">
        <v>73</v>
      </c>
      <c r="I446" s="145">
        <f>SUM(D446:H446)</f>
        <v>350</v>
      </c>
      <c r="J446" s="145">
        <v>143</v>
      </c>
      <c r="K446" s="147" t="s">
        <v>114</v>
      </c>
      <c r="L446" s="147" t="s">
        <v>130</v>
      </c>
      <c r="M446" s="147" t="s">
        <v>114</v>
      </c>
      <c r="N446" s="147" t="s">
        <v>114</v>
      </c>
      <c r="O446" s="147" t="s">
        <v>130</v>
      </c>
      <c r="P446" s="147" t="s">
        <v>124</v>
      </c>
      <c r="Q446" s="148" t="s">
        <v>402</v>
      </c>
      <c r="R446" s="148" t="s">
        <v>132</v>
      </c>
      <c r="S446" s="148" t="s">
        <v>119</v>
      </c>
      <c r="T446" s="148" t="s">
        <v>250</v>
      </c>
      <c r="U446" s="145">
        <f>D446+E446</f>
        <v>143</v>
      </c>
      <c r="V446" s="149"/>
      <c r="W446" s="145">
        <f>D446+E446+F446</f>
        <v>203</v>
      </c>
      <c r="X446" s="149"/>
    </row>
    <row r="447" customHeight="1" spans="1:24">
      <c r="A447" s="153">
        <v>655</v>
      </c>
      <c r="B447" s="154" t="s">
        <v>738</v>
      </c>
      <c r="C447" s="144">
        <v>18</v>
      </c>
      <c r="D447" s="145">
        <v>82</v>
      </c>
      <c r="E447" s="145">
        <v>92</v>
      </c>
      <c r="F447" s="145">
        <v>56</v>
      </c>
      <c r="G447" s="145">
        <v>57</v>
      </c>
      <c r="H447" s="145">
        <v>73</v>
      </c>
      <c r="I447" s="145">
        <f>SUM(D447:H447)</f>
        <v>360</v>
      </c>
      <c r="J447" s="145">
        <v>59</v>
      </c>
      <c r="K447" s="147" t="s">
        <v>130</v>
      </c>
      <c r="L447" s="147" t="s">
        <v>130</v>
      </c>
      <c r="M447" s="147" t="s">
        <v>115</v>
      </c>
      <c r="N447" s="147" t="s">
        <v>114</v>
      </c>
      <c r="O447" s="147" t="s">
        <v>130</v>
      </c>
      <c r="P447" s="147" t="s">
        <v>115</v>
      </c>
      <c r="Q447" s="158" t="s">
        <v>431</v>
      </c>
      <c r="R447" s="148" t="s">
        <v>132</v>
      </c>
      <c r="S447" s="148" t="s">
        <v>119</v>
      </c>
      <c r="T447" s="148" t="s">
        <v>250</v>
      </c>
      <c r="U447" s="145">
        <f>D447+E447</f>
        <v>174</v>
      </c>
      <c r="V447" s="148" t="s">
        <v>432</v>
      </c>
      <c r="W447" s="145">
        <f>D447+E447+F447</f>
        <v>230</v>
      </c>
      <c r="X447" s="149"/>
    </row>
    <row r="448" customHeight="1" spans="1:24">
      <c r="A448" s="153">
        <v>36</v>
      </c>
      <c r="B448" s="154" t="s">
        <v>739</v>
      </c>
      <c r="C448" s="144">
        <v>23</v>
      </c>
      <c r="D448" s="145">
        <v>93</v>
      </c>
      <c r="E448" s="145">
        <v>86</v>
      </c>
      <c r="F448" s="145">
        <v>59</v>
      </c>
      <c r="G448" s="145">
        <v>55</v>
      </c>
      <c r="H448" s="145">
        <v>73</v>
      </c>
      <c r="I448" s="145">
        <f>SUM(D448:H448)</f>
        <v>366</v>
      </c>
      <c r="J448" s="145">
        <v>23</v>
      </c>
      <c r="K448" s="147" t="s">
        <v>115</v>
      </c>
      <c r="L448" s="147" t="s">
        <v>115</v>
      </c>
      <c r="M448" s="147" t="s">
        <v>114</v>
      </c>
      <c r="N448" s="147" t="s">
        <v>130</v>
      </c>
      <c r="O448" s="147" t="s">
        <v>130</v>
      </c>
      <c r="P448" s="147" t="s">
        <v>124</v>
      </c>
      <c r="Q448" s="148" t="s">
        <v>184</v>
      </c>
      <c r="R448" s="148" t="s">
        <v>132</v>
      </c>
      <c r="S448" s="148" t="s">
        <v>119</v>
      </c>
      <c r="T448" s="148" t="s">
        <v>126</v>
      </c>
      <c r="U448" s="145">
        <f>D448+E448</f>
        <v>179</v>
      </c>
      <c r="V448" s="149"/>
      <c r="W448" s="145">
        <f>D448+E448+F448</f>
        <v>238</v>
      </c>
      <c r="X448" s="149"/>
    </row>
    <row r="449" customHeight="1" spans="1:24">
      <c r="A449" s="153">
        <v>532</v>
      </c>
      <c r="B449" s="154" t="s">
        <v>740</v>
      </c>
      <c r="C449" s="144">
        <v>13</v>
      </c>
      <c r="D449" s="145">
        <v>88</v>
      </c>
      <c r="E449" s="145">
        <v>82</v>
      </c>
      <c r="F449" s="145">
        <v>62</v>
      </c>
      <c r="G449" s="145">
        <v>66</v>
      </c>
      <c r="H449" s="145">
        <v>73</v>
      </c>
      <c r="I449" s="145">
        <f>SUM(D449:H449)</f>
        <v>371</v>
      </c>
      <c r="J449" s="145">
        <v>41</v>
      </c>
      <c r="K449" s="147" t="s">
        <v>115</v>
      </c>
      <c r="L449" s="147" t="s">
        <v>114</v>
      </c>
      <c r="M449" s="147" t="s">
        <v>130</v>
      </c>
      <c r="N449" s="147" t="s">
        <v>115</v>
      </c>
      <c r="O449" s="147" t="s">
        <v>130</v>
      </c>
      <c r="P449" s="147" t="s">
        <v>130</v>
      </c>
      <c r="Q449" s="148" t="s">
        <v>472</v>
      </c>
      <c r="R449" s="148" t="s">
        <v>132</v>
      </c>
      <c r="S449" s="148" t="s">
        <v>119</v>
      </c>
      <c r="T449" s="148" t="s">
        <v>126</v>
      </c>
      <c r="U449" s="145">
        <f>D449+E449</f>
        <v>170</v>
      </c>
      <c r="V449" s="149"/>
      <c r="W449" s="145">
        <f>D449+E449+F449</f>
        <v>232</v>
      </c>
      <c r="X449" s="149"/>
    </row>
    <row r="450" customHeight="1" spans="1:24">
      <c r="A450" s="153">
        <v>162</v>
      </c>
      <c r="B450" s="154" t="s">
        <v>741</v>
      </c>
      <c r="C450" s="144">
        <v>47</v>
      </c>
      <c r="D450" s="167">
        <v>103</v>
      </c>
      <c r="E450" s="145">
        <v>84</v>
      </c>
      <c r="F450" s="145">
        <v>66</v>
      </c>
      <c r="G450" s="145">
        <v>59</v>
      </c>
      <c r="H450" s="145">
        <v>73</v>
      </c>
      <c r="I450" s="145">
        <f>SUM(D450:H450)</f>
        <v>385</v>
      </c>
      <c r="J450" s="145">
        <v>75</v>
      </c>
      <c r="K450" s="160" t="s">
        <v>123</v>
      </c>
      <c r="L450" s="147" t="s">
        <v>115</v>
      </c>
      <c r="M450" s="147" t="s">
        <v>114</v>
      </c>
      <c r="N450" s="160" t="s">
        <v>123</v>
      </c>
      <c r="O450" s="147" t="s">
        <v>130</v>
      </c>
      <c r="P450" s="147" t="s">
        <v>130</v>
      </c>
      <c r="Q450" s="171" t="s">
        <v>742</v>
      </c>
      <c r="R450" s="148" t="s">
        <v>118</v>
      </c>
      <c r="S450" s="148" t="s">
        <v>133</v>
      </c>
      <c r="T450" s="148" t="s">
        <v>120</v>
      </c>
      <c r="U450" s="145">
        <f>D450+E450</f>
        <v>187</v>
      </c>
      <c r="V450" s="172" t="s">
        <v>743</v>
      </c>
      <c r="W450" s="145">
        <f>D450+E450+F450</f>
        <v>253</v>
      </c>
      <c r="X450" s="149"/>
    </row>
    <row r="451" customHeight="1" spans="1:24">
      <c r="A451" s="153">
        <v>500</v>
      </c>
      <c r="B451" s="175" t="s">
        <v>744</v>
      </c>
      <c r="C451" s="144">
        <v>20</v>
      </c>
      <c r="D451" s="145">
        <v>91</v>
      </c>
      <c r="E451" s="145">
        <v>87</v>
      </c>
      <c r="F451" s="145">
        <v>79</v>
      </c>
      <c r="G451" s="145">
        <v>59</v>
      </c>
      <c r="H451" s="145">
        <v>73</v>
      </c>
      <c r="I451" s="145">
        <f>SUM(D451:H451)</f>
        <v>389</v>
      </c>
      <c r="J451" s="145">
        <v>44</v>
      </c>
      <c r="K451" s="147" t="s">
        <v>115</v>
      </c>
      <c r="L451" s="147" t="s">
        <v>114</v>
      </c>
      <c r="M451" s="147" t="s">
        <v>114</v>
      </c>
      <c r="N451" s="147" t="s">
        <v>115</v>
      </c>
      <c r="O451" s="147" t="s">
        <v>130</v>
      </c>
      <c r="P451" s="147" t="s">
        <v>130</v>
      </c>
      <c r="Q451" s="182" t="s">
        <v>655</v>
      </c>
      <c r="R451" s="148" t="s">
        <v>118</v>
      </c>
      <c r="S451" s="148" t="s">
        <v>133</v>
      </c>
      <c r="T451" s="148" t="s">
        <v>126</v>
      </c>
      <c r="U451" s="145">
        <f>D451+E451</f>
        <v>178</v>
      </c>
      <c r="V451" s="149"/>
      <c r="W451" s="145">
        <f>D451+E451+F451</f>
        <v>257</v>
      </c>
      <c r="X451" s="149"/>
    </row>
    <row r="452" customHeight="1" spans="1:24">
      <c r="A452" s="153">
        <v>241</v>
      </c>
      <c r="B452" s="154" t="s">
        <v>745</v>
      </c>
      <c r="C452" s="144">
        <v>14</v>
      </c>
      <c r="D452" s="145">
        <v>39</v>
      </c>
      <c r="E452" s="145">
        <v>27</v>
      </c>
      <c r="F452" s="145">
        <v>68</v>
      </c>
      <c r="G452" s="145">
        <v>83</v>
      </c>
      <c r="H452" s="145">
        <v>72</v>
      </c>
      <c r="I452" s="145">
        <f>SUM(D452:H452)</f>
        <v>289</v>
      </c>
      <c r="J452" s="145">
        <v>28</v>
      </c>
      <c r="K452" s="147" t="s">
        <v>124</v>
      </c>
      <c r="L452" s="147" t="s">
        <v>124</v>
      </c>
      <c r="M452" s="147" t="s">
        <v>124</v>
      </c>
      <c r="N452" s="147" t="s">
        <v>124</v>
      </c>
      <c r="O452" s="147" t="s">
        <v>130</v>
      </c>
      <c r="P452" s="147" t="s">
        <v>124</v>
      </c>
      <c r="Q452" s="148" t="s">
        <v>292</v>
      </c>
      <c r="R452" s="148" t="s">
        <v>132</v>
      </c>
      <c r="S452" s="148" t="s">
        <v>119</v>
      </c>
      <c r="T452" s="148" t="s">
        <v>120</v>
      </c>
      <c r="U452" s="145">
        <f>D452+E452</f>
        <v>66</v>
      </c>
      <c r="V452" s="149"/>
      <c r="W452" s="145">
        <f>D452+E452+F452</f>
        <v>134</v>
      </c>
      <c r="X452" s="149"/>
    </row>
    <row r="453" customHeight="1" spans="1:24">
      <c r="A453" s="153">
        <v>300</v>
      </c>
      <c r="B453" s="154" t="s">
        <v>746</v>
      </c>
      <c r="C453" s="144">
        <v>9</v>
      </c>
      <c r="D453" s="145">
        <v>78</v>
      </c>
      <c r="E453" s="145">
        <v>85</v>
      </c>
      <c r="F453" s="145">
        <v>53</v>
      </c>
      <c r="G453" s="145">
        <v>60</v>
      </c>
      <c r="H453" s="145">
        <v>72</v>
      </c>
      <c r="I453" s="145">
        <f>SUM(D453:H453)</f>
        <v>348</v>
      </c>
      <c r="J453" s="145">
        <v>93</v>
      </c>
      <c r="K453" s="147" t="s">
        <v>114</v>
      </c>
      <c r="L453" s="147" t="s">
        <v>114</v>
      </c>
      <c r="M453" s="147" t="s">
        <v>114</v>
      </c>
      <c r="N453" s="147" t="s">
        <v>115</v>
      </c>
      <c r="O453" s="147" t="s">
        <v>130</v>
      </c>
      <c r="P453" s="147" t="s">
        <v>130</v>
      </c>
      <c r="Q453" s="148" t="s">
        <v>239</v>
      </c>
      <c r="R453" s="148" t="s">
        <v>132</v>
      </c>
      <c r="S453" s="148" t="s">
        <v>119</v>
      </c>
      <c r="T453" s="148" t="s">
        <v>126</v>
      </c>
      <c r="U453" s="145">
        <f>D453+E453</f>
        <v>163</v>
      </c>
      <c r="V453" s="149"/>
      <c r="W453" s="145">
        <f>D453+E453+F453</f>
        <v>216</v>
      </c>
      <c r="X453" s="149"/>
    </row>
    <row r="454" customHeight="1" spans="1:24">
      <c r="A454" s="153">
        <v>363</v>
      </c>
      <c r="B454" s="154" t="s">
        <v>747</v>
      </c>
      <c r="C454" s="144">
        <v>6</v>
      </c>
      <c r="D454" s="145">
        <v>83</v>
      </c>
      <c r="E454" s="145">
        <v>76</v>
      </c>
      <c r="F454" s="145">
        <v>57</v>
      </c>
      <c r="G454" s="145">
        <v>72</v>
      </c>
      <c r="H454" s="145">
        <v>72</v>
      </c>
      <c r="I454" s="145">
        <f>SUM(D454:H454)</f>
        <v>360</v>
      </c>
      <c r="J454" s="145">
        <v>78</v>
      </c>
      <c r="K454" s="147" t="s">
        <v>115</v>
      </c>
      <c r="L454" s="147" t="s">
        <v>114</v>
      </c>
      <c r="M454" s="147" t="s">
        <v>130</v>
      </c>
      <c r="N454" s="147" t="s">
        <v>114</v>
      </c>
      <c r="O454" s="147" t="s">
        <v>130</v>
      </c>
      <c r="P454" s="147" t="s">
        <v>130</v>
      </c>
      <c r="Q454" s="148" t="s">
        <v>192</v>
      </c>
      <c r="R454" s="148" t="s">
        <v>132</v>
      </c>
      <c r="S454" s="148" t="s">
        <v>119</v>
      </c>
      <c r="T454" s="148" t="s">
        <v>250</v>
      </c>
      <c r="U454" s="145">
        <f>D454+E454</f>
        <v>159</v>
      </c>
      <c r="V454" s="149"/>
      <c r="W454" s="145">
        <f>D454+E454+F454</f>
        <v>216</v>
      </c>
      <c r="X454" s="149"/>
    </row>
    <row r="455" customHeight="1" spans="1:24">
      <c r="A455" s="153">
        <v>670</v>
      </c>
      <c r="B455" s="154" t="s">
        <v>748</v>
      </c>
      <c r="C455" s="144">
        <v>16</v>
      </c>
      <c r="D455" s="145">
        <v>77</v>
      </c>
      <c r="E455" s="145">
        <v>95</v>
      </c>
      <c r="F455" s="145">
        <v>69</v>
      </c>
      <c r="G455" s="145">
        <v>49</v>
      </c>
      <c r="H455" s="145">
        <v>72</v>
      </c>
      <c r="I455" s="145">
        <f>SUM(D455:H455)</f>
        <v>362</v>
      </c>
      <c r="J455" s="145">
        <v>64</v>
      </c>
      <c r="K455" s="147" t="s">
        <v>114</v>
      </c>
      <c r="L455" s="147" t="s">
        <v>130</v>
      </c>
      <c r="M455" s="147" t="s">
        <v>115</v>
      </c>
      <c r="N455" s="147" t="s">
        <v>130</v>
      </c>
      <c r="O455" s="147" t="s">
        <v>130</v>
      </c>
      <c r="P455" s="147" t="s">
        <v>114</v>
      </c>
      <c r="Q455" s="148" t="s">
        <v>749</v>
      </c>
      <c r="R455" s="148" t="s">
        <v>132</v>
      </c>
      <c r="S455" s="148" t="s">
        <v>119</v>
      </c>
      <c r="T455" s="148" t="s">
        <v>126</v>
      </c>
      <c r="U455" s="145">
        <f>D455+E455</f>
        <v>172</v>
      </c>
      <c r="V455" s="149"/>
      <c r="W455" s="145">
        <f>D455+E455+F455</f>
        <v>241</v>
      </c>
      <c r="X455" s="149"/>
    </row>
    <row r="456" customHeight="1" spans="1:24">
      <c r="A456" s="153">
        <v>211</v>
      </c>
      <c r="B456" s="154" t="s">
        <v>750</v>
      </c>
      <c r="C456" s="144">
        <v>2</v>
      </c>
      <c r="D456" s="145">
        <v>27</v>
      </c>
      <c r="E456" s="145">
        <v>39</v>
      </c>
      <c r="F456" s="145">
        <v>82</v>
      </c>
      <c r="G456" s="145">
        <v>75</v>
      </c>
      <c r="H456" s="145">
        <v>71</v>
      </c>
      <c r="I456" s="145">
        <f>SUM(D456:H456)</f>
        <v>294</v>
      </c>
      <c r="J456" s="145">
        <v>66</v>
      </c>
      <c r="K456" s="147" t="s">
        <v>124</v>
      </c>
      <c r="L456" s="147" t="s">
        <v>124</v>
      </c>
      <c r="M456" s="147" t="s">
        <v>124</v>
      </c>
      <c r="N456" s="147" t="s">
        <v>124</v>
      </c>
      <c r="O456" s="147" t="s">
        <v>130</v>
      </c>
      <c r="P456" s="147" t="s">
        <v>124</v>
      </c>
      <c r="Q456" s="148" t="s">
        <v>360</v>
      </c>
      <c r="R456" s="148" t="s">
        <v>119</v>
      </c>
      <c r="S456" s="148" t="s">
        <v>133</v>
      </c>
      <c r="T456" s="148" t="s">
        <v>148</v>
      </c>
      <c r="U456" s="145">
        <f>D456+E456</f>
        <v>66</v>
      </c>
      <c r="V456" s="149"/>
      <c r="W456" s="145">
        <f>D456+E456+F456</f>
        <v>148</v>
      </c>
      <c r="X456" s="149"/>
    </row>
    <row r="457" customHeight="1" spans="1:24">
      <c r="A457" s="153">
        <v>528</v>
      </c>
      <c r="B457" s="156" t="s">
        <v>751</v>
      </c>
      <c r="C457" s="144">
        <v>6</v>
      </c>
      <c r="D457" s="145">
        <v>67</v>
      </c>
      <c r="E457" s="145">
        <v>81</v>
      </c>
      <c r="F457" s="145">
        <v>33</v>
      </c>
      <c r="G457" s="145">
        <v>57</v>
      </c>
      <c r="H457" s="145">
        <v>71</v>
      </c>
      <c r="I457" s="145">
        <f>SUM(D457:H457)</f>
        <v>309</v>
      </c>
      <c r="J457" s="145">
        <v>106</v>
      </c>
      <c r="K457" s="147" t="s">
        <v>124</v>
      </c>
      <c r="L457" s="147" t="s">
        <v>130</v>
      </c>
      <c r="M457" s="147" t="s">
        <v>114</v>
      </c>
      <c r="N457" s="147" t="s">
        <v>115</v>
      </c>
      <c r="O457" s="147" t="s">
        <v>130</v>
      </c>
      <c r="P457" s="147" t="s">
        <v>124</v>
      </c>
      <c r="Q457" s="148" t="s">
        <v>402</v>
      </c>
      <c r="R457" s="148" t="s">
        <v>275</v>
      </c>
      <c r="S457" s="148" t="s">
        <v>136</v>
      </c>
      <c r="T457" s="148" t="s">
        <v>250</v>
      </c>
      <c r="U457" s="145">
        <f>D457+E457</f>
        <v>148</v>
      </c>
      <c r="V457" s="149"/>
      <c r="W457" s="145">
        <f>D457+E457+F457</f>
        <v>181</v>
      </c>
      <c r="X457" s="149"/>
    </row>
    <row r="458" customHeight="1" spans="1:24">
      <c r="A458" s="153">
        <v>569</v>
      </c>
      <c r="B458" s="154" t="s">
        <v>752</v>
      </c>
      <c r="C458" s="144">
        <v>3</v>
      </c>
      <c r="D458" s="145">
        <v>76</v>
      </c>
      <c r="E458" s="145">
        <v>86</v>
      </c>
      <c r="F458" s="145">
        <v>48</v>
      </c>
      <c r="G458" s="145">
        <v>49</v>
      </c>
      <c r="H458" s="145">
        <v>71</v>
      </c>
      <c r="I458" s="145">
        <f>SUM(D458:H458)</f>
        <v>330</v>
      </c>
      <c r="J458" s="145">
        <v>33</v>
      </c>
      <c r="K458" s="147" t="s">
        <v>115</v>
      </c>
      <c r="L458" s="147" t="s">
        <v>124</v>
      </c>
      <c r="M458" s="147" t="s">
        <v>124</v>
      </c>
      <c r="N458" s="147" t="s">
        <v>130</v>
      </c>
      <c r="O458" s="147" t="s">
        <v>130</v>
      </c>
      <c r="P458" s="147" t="s">
        <v>114</v>
      </c>
      <c r="Q458" s="149"/>
      <c r="R458" s="148" t="s">
        <v>132</v>
      </c>
      <c r="S458" s="148" t="s">
        <v>133</v>
      </c>
      <c r="T458" s="148" t="s">
        <v>126</v>
      </c>
      <c r="U458" s="145">
        <f>D458+E458</f>
        <v>162</v>
      </c>
      <c r="V458" s="149"/>
      <c r="W458" s="145">
        <f>D458+E458+F458</f>
        <v>210</v>
      </c>
      <c r="X458" s="149"/>
    </row>
    <row r="459" customHeight="1" spans="1:24">
      <c r="A459" s="153">
        <v>361</v>
      </c>
      <c r="B459" s="154" t="s">
        <v>753</v>
      </c>
      <c r="C459" s="144">
        <v>11</v>
      </c>
      <c r="D459" s="145">
        <v>75</v>
      </c>
      <c r="E459" s="145">
        <v>78</v>
      </c>
      <c r="F459" s="145">
        <v>53</v>
      </c>
      <c r="G459" s="145">
        <v>55</v>
      </c>
      <c r="H459" s="145">
        <v>71</v>
      </c>
      <c r="I459" s="145">
        <f>SUM(D459:H459)</f>
        <v>332</v>
      </c>
      <c r="J459" s="145">
        <v>78</v>
      </c>
      <c r="K459" s="147" t="s">
        <v>114</v>
      </c>
      <c r="L459" s="147" t="s">
        <v>114</v>
      </c>
      <c r="M459" s="147" t="s">
        <v>115</v>
      </c>
      <c r="N459" s="147" t="s">
        <v>124</v>
      </c>
      <c r="O459" s="147" t="s">
        <v>130</v>
      </c>
      <c r="P459" s="147" t="s">
        <v>114</v>
      </c>
      <c r="Q459" s="148" t="s">
        <v>160</v>
      </c>
      <c r="R459" s="148" t="s">
        <v>132</v>
      </c>
      <c r="S459" s="148" t="s">
        <v>119</v>
      </c>
      <c r="T459" s="148" t="s">
        <v>120</v>
      </c>
      <c r="U459" s="145">
        <f>D459+E459</f>
        <v>153</v>
      </c>
      <c r="V459" s="149"/>
      <c r="W459" s="145">
        <f>D459+E459+F459</f>
        <v>206</v>
      </c>
      <c r="X459" s="149"/>
    </row>
    <row r="460" customHeight="1" spans="1:24">
      <c r="A460" s="153">
        <v>331</v>
      </c>
      <c r="B460" s="154" t="s">
        <v>754</v>
      </c>
      <c r="C460" s="144">
        <v>5</v>
      </c>
      <c r="D460" s="145">
        <v>81</v>
      </c>
      <c r="E460" s="145">
        <v>80</v>
      </c>
      <c r="F460" s="145">
        <v>54</v>
      </c>
      <c r="G460" s="145">
        <v>47</v>
      </c>
      <c r="H460" s="145">
        <v>71</v>
      </c>
      <c r="I460" s="145">
        <f>SUM(D460:H460)</f>
        <v>333</v>
      </c>
      <c r="J460" s="145">
        <v>66</v>
      </c>
      <c r="K460" s="147" t="s">
        <v>114</v>
      </c>
      <c r="L460" s="147" t="s">
        <v>114</v>
      </c>
      <c r="M460" s="147" t="s">
        <v>114</v>
      </c>
      <c r="N460" s="147" t="s">
        <v>114</v>
      </c>
      <c r="O460" s="147" t="s">
        <v>130</v>
      </c>
      <c r="P460" s="147" t="s">
        <v>114</v>
      </c>
      <c r="Q460" s="148" t="s">
        <v>414</v>
      </c>
      <c r="R460" s="148" t="s">
        <v>132</v>
      </c>
      <c r="S460" s="148" t="s">
        <v>119</v>
      </c>
      <c r="T460" s="148" t="s">
        <v>120</v>
      </c>
      <c r="U460" s="145">
        <f>D460+E460</f>
        <v>161</v>
      </c>
      <c r="V460" s="149"/>
      <c r="W460" s="145">
        <f>D460+E460+F460</f>
        <v>215</v>
      </c>
      <c r="X460" s="149"/>
    </row>
    <row r="461" customHeight="1" spans="1:24">
      <c r="A461" s="153">
        <v>616</v>
      </c>
      <c r="B461" s="154" t="s">
        <v>755</v>
      </c>
      <c r="C461" s="144">
        <v>4</v>
      </c>
      <c r="D461" s="145">
        <v>69</v>
      </c>
      <c r="E461" s="145">
        <v>71</v>
      </c>
      <c r="F461" s="145">
        <v>61</v>
      </c>
      <c r="G461" s="145">
        <v>73</v>
      </c>
      <c r="H461" s="145">
        <v>71</v>
      </c>
      <c r="I461" s="145">
        <f>SUM(D461:H461)</f>
        <v>345</v>
      </c>
      <c r="J461" s="145">
        <v>105</v>
      </c>
      <c r="K461" s="147" t="s">
        <v>130</v>
      </c>
      <c r="L461" s="147" t="s">
        <v>130</v>
      </c>
      <c r="M461" s="147" t="s">
        <v>130</v>
      </c>
      <c r="N461" s="147" t="s">
        <v>124</v>
      </c>
      <c r="O461" s="147" t="s">
        <v>130</v>
      </c>
      <c r="P461" s="147" t="s">
        <v>130</v>
      </c>
      <c r="Q461" s="148" t="s">
        <v>606</v>
      </c>
      <c r="R461" s="148" t="s">
        <v>119</v>
      </c>
      <c r="S461" s="148" t="s">
        <v>136</v>
      </c>
      <c r="T461" s="148" t="s">
        <v>120</v>
      </c>
      <c r="U461" s="145">
        <f>D461+E461</f>
        <v>140</v>
      </c>
      <c r="V461" s="149"/>
      <c r="W461" s="145">
        <f>D461+E461+F461</f>
        <v>201</v>
      </c>
      <c r="X461" s="149"/>
    </row>
    <row r="462" customHeight="1" spans="1:24">
      <c r="A462" s="153">
        <v>122</v>
      </c>
      <c r="B462" s="143" t="s">
        <v>756</v>
      </c>
      <c r="C462" s="144">
        <v>1</v>
      </c>
      <c r="D462" s="145">
        <v>66</v>
      </c>
      <c r="E462" s="145">
        <v>51</v>
      </c>
      <c r="F462" s="145">
        <v>74</v>
      </c>
      <c r="G462" s="145">
        <v>83</v>
      </c>
      <c r="H462" s="145">
        <v>71</v>
      </c>
      <c r="I462" s="145">
        <f>SUM(D462:H462)</f>
        <v>345</v>
      </c>
      <c r="J462" s="145">
        <v>9</v>
      </c>
      <c r="K462" s="147" t="s">
        <v>130</v>
      </c>
      <c r="L462" s="147" t="s">
        <v>114</v>
      </c>
      <c r="M462" s="147" t="s">
        <v>130</v>
      </c>
      <c r="N462" s="147" t="s">
        <v>114</v>
      </c>
      <c r="O462" s="147" t="s">
        <v>130</v>
      </c>
      <c r="P462" s="147" t="s">
        <v>124</v>
      </c>
      <c r="Q462" s="149"/>
      <c r="R462" s="148" t="s">
        <v>119</v>
      </c>
      <c r="S462" s="148" t="s">
        <v>119</v>
      </c>
      <c r="T462" s="148" t="s">
        <v>148</v>
      </c>
      <c r="U462" s="145">
        <f>D462+E462</f>
        <v>117</v>
      </c>
      <c r="V462" s="149"/>
      <c r="W462" s="145">
        <f>D462+E462+F462</f>
        <v>191</v>
      </c>
      <c r="X462" s="149"/>
    </row>
    <row r="463" customHeight="1" spans="1:24">
      <c r="A463" s="153">
        <v>290</v>
      </c>
      <c r="B463" s="154" t="s">
        <v>757</v>
      </c>
      <c r="C463" s="144">
        <v>12</v>
      </c>
      <c r="D463" s="145">
        <v>85</v>
      </c>
      <c r="E463" s="145">
        <v>85</v>
      </c>
      <c r="F463" s="145">
        <v>58</v>
      </c>
      <c r="G463" s="145">
        <v>50</v>
      </c>
      <c r="H463" s="145">
        <v>71</v>
      </c>
      <c r="I463" s="145">
        <f>SUM(D463:H463)</f>
        <v>349</v>
      </c>
      <c r="J463" s="145">
        <v>23</v>
      </c>
      <c r="K463" s="147" t="s">
        <v>114</v>
      </c>
      <c r="L463" s="147" t="s">
        <v>114</v>
      </c>
      <c r="M463" s="147" t="s">
        <v>130</v>
      </c>
      <c r="N463" s="147" t="s">
        <v>115</v>
      </c>
      <c r="O463" s="147" t="s">
        <v>130</v>
      </c>
      <c r="P463" s="147" t="s">
        <v>124</v>
      </c>
      <c r="Q463" s="148" t="s">
        <v>577</v>
      </c>
      <c r="R463" s="148" t="s">
        <v>119</v>
      </c>
      <c r="S463" s="148" t="s">
        <v>119</v>
      </c>
      <c r="T463" s="148" t="s">
        <v>120</v>
      </c>
      <c r="U463" s="145">
        <f>D463+E463</f>
        <v>170</v>
      </c>
      <c r="V463" s="149"/>
      <c r="W463" s="145">
        <f>D463+E463+F463</f>
        <v>228</v>
      </c>
      <c r="X463" s="149"/>
    </row>
    <row r="464" customHeight="1" spans="1:24">
      <c r="A464" s="153">
        <v>228</v>
      </c>
      <c r="B464" s="143" t="s">
        <v>758</v>
      </c>
      <c r="C464" s="144">
        <v>1</v>
      </c>
      <c r="D464" s="145">
        <v>66</v>
      </c>
      <c r="E464" s="145">
        <v>60</v>
      </c>
      <c r="F464" s="145">
        <v>75</v>
      </c>
      <c r="G464" s="145">
        <v>78</v>
      </c>
      <c r="H464" s="145">
        <v>71</v>
      </c>
      <c r="I464" s="145">
        <f>SUM(D464:H464)</f>
        <v>350</v>
      </c>
      <c r="J464" s="145">
        <v>30</v>
      </c>
      <c r="K464" s="147" t="s">
        <v>130</v>
      </c>
      <c r="L464" s="147" t="s">
        <v>130</v>
      </c>
      <c r="M464" s="147" t="s">
        <v>114</v>
      </c>
      <c r="N464" s="147" t="s">
        <v>130</v>
      </c>
      <c r="O464" s="147" t="s">
        <v>130</v>
      </c>
      <c r="P464" s="147" t="s">
        <v>130</v>
      </c>
      <c r="Q464" s="149"/>
      <c r="R464" s="148" t="s">
        <v>175</v>
      </c>
      <c r="S464" s="148" t="s">
        <v>145</v>
      </c>
      <c r="T464" s="148" t="s">
        <v>120</v>
      </c>
      <c r="U464" s="145">
        <f>D464+E464</f>
        <v>126</v>
      </c>
      <c r="V464" s="149"/>
      <c r="W464" s="145">
        <f>D464+E464+F464</f>
        <v>201</v>
      </c>
      <c r="X464" s="149"/>
    </row>
    <row r="465" customHeight="1" spans="1:24">
      <c r="A465" s="153">
        <v>789</v>
      </c>
      <c r="B465" s="154" t="s">
        <v>759</v>
      </c>
      <c r="C465" s="144">
        <v>5</v>
      </c>
      <c r="D465" s="145">
        <v>78</v>
      </c>
      <c r="E465" s="145">
        <v>77</v>
      </c>
      <c r="F465" s="145">
        <v>48</v>
      </c>
      <c r="G465" s="145">
        <v>48</v>
      </c>
      <c r="H465" s="145">
        <v>70</v>
      </c>
      <c r="I465" s="145">
        <f>SUM(D465:H465)</f>
        <v>321</v>
      </c>
      <c r="J465" s="145">
        <v>54</v>
      </c>
      <c r="K465" s="147" t="s">
        <v>114</v>
      </c>
      <c r="L465" s="147" t="s">
        <v>114</v>
      </c>
      <c r="M465" s="147" t="s">
        <v>130</v>
      </c>
      <c r="N465" s="147" t="s">
        <v>130</v>
      </c>
      <c r="O465" s="147" t="s">
        <v>130</v>
      </c>
      <c r="P465" s="147" t="s">
        <v>130</v>
      </c>
      <c r="Q465" s="148" t="s">
        <v>550</v>
      </c>
      <c r="R465" s="148" t="s">
        <v>119</v>
      </c>
      <c r="S465" s="148" t="s">
        <v>119</v>
      </c>
      <c r="T465" s="148" t="s">
        <v>250</v>
      </c>
      <c r="U465" s="145">
        <f>D465+E465</f>
        <v>155</v>
      </c>
      <c r="V465" s="149"/>
      <c r="W465" s="145">
        <f>D465+E465+F465</f>
        <v>203</v>
      </c>
      <c r="X465" s="149"/>
    </row>
    <row r="466" customHeight="1" spans="1:24">
      <c r="A466" s="153">
        <v>787</v>
      </c>
      <c r="B466" s="154" t="s">
        <v>760</v>
      </c>
      <c r="C466" s="144">
        <v>8</v>
      </c>
      <c r="D466" s="145">
        <v>81</v>
      </c>
      <c r="E466" s="145">
        <v>76</v>
      </c>
      <c r="F466" s="145">
        <v>65</v>
      </c>
      <c r="G466" s="145">
        <v>72</v>
      </c>
      <c r="H466" s="145">
        <v>70</v>
      </c>
      <c r="I466" s="145">
        <f>SUM(D466:H466)</f>
        <v>364</v>
      </c>
      <c r="J466" s="145">
        <v>10</v>
      </c>
      <c r="K466" s="147" t="s">
        <v>115</v>
      </c>
      <c r="L466" s="147" t="s">
        <v>114</v>
      </c>
      <c r="M466" s="147" t="s">
        <v>114</v>
      </c>
      <c r="N466" s="147" t="s">
        <v>114</v>
      </c>
      <c r="O466" s="147" t="s">
        <v>130</v>
      </c>
      <c r="P466" s="147" t="s">
        <v>124</v>
      </c>
      <c r="Q466" s="148" t="s">
        <v>294</v>
      </c>
      <c r="R466" s="148" t="s">
        <v>132</v>
      </c>
      <c r="S466" s="148" t="s">
        <v>119</v>
      </c>
      <c r="T466" s="148" t="s">
        <v>120</v>
      </c>
      <c r="U466" s="145">
        <f>D466+E466</f>
        <v>157</v>
      </c>
      <c r="V466" s="149"/>
      <c r="W466" s="145">
        <f>D466+E466+F466</f>
        <v>222</v>
      </c>
      <c r="X466" s="149"/>
    </row>
    <row r="467" customHeight="1" spans="1:24">
      <c r="A467" s="153">
        <v>660</v>
      </c>
      <c r="B467" s="168" t="s">
        <v>761</v>
      </c>
      <c r="C467" s="144">
        <v>53</v>
      </c>
      <c r="D467" s="167">
        <v>101</v>
      </c>
      <c r="E467" s="167">
        <v>110</v>
      </c>
      <c r="F467" s="145">
        <v>62</v>
      </c>
      <c r="G467" s="145">
        <v>29</v>
      </c>
      <c r="H467" s="145">
        <v>70</v>
      </c>
      <c r="I467" s="145">
        <f>SUM(D467:H467)</f>
        <v>372</v>
      </c>
      <c r="J467" s="145">
        <v>100</v>
      </c>
      <c r="K467" s="147" t="s">
        <v>115</v>
      </c>
      <c r="L467" s="147" t="s">
        <v>115</v>
      </c>
      <c r="M467" s="147" t="s">
        <v>114</v>
      </c>
      <c r="N467" s="160" t="s">
        <v>123</v>
      </c>
      <c r="O467" s="147" t="s">
        <v>130</v>
      </c>
      <c r="P467" s="147" t="s">
        <v>114</v>
      </c>
      <c r="Q467" s="158" t="s">
        <v>762</v>
      </c>
      <c r="R467" s="148" t="s">
        <v>119</v>
      </c>
      <c r="S467" s="148" t="s">
        <v>145</v>
      </c>
      <c r="T467" s="148" t="s">
        <v>126</v>
      </c>
      <c r="U467" s="145">
        <f>D467+E467</f>
        <v>211</v>
      </c>
      <c r="V467" s="172" t="s">
        <v>763</v>
      </c>
      <c r="W467" s="145">
        <f>D467+E467+F467</f>
        <v>273</v>
      </c>
      <c r="X467" s="149"/>
    </row>
    <row r="468" customHeight="1" spans="1:24">
      <c r="A468" s="153">
        <v>492</v>
      </c>
      <c r="B468" s="154" t="s">
        <v>764</v>
      </c>
      <c r="C468" s="144">
        <v>34</v>
      </c>
      <c r="D468" s="145">
        <v>96</v>
      </c>
      <c r="E468" s="145">
        <v>88</v>
      </c>
      <c r="F468" s="145">
        <v>66</v>
      </c>
      <c r="G468" s="145">
        <v>65</v>
      </c>
      <c r="H468" s="145">
        <v>70</v>
      </c>
      <c r="I468" s="145">
        <f>SUM(D468:H468)</f>
        <v>385</v>
      </c>
      <c r="J468" s="145">
        <v>42</v>
      </c>
      <c r="K468" s="147" t="s">
        <v>115</v>
      </c>
      <c r="L468" s="147" t="s">
        <v>115</v>
      </c>
      <c r="M468" s="147" t="s">
        <v>114</v>
      </c>
      <c r="N468" s="160" t="s">
        <v>123</v>
      </c>
      <c r="O468" s="147" t="s">
        <v>130</v>
      </c>
      <c r="P468" s="147" t="s">
        <v>114</v>
      </c>
      <c r="Q468" s="158" t="s">
        <v>189</v>
      </c>
      <c r="R468" s="148" t="s">
        <v>132</v>
      </c>
      <c r="S468" s="148" t="s">
        <v>119</v>
      </c>
      <c r="T468" s="148" t="s">
        <v>126</v>
      </c>
      <c r="U468" s="145">
        <f>D468+E468</f>
        <v>184</v>
      </c>
      <c r="V468" s="172" t="s">
        <v>765</v>
      </c>
      <c r="W468" s="145">
        <f>D468+E468+F468</f>
        <v>250</v>
      </c>
      <c r="X468" s="149"/>
    </row>
    <row r="469" customHeight="1" spans="1:24">
      <c r="A469" s="153">
        <v>587</v>
      </c>
      <c r="B469" s="143" t="s">
        <v>766</v>
      </c>
      <c r="C469" s="144">
        <v>1</v>
      </c>
      <c r="D469" s="145">
        <v>52</v>
      </c>
      <c r="E469" s="145">
        <v>38</v>
      </c>
      <c r="F469" s="145">
        <v>73</v>
      </c>
      <c r="G469" s="145">
        <v>81</v>
      </c>
      <c r="H469" s="145">
        <v>69</v>
      </c>
      <c r="I469" s="145">
        <f>SUM(D469:H469)</f>
        <v>313</v>
      </c>
      <c r="J469" s="145">
        <v>58</v>
      </c>
      <c r="K469" s="147" t="s">
        <v>124</v>
      </c>
      <c r="L469" s="147" t="s">
        <v>130</v>
      </c>
      <c r="M469" s="147" t="s">
        <v>124</v>
      </c>
      <c r="N469" s="147" t="s">
        <v>124</v>
      </c>
      <c r="O469" s="147" t="s">
        <v>130</v>
      </c>
      <c r="P469" s="147" t="s">
        <v>124</v>
      </c>
      <c r="Q469" s="149"/>
      <c r="R469" s="148" t="s">
        <v>175</v>
      </c>
      <c r="S469" s="148" t="s">
        <v>119</v>
      </c>
      <c r="T469" s="148" t="s">
        <v>250</v>
      </c>
      <c r="U469" s="145">
        <f>D469+E469</f>
        <v>90</v>
      </c>
      <c r="V469" s="149"/>
      <c r="W469" s="145">
        <f>D469+E469+F469</f>
        <v>163</v>
      </c>
      <c r="X469" s="252"/>
    </row>
    <row r="470" customHeight="1" spans="1:24">
      <c r="A470" s="153">
        <v>110</v>
      </c>
      <c r="B470" s="154" t="s">
        <v>767</v>
      </c>
      <c r="C470" s="144">
        <v>2</v>
      </c>
      <c r="D470" s="145">
        <v>73</v>
      </c>
      <c r="E470" s="145">
        <v>81</v>
      </c>
      <c r="F470" s="145">
        <v>50</v>
      </c>
      <c r="G470" s="145">
        <v>48</v>
      </c>
      <c r="H470" s="145">
        <v>69</v>
      </c>
      <c r="I470" s="145">
        <f>SUM(D470:H470)</f>
        <v>321</v>
      </c>
      <c r="J470" s="145">
        <v>18</v>
      </c>
      <c r="K470" s="147" t="s">
        <v>124</v>
      </c>
      <c r="L470" s="147" t="s">
        <v>130</v>
      </c>
      <c r="M470" s="147" t="s">
        <v>130</v>
      </c>
      <c r="N470" s="147" t="s">
        <v>124</v>
      </c>
      <c r="O470" s="147" t="s">
        <v>130</v>
      </c>
      <c r="P470" s="147" t="s">
        <v>115</v>
      </c>
      <c r="Q470" s="149"/>
      <c r="R470" s="148" t="s">
        <v>119</v>
      </c>
      <c r="S470" s="148" t="s">
        <v>145</v>
      </c>
      <c r="T470" s="148" t="s">
        <v>250</v>
      </c>
      <c r="U470" s="145">
        <f>D470+E470</f>
        <v>154</v>
      </c>
      <c r="V470" s="149"/>
      <c r="W470" s="145">
        <f>D470+E470+F470</f>
        <v>204</v>
      </c>
      <c r="X470" s="149"/>
    </row>
    <row r="471" customHeight="1" spans="1:24">
      <c r="A471" s="153">
        <v>346</v>
      </c>
      <c r="B471" s="154" t="s">
        <v>768</v>
      </c>
      <c r="C471" s="144">
        <v>2</v>
      </c>
      <c r="D471" s="145">
        <v>70</v>
      </c>
      <c r="E471" s="145">
        <v>75</v>
      </c>
      <c r="F471" s="145">
        <v>67</v>
      </c>
      <c r="G471" s="145">
        <v>62</v>
      </c>
      <c r="H471" s="145">
        <v>69</v>
      </c>
      <c r="I471" s="145">
        <f>SUM(D471:H471)</f>
        <v>343</v>
      </c>
      <c r="J471" s="145">
        <v>84</v>
      </c>
      <c r="K471" s="147" t="s">
        <v>114</v>
      </c>
      <c r="L471" s="147" t="s">
        <v>130</v>
      </c>
      <c r="M471" s="147" t="s">
        <v>114</v>
      </c>
      <c r="N471" s="147" t="s">
        <v>124</v>
      </c>
      <c r="O471" s="147" t="s">
        <v>130</v>
      </c>
      <c r="P471" s="147" t="s">
        <v>114</v>
      </c>
      <c r="Q471" s="148" t="s">
        <v>337</v>
      </c>
      <c r="R471" s="148" t="s">
        <v>132</v>
      </c>
      <c r="S471" s="148" t="s">
        <v>119</v>
      </c>
      <c r="T471" s="148" t="s">
        <v>120</v>
      </c>
      <c r="U471" s="145">
        <f>D471+E471</f>
        <v>145</v>
      </c>
      <c r="V471" s="149"/>
      <c r="W471" s="145">
        <f>D471+E471+F471</f>
        <v>212</v>
      </c>
      <c r="X471" s="149"/>
    </row>
    <row r="472" customHeight="1" spans="1:24">
      <c r="A472" s="153">
        <v>493</v>
      </c>
      <c r="B472" s="154" t="s">
        <v>769</v>
      </c>
      <c r="C472" s="144">
        <v>8</v>
      </c>
      <c r="D472" s="145">
        <v>78</v>
      </c>
      <c r="E472" s="145">
        <v>80</v>
      </c>
      <c r="F472" s="145">
        <v>59</v>
      </c>
      <c r="G472" s="145">
        <v>60</v>
      </c>
      <c r="H472" s="145">
        <v>69</v>
      </c>
      <c r="I472" s="145">
        <f>SUM(D472:H472)</f>
        <v>346</v>
      </c>
      <c r="J472" s="145">
        <v>72</v>
      </c>
      <c r="K472" s="147" t="s">
        <v>130</v>
      </c>
      <c r="L472" s="147" t="s">
        <v>115</v>
      </c>
      <c r="M472" s="147" t="s">
        <v>130</v>
      </c>
      <c r="N472" s="147" t="s">
        <v>130</v>
      </c>
      <c r="O472" s="147" t="s">
        <v>130</v>
      </c>
      <c r="P472" s="147" t="s">
        <v>130</v>
      </c>
      <c r="Q472" s="148" t="s">
        <v>230</v>
      </c>
      <c r="R472" s="148" t="s">
        <v>132</v>
      </c>
      <c r="S472" s="148" t="s">
        <v>119</v>
      </c>
      <c r="T472" s="148" t="s">
        <v>120</v>
      </c>
      <c r="U472" s="145">
        <f>D472+E472</f>
        <v>158</v>
      </c>
      <c r="V472" s="149"/>
      <c r="W472" s="145">
        <f>D472+E472+F472</f>
        <v>217</v>
      </c>
      <c r="X472" s="149"/>
    </row>
    <row r="473" customHeight="1" spans="1:24">
      <c r="A473" s="153">
        <v>85</v>
      </c>
      <c r="B473" s="154" t="s">
        <v>770</v>
      </c>
      <c r="C473" s="144">
        <v>10</v>
      </c>
      <c r="D473" s="145">
        <v>69</v>
      </c>
      <c r="E473" s="145">
        <v>84</v>
      </c>
      <c r="F473" s="145">
        <v>55</v>
      </c>
      <c r="G473" s="145">
        <v>70</v>
      </c>
      <c r="H473" s="145">
        <v>69</v>
      </c>
      <c r="I473" s="145">
        <f>SUM(D473:H473)</f>
        <v>347</v>
      </c>
      <c r="J473" s="145">
        <v>24</v>
      </c>
      <c r="K473" s="147" t="s">
        <v>114</v>
      </c>
      <c r="L473" s="147" t="s">
        <v>130</v>
      </c>
      <c r="M473" s="147" t="s">
        <v>124</v>
      </c>
      <c r="N473" s="147" t="s">
        <v>114</v>
      </c>
      <c r="O473" s="147" t="s">
        <v>130</v>
      </c>
      <c r="P473" s="147" t="s">
        <v>124</v>
      </c>
      <c r="Q473" s="148" t="s">
        <v>268</v>
      </c>
      <c r="R473" s="148" t="s">
        <v>132</v>
      </c>
      <c r="S473" s="148" t="s">
        <v>119</v>
      </c>
      <c r="T473" s="148" t="s">
        <v>126</v>
      </c>
      <c r="U473" s="145">
        <f>D473+E473</f>
        <v>153</v>
      </c>
      <c r="V473" s="149"/>
      <c r="W473" s="145">
        <f>D473+E473+F473</f>
        <v>208</v>
      </c>
      <c r="X473" s="149"/>
    </row>
    <row r="474" customHeight="1" spans="1:24">
      <c r="A474" s="153">
        <v>632</v>
      </c>
      <c r="B474" s="154" t="s">
        <v>771</v>
      </c>
      <c r="C474" s="144">
        <v>4</v>
      </c>
      <c r="D474" s="145">
        <v>75</v>
      </c>
      <c r="E474" s="145">
        <v>54</v>
      </c>
      <c r="F474" s="145">
        <v>92</v>
      </c>
      <c r="G474" s="145">
        <v>86</v>
      </c>
      <c r="H474" s="145">
        <v>69</v>
      </c>
      <c r="I474" s="145">
        <f>SUM(D474:H474)</f>
        <v>376</v>
      </c>
      <c r="J474" s="145">
        <v>61</v>
      </c>
      <c r="K474" s="147" t="s">
        <v>130</v>
      </c>
      <c r="L474" s="147" t="s">
        <v>130</v>
      </c>
      <c r="M474" s="147" t="s">
        <v>114</v>
      </c>
      <c r="N474" s="147" t="s">
        <v>114</v>
      </c>
      <c r="O474" s="147" t="s">
        <v>130</v>
      </c>
      <c r="P474" s="147" t="s">
        <v>130</v>
      </c>
      <c r="Q474" s="148" t="s">
        <v>372</v>
      </c>
      <c r="R474" s="148" t="s">
        <v>132</v>
      </c>
      <c r="S474" s="148" t="s">
        <v>119</v>
      </c>
      <c r="T474" s="148" t="s">
        <v>126</v>
      </c>
      <c r="U474" s="145">
        <f>D474+E474</f>
        <v>129</v>
      </c>
      <c r="V474" s="149"/>
      <c r="W474" s="145">
        <f>D474+E474+F474</f>
        <v>221</v>
      </c>
      <c r="X474" s="149"/>
    </row>
    <row r="475" customHeight="1" spans="1:24">
      <c r="A475" s="153">
        <v>377</v>
      </c>
      <c r="B475" s="154" t="s">
        <v>772</v>
      </c>
      <c r="C475" s="144">
        <v>31</v>
      </c>
      <c r="D475" s="145">
        <v>96</v>
      </c>
      <c r="E475" s="145">
        <v>82</v>
      </c>
      <c r="F475" s="145">
        <v>76</v>
      </c>
      <c r="G475" s="145">
        <v>74</v>
      </c>
      <c r="H475" s="145">
        <v>69</v>
      </c>
      <c r="I475" s="145">
        <f>SUM(D475:H475)</f>
        <v>397</v>
      </c>
      <c r="J475" s="145">
        <v>145</v>
      </c>
      <c r="K475" s="147" t="s">
        <v>115</v>
      </c>
      <c r="L475" s="147" t="s">
        <v>114</v>
      </c>
      <c r="M475" s="147" t="s">
        <v>130</v>
      </c>
      <c r="N475" s="160" t="s">
        <v>123</v>
      </c>
      <c r="O475" s="147" t="s">
        <v>130</v>
      </c>
      <c r="P475" s="147" t="s">
        <v>124</v>
      </c>
      <c r="Q475" s="158" t="s">
        <v>773</v>
      </c>
      <c r="R475" s="148" t="s">
        <v>132</v>
      </c>
      <c r="S475" s="148" t="s">
        <v>145</v>
      </c>
      <c r="T475" s="148" t="s">
        <v>126</v>
      </c>
      <c r="U475" s="145">
        <f>D475+E475</f>
        <v>178</v>
      </c>
      <c r="V475" s="148" t="s">
        <v>774</v>
      </c>
      <c r="W475" s="145">
        <f>D475+E475+F475</f>
        <v>254</v>
      </c>
      <c r="X475" s="149"/>
    </row>
    <row r="476" customHeight="1" spans="1:24">
      <c r="A476" s="153">
        <v>604</v>
      </c>
      <c r="B476" s="154" t="s">
        <v>775</v>
      </c>
      <c r="C476" s="144">
        <v>7</v>
      </c>
      <c r="D476" s="145">
        <v>77</v>
      </c>
      <c r="E476" s="145">
        <v>88</v>
      </c>
      <c r="F476" s="145">
        <v>49</v>
      </c>
      <c r="G476" s="145">
        <v>40</v>
      </c>
      <c r="H476" s="145">
        <v>68</v>
      </c>
      <c r="I476" s="145">
        <f>SUM(D476:H476)</f>
        <v>322</v>
      </c>
      <c r="J476" s="145">
        <v>109</v>
      </c>
      <c r="K476" s="147" t="s">
        <v>130</v>
      </c>
      <c r="L476" s="147" t="s">
        <v>114</v>
      </c>
      <c r="M476" s="147" t="s">
        <v>130</v>
      </c>
      <c r="N476" s="147" t="s">
        <v>124</v>
      </c>
      <c r="O476" s="147" t="s">
        <v>130</v>
      </c>
      <c r="P476" s="147" t="s">
        <v>115</v>
      </c>
      <c r="Q476" s="148" t="s">
        <v>776</v>
      </c>
      <c r="R476" s="148" t="s">
        <v>132</v>
      </c>
      <c r="S476" s="148" t="s">
        <v>119</v>
      </c>
      <c r="T476" s="148" t="s">
        <v>126</v>
      </c>
      <c r="U476" s="145">
        <f>D476+E476</f>
        <v>165</v>
      </c>
      <c r="V476" s="149"/>
      <c r="W476" s="145">
        <f>D476+E476+F476</f>
        <v>214</v>
      </c>
      <c r="X476" s="149"/>
    </row>
    <row r="477" customHeight="1" spans="1:24">
      <c r="A477" s="153">
        <v>664</v>
      </c>
      <c r="B477" s="154" t="s">
        <v>777</v>
      </c>
      <c r="C477" s="144">
        <v>11</v>
      </c>
      <c r="D477" s="145">
        <v>73</v>
      </c>
      <c r="E477" s="145">
        <v>93</v>
      </c>
      <c r="F477" s="145">
        <v>51</v>
      </c>
      <c r="G477" s="145">
        <v>47</v>
      </c>
      <c r="H477" s="145">
        <v>68</v>
      </c>
      <c r="I477" s="145">
        <f>SUM(D477:H477)</f>
        <v>332</v>
      </c>
      <c r="J477" s="145">
        <v>58</v>
      </c>
      <c r="K477" s="147" t="s">
        <v>130</v>
      </c>
      <c r="L477" s="147" t="s">
        <v>115</v>
      </c>
      <c r="M477" s="147" t="s">
        <v>114</v>
      </c>
      <c r="N477" s="147" t="s">
        <v>130</v>
      </c>
      <c r="O477" s="147" t="s">
        <v>130</v>
      </c>
      <c r="P477" s="147" t="s">
        <v>114</v>
      </c>
      <c r="Q477" s="148" t="s">
        <v>309</v>
      </c>
      <c r="R477" s="148" t="s">
        <v>132</v>
      </c>
      <c r="S477" s="148" t="s">
        <v>136</v>
      </c>
      <c r="T477" s="148" t="s">
        <v>250</v>
      </c>
      <c r="U477" s="145">
        <f>D477+E477</f>
        <v>166</v>
      </c>
      <c r="V477" s="149"/>
      <c r="W477" s="145">
        <f>D477+E477+F477</f>
        <v>217</v>
      </c>
      <c r="X477" s="149"/>
    </row>
    <row r="478" customHeight="1" spans="1:24">
      <c r="A478" s="153">
        <v>613</v>
      </c>
      <c r="B478" s="143" t="s">
        <v>778</v>
      </c>
      <c r="C478" s="144">
        <v>1</v>
      </c>
      <c r="D478" s="145">
        <v>58</v>
      </c>
      <c r="E478" s="145">
        <v>48</v>
      </c>
      <c r="F478" s="145">
        <v>84</v>
      </c>
      <c r="G478" s="145">
        <v>80</v>
      </c>
      <c r="H478" s="145">
        <v>68</v>
      </c>
      <c r="I478" s="145">
        <f>SUM(D478:H478)</f>
        <v>338</v>
      </c>
      <c r="J478" s="145">
        <v>41</v>
      </c>
      <c r="K478" s="147" t="s">
        <v>124</v>
      </c>
      <c r="L478" s="147" t="s">
        <v>130</v>
      </c>
      <c r="M478" s="147" t="s">
        <v>130</v>
      </c>
      <c r="N478" s="147" t="s">
        <v>124</v>
      </c>
      <c r="O478" s="147" t="s">
        <v>130</v>
      </c>
      <c r="P478" s="147" t="s">
        <v>130</v>
      </c>
      <c r="Q478" s="149"/>
      <c r="R478" s="148" t="s">
        <v>119</v>
      </c>
      <c r="S478" s="148" t="s">
        <v>119</v>
      </c>
      <c r="T478" s="148" t="s">
        <v>120</v>
      </c>
      <c r="U478" s="145">
        <f>D478+E478</f>
        <v>106</v>
      </c>
      <c r="V478" s="149"/>
      <c r="W478" s="145">
        <f>D478+E478+F478</f>
        <v>190</v>
      </c>
      <c r="X478" s="149"/>
    </row>
    <row r="479" customHeight="1" spans="1:24">
      <c r="A479" s="153">
        <v>288</v>
      </c>
      <c r="B479" s="154" t="s">
        <v>779</v>
      </c>
      <c r="C479" s="144">
        <v>5</v>
      </c>
      <c r="D479" s="145">
        <v>73</v>
      </c>
      <c r="E479" s="145">
        <v>67</v>
      </c>
      <c r="F479" s="145">
        <v>87</v>
      </c>
      <c r="G479" s="145">
        <v>79</v>
      </c>
      <c r="H479" s="145">
        <v>68</v>
      </c>
      <c r="I479" s="145">
        <f>SUM(D479:H479)</f>
        <v>374</v>
      </c>
      <c r="J479" s="145">
        <v>132</v>
      </c>
      <c r="K479" s="147" t="s">
        <v>114</v>
      </c>
      <c r="L479" s="147" t="s">
        <v>114</v>
      </c>
      <c r="M479" s="147" t="s">
        <v>130</v>
      </c>
      <c r="N479" s="147" t="s">
        <v>130</v>
      </c>
      <c r="O479" s="147" t="s">
        <v>130</v>
      </c>
      <c r="P479" s="147" t="s">
        <v>124</v>
      </c>
      <c r="Q479" s="148" t="s">
        <v>353</v>
      </c>
      <c r="R479" s="148" t="s">
        <v>119</v>
      </c>
      <c r="S479" s="148" t="s">
        <v>119</v>
      </c>
      <c r="T479" s="148" t="s">
        <v>126</v>
      </c>
      <c r="U479" s="145">
        <f>D479+E479</f>
        <v>140</v>
      </c>
      <c r="V479" s="149"/>
      <c r="W479" s="145">
        <f>D479+E479+F479</f>
        <v>227</v>
      </c>
      <c r="X479" s="149"/>
    </row>
    <row r="480" customHeight="1" spans="1:24">
      <c r="A480" s="153">
        <v>148</v>
      </c>
      <c r="B480" s="156" t="s">
        <v>780</v>
      </c>
      <c r="C480" s="144">
        <v>35</v>
      </c>
      <c r="D480" s="145">
        <v>91</v>
      </c>
      <c r="E480" s="145">
        <v>98</v>
      </c>
      <c r="F480" s="145">
        <v>79</v>
      </c>
      <c r="G480" s="145">
        <v>65</v>
      </c>
      <c r="H480" s="145">
        <v>68</v>
      </c>
      <c r="I480" s="145">
        <f>SUM(D480:H480)</f>
        <v>401</v>
      </c>
      <c r="J480" s="145">
        <v>145</v>
      </c>
      <c r="K480" s="147" t="s">
        <v>115</v>
      </c>
      <c r="L480" s="147" t="s">
        <v>114</v>
      </c>
      <c r="M480" s="147" t="s">
        <v>130</v>
      </c>
      <c r="N480" s="147" t="s">
        <v>115</v>
      </c>
      <c r="O480" s="147" t="s">
        <v>130</v>
      </c>
      <c r="P480" s="147" t="s">
        <v>124</v>
      </c>
      <c r="Q480" s="158" t="s">
        <v>534</v>
      </c>
      <c r="R480" s="148" t="s">
        <v>175</v>
      </c>
      <c r="S480" s="148" t="s">
        <v>145</v>
      </c>
      <c r="T480" s="148" t="s">
        <v>250</v>
      </c>
      <c r="U480" s="145">
        <f>D480+E480</f>
        <v>189</v>
      </c>
      <c r="V480" s="172" t="s">
        <v>781</v>
      </c>
      <c r="W480" s="145">
        <f>D480+E480+F480</f>
        <v>268</v>
      </c>
      <c r="X480" s="149"/>
    </row>
    <row r="481" customHeight="1" spans="1:24">
      <c r="A481" s="153">
        <v>384</v>
      </c>
      <c r="B481" s="154" t="s">
        <v>782</v>
      </c>
      <c r="C481" s="144">
        <v>9</v>
      </c>
      <c r="D481" s="145">
        <v>69</v>
      </c>
      <c r="E481" s="145">
        <v>86</v>
      </c>
      <c r="F481" s="145">
        <v>56</v>
      </c>
      <c r="G481" s="145">
        <v>70</v>
      </c>
      <c r="H481" s="145">
        <v>67</v>
      </c>
      <c r="I481" s="145">
        <f>SUM(D481:H481)</f>
        <v>348</v>
      </c>
      <c r="J481" s="145">
        <v>143</v>
      </c>
      <c r="K481" s="147" t="s">
        <v>114</v>
      </c>
      <c r="L481" s="147" t="s">
        <v>130</v>
      </c>
      <c r="M481" s="147" t="s">
        <v>130</v>
      </c>
      <c r="N481" s="147" t="s">
        <v>114</v>
      </c>
      <c r="O481" s="147" t="s">
        <v>130</v>
      </c>
      <c r="P481" s="147" t="s">
        <v>130</v>
      </c>
      <c r="Q481" s="148" t="s">
        <v>783</v>
      </c>
      <c r="R481" s="148" t="s">
        <v>118</v>
      </c>
      <c r="S481" s="148" t="s">
        <v>119</v>
      </c>
      <c r="T481" s="148" t="s">
        <v>126</v>
      </c>
      <c r="U481" s="145">
        <f>D481+E481</f>
        <v>155</v>
      </c>
      <c r="V481" s="149"/>
      <c r="W481" s="145">
        <f>D481+E481+F481</f>
        <v>211</v>
      </c>
      <c r="X481" s="149"/>
    </row>
    <row r="482" customHeight="1" spans="1:24">
      <c r="A482" s="153">
        <v>540</v>
      </c>
      <c r="B482" s="154" t="s">
        <v>784</v>
      </c>
      <c r="C482" s="144">
        <v>15</v>
      </c>
      <c r="D482" s="145">
        <v>84</v>
      </c>
      <c r="E482" s="145">
        <v>86</v>
      </c>
      <c r="F482" s="145">
        <v>63</v>
      </c>
      <c r="G482" s="145">
        <v>59</v>
      </c>
      <c r="H482" s="145">
        <v>67</v>
      </c>
      <c r="I482" s="145">
        <f>SUM(D482:H482)</f>
        <v>359</v>
      </c>
      <c r="J482" s="145">
        <v>132</v>
      </c>
      <c r="K482" s="147" t="s">
        <v>114</v>
      </c>
      <c r="L482" s="147" t="s">
        <v>115</v>
      </c>
      <c r="M482" s="147" t="s">
        <v>114</v>
      </c>
      <c r="N482" s="147" t="s">
        <v>114</v>
      </c>
      <c r="O482" s="147" t="s">
        <v>130</v>
      </c>
      <c r="P482" s="147" t="s">
        <v>114</v>
      </c>
      <c r="Q482" s="148" t="s">
        <v>592</v>
      </c>
      <c r="R482" s="148" t="s">
        <v>132</v>
      </c>
      <c r="S482" s="148" t="s">
        <v>119</v>
      </c>
      <c r="T482" s="148" t="s">
        <v>126</v>
      </c>
      <c r="U482" s="145">
        <f>D482+E482</f>
        <v>170</v>
      </c>
      <c r="V482" s="149"/>
      <c r="W482" s="145">
        <f>D482+E482+F482</f>
        <v>233</v>
      </c>
      <c r="X482" s="149"/>
    </row>
    <row r="483" customHeight="1" spans="1:24">
      <c r="A483" s="153">
        <v>439</v>
      </c>
      <c r="B483" s="154" t="s">
        <v>785</v>
      </c>
      <c r="C483" s="144">
        <v>22</v>
      </c>
      <c r="D483" s="145">
        <v>86</v>
      </c>
      <c r="E483" s="145">
        <v>92</v>
      </c>
      <c r="F483" s="145">
        <v>60</v>
      </c>
      <c r="G483" s="145">
        <v>55</v>
      </c>
      <c r="H483" s="145">
        <v>67</v>
      </c>
      <c r="I483" s="145">
        <f>SUM(D483:H483)</f>
        <v>360</v>
      </c>
      <c r="J483" s="145">
        <v>23</v>
      </c>
      <c r="K483" s="147" t="s">
        <v>115</v>
      </c>
      <c r="L483" s="147" t="s">
        <v>114</v>
      </c>
      <c r="M483" s="147" t="s">
        <v>130</v>
      </c>
      <c r="N483" s="147" t="s">
        <v>114</v>
      </c>
      <c r="O483" s="147" t="s">
        <v>130</v>
      </c>
      <c r="P483" s="147" t="s">
        <v>130</v>
      </c>
      <c r="Q483" s="148" t="s">
        <v>490</v>
      </c>
      <c r="R483" s="148" t="s">
        <v>132</v>
      </c>
      <c r="S483" s="148" t="s">
        <v>119</v>
      </c>
      <c r="T483" s="148" t="s">
        <v>126</v>
      </c>
      <c r="U483" s="145">
        <f>D483+E483</f>
        <v>178</v>
      </c>
      <c r="V483" s="149"/>
      <c r="W483" s="145">
        <f>D483+E483+F483</f>
        <v>238</v>
      </c>
      <c r="X483" s="149"/>
    </row>
    <row r="484" customHeight="1" spans="1:24">
      <c r="A484" s="153">
        <v>585</v>
      </c>
      <c r="B484" s="154" t="s">
        <v>786</v>
      </c>
      <c r="C484" s="144">
        <v>5</v>
      </c>
      <c r="D484" s="145">
        <v>75</v>
      </c>
      <c r="E484" s="145">
        <v>78</v>
      </c>
      <c r="F484" s="145">
        <v>50</v>
      </c>
      <c r="G484" s="145">
        <v>61</v>
      </c>
      <c r="H484" s="145">
        <v>66</v>
      </c>
      <c r="I484" s="145">
        <f>SUM(D484:H484)</f>
        <v>330</v>
      </c>
      <c r="J484" s="145">
        <v>58</v>
      </c>
      <c r="K484" s="147" t="s">
        <v>130</v>
      </c>
      <c r="L484" s="147" t="s">
        <v>130</v>
      </c>
      <c r="M484" s="147" t="s">
        <v>130</v>
      </c>
      <c r="N484" s="147" t="s">
        <v>114</v>
      </c>
      <c r="O484" s="147" t="s">
        <v>130</v>
      </c>
      <c r="P484" s="147" t="s">
        <v>114</v>
      </c>
      <c r="Q484" s="148" t="s">
        <v>194</v>
      </c>
      <c r="R484" s="148" t="s">
        <v>132</v>
      </c>
      <c r="S484" s="148" t="s">
        <v>119</v>
      </c>
      <c r="T484" s="148" t="s">
        <v>126</v>
      </c>
      <c r="U484" s="145">
        <f>D484+E484</f>
        <v>153</v>
      </c>
      <c r="V484" s="149"/>
      <c r="W484" s="145">
        <f>D484+E484+F484</f>
        <v>203</v>
      </c>
      <c r="X484" s="149"/>
    </row>
    <row r="485" customHeight="1" spans="1:24">
      <c r="A485" s="153">
        <v>39</v>
      </c>
      <c r="B485" s="154" t="s">
        <v>787</v>
      </c>
      <c r="C485" s="144">
        <v>4</v>
      </c>
      <c r="D485" s="145">
        <v>82</v>
      </c>
      <c r="E485" s="145">
        <v>49</v>
      </c>
      <c r="F485" s="145">
        <v>76</v>
      </c>
      <c r="G485" s="145">
        <v>72</v>
      </c>
      <c r="H485" s="145">
        <v>66</v>
      </c>
      <c r="I485" s="145">
        <f>SUM(D485:H485)</f>
        <v>345</v>
      </c>
      <c r="J485" s="145">
        <v>19</v>
      </c>
      <c r="K485" s="147" t="s">
        <v>130</v>
      </c>
      <c r="L485" s="147" t="s">
        <v>114</v>
      </c>
      <c r="M485" s="147" t="s">
        <v>115</v>
      </c>
      <c r="N485" s="147" t="s">
        <v>130</v>
      </c>
      <c r="O485" s="147" t="s">
        <v>130</v>
      </c>
      <c r="P485" s="147" t="s">
        <v>124</v>
      </c>
      <c r="Q485" s="148" t="s">
        <v>217</v>
      </c>
      <c r="R485" s="148" t="s">
        <v>119</v>
      </c>
      <c r="S485" s="148" t="s">
        <v>119</v>
      </c>
      <c r="T485" s="148" t="s">
        <v>120</v>
      </c>
      <c r="U485" s="145">
        <f>D485+E485</f>
        <v>131</v>
      </c>
      <c r="V485" s="149"/>
      <c r="W485" s="145">
        <f>D485+E485+F485</f>
        <v>207</v>
      </c>
      <c r="X485" s="149"/>
    </row>
    <row r="486" customHeight="1" spans="1:24">
      <c r="A486" s="153">
        <v>491</v>
      </c>
      <c r="B486" s="154" t="s">
        <v>788</v>
      </c>
      <c r="C486" s="144">
        <v>38</v>
      </c>
      <c r="D486" s="145">
        <v>89</v>
      </c>
      <c r="E486" s="145">
        <v>105</v>
      </c>
      <c r="F486" s="145">
        <v>59</v>
      </c>
      <c r="G486" s="145">
        <v>58</v>
      </c>
      <c r="H486" s="145">
        <v>66</v>
      </c>
      <c r="I486" s="145">
        <f>SUM(D486:H486)</f>
        <v>377</v>
      </c>
      <c r="J486" s="145">
        <v>42</v>
      </c>
      <c r="K486" s="147" t="s">
        <v>114</v>
      </c>
      <c r="L486" s="147" t="s">
        <v>115</v>
      </c>
      <c r="M486" s="147" t="s">
        <v>114</v>
      </c>
      <c r="N486" s="147" t="s">
        <v>115</v>
      </c>
      <c r="O486" s="147" t="s">
        <v>130</v>
      </c>
      <c r="P486" s="147" t="s">
        <v>130</v>
      </c>
      <c r="Q486" s="158" t="s">
        <v>270</v>
      </c>
      <c r="R486" s="148" t="s">
        <v>118</v>
      </c>
      <c r="S486" s="148" t="s">
        <v>119</v>
      </c>
      <c r="T486" s="148" t="s">
        <v>126</v>
      </c>
      <c r="U486" s="145">
        <f>D486+E486</f>
        <v>194</v>
      </c>
      <c r="V486" s="148" t="s">
        <v>271</v>
      </c>
      <c r="W486" s="145">
        <f>D486+E486+F486</f>
        <v>253</v>
      </c>
      <c r="X486" s="149"/>
    </row>
    <row r="487" customHeight="1" spans="1:24">
      <c r="A487" s="153">
        <v>40</v>
      </c>
      <c r="B487" s="154" t="s">
        <v>789</v>
      </c>
      <c r="C487" s="144">
        <v>32</v>
      </c>
      <c r="D487" s="145">
        <v>97</v>
      </c>
      <c r="E487" s="178">
        <v>43</v>
      </c>
      <c r="F487" s="145">
        <v>68</v>
      </c>
      <c r="G487" s="145">
        <v>66</v>
      </c>
      <c r="H487" s="145">
        <v>65</v>
      </c>
      <c r="I487" s="145">
        <f>SUM(D487:H487)</f>
        <v>339</v>
      </c>
      <c r="J487" s="145">
        <v>23</v>
      </c>
      <c r="K487" s="147" t="s">
        <v>114</v>
      </c>
      <c r="L487" s="147" t="s">
        <v>115</v>
      </c>
      <c r="M487" s="160" t="s">
        <v>123</v>
      </c>
      <c r="N487" s="147" t="s">
        <v>115</v>
      </c>
      <c r="O487" s="147" t="s">
        <v>130</v>
      </c>
      <c r="P487" s="147" t="s">
        <v>124</v>
      </c>
      <c r="Q487" s="158" t="s">
        <v>790</v>
      </c>
      <c r="R487" s="148" t="s">
        <v>132</v>
      </c>
      <c r="S487" s="148" t="s">
        <v>119</v>
      </c>
      <c r="T487" s="148" t="s">
        <v>126</v>
      </c>
      <c r="U487" s="145">
        <f>D487+E487</f>
        <v>140</v>
      </c>
      <c r="V487" s="148" t="s">
        <v>791</v>
      </c>
      <c r="W487" s="145">
        <f>D487+E487+F487</f>
        <v>208</v>
      </c>
      <c r="X487" s="149"/>
    </row>
    <row r="488" customHeight="1" spans="1:24">
      <c r="A488" s="153">
        <v>278</v>
      </c>
      <c r="B488" s="143" t="s">
        <v>792</v>
      </c>
      <c r="C488" s="144">
        <v>1</v>
      </c>
      <c r="D488" s="145">
        <v>68</v>
      </c>
      <c r="E488" s="145">
        <v>45</v>
      </c>
      <c r="F488" s="145">
        <v>81</v>
      </c>
      <c r="G488" s="145">
        <v>81</v>
      </c>
      <c r="H488" s="145">
        <v>65</v>
      </c>
      <c r="I488" s="145">
        <f>SUM(D488:H488)</f>
        <v>340</v>
      </c>
      <c r="J488" s="145">
        <v>9</v>
      </c>
      <c r="K488" s="147" t="s">
        <v>124</v>
      </c>
      <c r="L488" s="147" t="s">
        <v>124</v>
      </c>
      <c r="M488" s="147" t="s">
        <v>130</v>
      </c>
      <c r="N488" s="147" t="s">
        <v>130</v>
      </c>
      <c r="O488" s="147" t="s">
        <v>130</v>
      </c>
      <c r="P488" s="147" t="s">
        <v>124</v>
      </c>
      <c r="Q488" s="149"/>
      <c r="R488" s="148" t="s">
        <v>119</v>
      </c>
      <c r="S488" s="148" t="s">
        <v>119</v>
      </c>
      <c r="T488" s="148" t="s">
        <v>120</v>
      </c>
      <c r="U488" s="145">
        <f>D488+E488</f>
        <v>113</v>
      </c>
      <c r="V488" s="149"/>
      <c r="W488" s="145">
        <f>D488+E488+F488</f>
        <v>194</v>
      </c>
      <c r="X488" s="149"/>
    </row>
    <row r="489" customHeight="1" spans="1:24">
      <c r="A489" s="153">
        <v>449</v>
      </c>
      <c r="B489" s="154" t="s">
        <v>793</v>
      </c>
      <c r="C489" s="144">
        <v>4</v>
      </c>
      <c r="D489" s="145">
        <v>74</v>
      </c>
      <c r="E489" s="145">
        <v>82</v>
      </c>
      <c r="F489" s="145">
        <v>53</v>
      </c>
      <c r="G489" s="145">
        <v>73</v>
      </c>
      <c r="H489" s="145">
        <v>65</v>
      </c>
      <c r="I489" s="145">
        <f>SUM(D489:H489)</f>
        <v>347</v>
      </c>
      <c r="J489" s="145">
        <v>14</v>
      </c>
      <c r="K489" s="147" t="s">
        <v>130</v>
      </c>
      <c r="L489" s="147" t="s">
        <v>114</v>
      </c>
      <c r="M489" s="147" t="s">
        <v>114</v>
      </c>
      <c r="N489" s="147" t="s">
        <v>130</v>
      </c>
      <c r="O489" s="147" t="s">
        <v>130</v>
      </c>
      <c r="P489" s="147" t="s">
        <v>124</v>
      </c>
      <c r="Q489" s="148" t="s">
        <v>155</v>
      </c>
      <c r="R489" s="148" t="s">
        <v>118</v>
      </c>
      <c r="S489" s="148" t="s">
        <v>133</v>
      </c>
      <c r="T489" s="148" t="s">
        <v>126</v>
      </c>
      <c r="U489" s="145">
        <f>D489+E489</f>
        <v>156</v>
      </c>
      <c r="V489" s="149"/>
      <c r="W489" s="145">
        <f>D489+E489+F489</f>
        <v>209</v>
      </c>
      <c r="X489" s="149"/>
    </row>
    <row r="490" customHeight="1" spans="1:24">
      <c r="A490" s="153">
        <v>773</v>
      </c>
      <c r="B490" s="154" t="s">
        <v>794</v>
      </c>
      <c r="C490" s="144">
        <v>4</v>
      </c>
      <c r="D490" s="145">
        <v>75</v>
      </c>
      <c r="E490" s="145">
        <v>69</v>
      </c>
      <c r="F490" s="145">
        <v>74</v>
      </c>
      <c r="G490" s="145">
        <v>76</v>
      </c>
      <c r="H490" s="145">
        <v>65</v>
      </c>
      <c r="I490" s="145">
        <f>SUM(D490:H490)</f>
        <v>359</v>
      </c>
      <c r="J490" s="145">
        <v>87</v>
      </c>
      <c r="K490" s="147" t="s">
        <v>130</v>
      </c>
      <c r="L490" s="147" t="s">
        <v>114</v>
      </c>
      <c r="M490" s="147" t="s">
        <v>114</v>
      </c>
      <c r="N490" s="147" t="s">
        <v>130</v>
      </c>
      <c r="O490" s="147" t="s">
        <v>130</v>
      </c>
      <c r="P490" s="147" t="s">
        <v>115</v>
      </c>
      <c r="Q490" s="148" t="s">
        <v>674</v>
      </c>
      <c r="R490" s="148" t="s">
        <v>132</v>
      </c>
      <c r="S490" s="148" t="s">
        <v>119</v>
      </c>
      <c r="T490" s="148" t="s">
        <v>120</v>
      </c>
      <c r="U490" s="145">
        <f>D490+E490</f>
        <v>144</v>
      </c>
      <c r="V490" s="149"/>
      <c r="W490" s="145">
        <f>D490+E490+F490</f>
        <v>218</v>
      </c>
      <c r="X490" s="149"/>
    </row>
    <row r="491" customHeight="1" spans="1:24">
      <c r="A491" s="153">
        <v>398</v>
      </c>
      <c r="B491" s="175" t="s">
        <v>795</v>
      </c>
      <c r="C491" s="144">
        <v>19</v>
      </c>
      <c r="D491" s="145">
        <v>77</v>
      </c>
      <c r="E491" s="145">
        <v>99</v>
      </c>
      <c r="F491" s="145">
        <v>45</v>
      </c>
      <c r="G491" s="145">
        <v>41</v>
      </c>
      <c r="H491" s="145">
        <v>64</v>
      </c>
      <c r="I491" s="145">
        <f>SUM(D491:H491)</f>
        <v>326</v>
      </c>
      <c r="J491" s="145">
        <v>147</v>
      </c>
      <c r="K491" s="147" t="s">
        <v>114</v>
      </c>
      <c r="L491" s="147" t="s">
        <v>130</v>
      </c>
      <c r="M491" s="147" t="s">
        <v>130</v>
      </c>
      <c r="N491" s="179" t="s">
        <v>115</v>
      </c>
      <c r="O491" s="147" t="s">
        <v>130</v>
      </c>
      <c r="P491" s="147" t="s">
        <v>124</v>
      </c>
      <c r="Q491" s="148" t="s">
        <v>490</v>
      </c>
      <c r="R491" s="148" t="s">
        <v>132</v>
      </c>
      <c r="S491" s="148" t="s">
        <v>119</v>
      </c>
      <c r="T491" s="148" t="s">
        <v>126</v>
      </c>
      <c r="U491" s="145">
        <f>D491+E491</f>
        <v>176</v>
      </c>
      <c r="V491" s="149"/>
      <c r="W491" s="145">
        <f>D491+E491+F491</f>
        <v>221</v>
      </c>
      <c r="X491" s="149"/>
    </row>
    <row r="492" customHeight="1" spans="1:24">
      <c r="A492" s="153">
        <v>784</v>
      </c>
      <c r="B492" s="154" t="s">
        <v>796</v>
      </c>
      <c r="C492" s="144">
        <v>8</v>
      </c>
      <c r="D492" s="145">
        <v>79</v>
      </c>
      <c r="E492" s="145">
        <v>89</v>
      </c>
      <c r="F492" s="145">
        <v>55</v>
      </c>
      <c r="G492" s="145">
        <v>51</v>
      </c>
      <c r="H492" s="145">
        <v>64</v>
      </c>
      <c r="I492" s="145">
        <f>SUM(D492:H492)</f>
        <v>338</v>
      </c>
      <c r="J492" s="145">
        <v>59</v>
      </c>
      <c r="K492" s="147" t="s">
        <v>114</v>
      </c>
      <c r="L492" s="147" t="s">
        <v>130</v>
      </c>
      <c r="M492" s="147" t="s">
        <v>114</v>
      </c>
      <c r="N492" s="147" t="s">
        <v>115</v>
      </c>
      <c r="O492" s="147" t="s">
        <v>130</v>
      </c>
      <c r="P492" s="147" t="s">
        <v>114</v>
      </c>
      <c r="Q492" s="148" t="s">
        <v>577</v>
      </c>
      <c r="R492" s="148" t="s">
        <v>118</v>
      </c>
      <c r="S492" s="148" t="s">
        <v>119</v>
      </c>
      <c r="T492" s="148" t="s">
        <v>126</v>
      </c>
      <c r="U492" s="145">
        <f>D492+E492</f>
        <v>168</v>
      </c>
      <c r="V492" s="149"/>
      <c r="W492" s="145">
        <f>D492+E492+F492</f>
        <v>223</v>
      </c>
      <c r="X492" s="149"/>
    </row>
    <row r="493" customHeight="1" spans="1:24">
      <c r="A493" s="153">
        <v>620</v>
      </c>
      <c r="B493" s="154" t="s">
        <v>797</v>
      </c>
      <c r="C493" s="144">
        <v>1</v>
      </c>
      <c r="D493" s="145">
        <v>53</v>
      </c>
      <c r="E493" s="145">
        <v>57</v>
      </c>
      <c r="F493" s="145">
        <v>81</v>
      </c>
      <c r="G493" s="145">
        <v>89</v>
      </c>
      <c r="H493" s="145">
        <v>64</v>
      </c>
      <c r="I493" s="145">
        <f>SUM(D493:H493)</f>
        <v>344</v>
      </c>
      <c r="J493" s="145">
        <v>110</v>
      </c>
      <c r="K493" s="147" t="s">
        <v>124</v>
      </c>
      <c r="L493" s="147" t="s">
        <v>124</v>
      </c>
      <c r="M493" s="147" t="s">
        <v>124</v>
      </c>
      <c r="N493" s="147" t="s">
        <v>124</v>
      </c>
      <c r="O493" s="147" t="s">
        <v>130</v>
      </c>
      <c r="P493" s="147" t="s">
        <v>130</v>
      </c>
      <c r="Q493" s="148" t="s">
        <v>330</v>
      </c>
      <c r="R493" s="148" t="s">
        <v>132</v>
      </c>
      <c r="S493" s="148" t="s">
        <v>119</v>
      </c>
      <c r="T493" s="148" t="s">
        <v>126</v>
      </c>
      <c r="U493" s="145">
        <f>D493+E493</f>
        <v>110</v>
      </c>
      <c r="V493" s="149"/>
      <c r="W493" s="145">
        <f>D493+E493+F493</f>
        <v>191</v>
      </c>
      <c r="X493" s="252"/>
    </row>
    <row r="494" customHeight="1" spans="1:24">
      <c r="A494" s="153">
        <v>283</v>
      </c>
      <c r="B494" s="154" t="s">
        <v>798</v>
      </c>
      <c r="C494" s="144">
        <v>3</v>
      </c>
      <c r="D494" s="145">
        <v>67</v>
      </c>
      <c r="E494" s="145">
        <v>50</v>
      </c>
      <c r="F494" s="145">
        <v>87</v>
      </c>
      <c r="G494" s="145">
        <v>77</v>
      </c>
      <c r="H494" s="145">
        <v>64</v>
      </c>
      <c r="I494" s="145">
        <f>SUM(D494:H494)</f>
        <v>345</v>
      </c>
      <c r="J494" s="145">
        <v>8</v>
      </c>
      <c r="K494" s="147" t="s">
        <v>114</v>
      </c>
      <c r="L494" s="147" t="s">
        <v>114</v>
      </c>
      <c r="M494" s="147" t="s">
        <v>130</v>
      </c>
      <c r="N494" s="147" t="s">
        <v>130</v>
      </c>
      <c r="O494" s="147" t="s">
        <v>130</v>
      </c>
      <c r="P494" s="147" t="s">
        <v>124</v>
      </c>
      <c r="Q494" s="148" t="s">
        <v>476</v>
      </c>
      <c r="R494" s="148" t="s">
        <v>132</v>
      </c>
      <c r="S494" s="148" t="s">
        <v>119</v>
      </c>
      <c r="T494" s="148" t="s">
        <v>120</v>
      </c>
      <c r="U494" s="145">
        <f>D494+E494</f>
        <v>117</v>
      </c>
      <c r="V494" s="149"/>
      <c r="W494" s="145">
        <f>D494+E494+F494</f>
        <v>204</v>
      </c>
      <c r="X494" s="149"/>
    </row>
    <row r="495" customHeight="1" spans="1:24">
      <c r="A495" s="153">
        <v>129</v>
      </c>
      <c r="B495" s="154" t="s">
        <v>799</v>
      </c>
      <c r="C495" s="144">
        <v>3</v>
      </c>
      <c r="D495" s="145">
        <v>42</v>
      </c>
      <c r="E495" s="145">
        <v>19</v>
      </c>
      <c r="F495" s="145">
        <v>96</v>
      </c>
      <c r="G495" s="145">
        <v>80</v>
      </c>
      <c r="H495" s="145">
        <v>63</v>
      </c>
      <c r="I495" s="145">
        <f>SUM(D495:H495)</f>
        <v>300</v>
      </c>
      <c r="J495" s="145">
        <v>101</v>
      </c>
      <c r="K495" s="147" t="s">
        <v>130</v>
      </c>
      <c r="L495" s="147" t="s">
        <v>124</v>
      </c>
      <c r="M495" s="147" t="s">
        <v>124</v>
      </c>
      <c r="N495" s="147" t="s">
        <v>124</v>
      </c>
      <c r="O495" s="147" t="s">
        <v>130</v>
      </c>
      <c r="P495" s="147" t="s">
        <v>124</v>
      </c>
      <c r="Q495" s="148" t="s">
        <v>358</v>
      </c>
      <c r="R495" s="148" t="s">
        <v>132</v>
      </c>
      <c r="S495" s="148" t="s">
        <v>119</v>
      </c>
      <c r="T495" s="148" t="s">
        <v>120</v>
      </c>
      <c r="U495" s="145">
        <f>D495+E495</f>
        <v>61</v>
      </c>
      <c r="V495" s="149"/>
      <c r="W495" s="145">
        <f>D495+E495+F495</f>
        <v>157</v>
      </c>
      <c r="X495" s="149"/>
    </row>
    <row r="496" customHeight="1" spans="1:24">
      <c r="A496" s="153">
        <v>417</v>
      </c>
      <c r="B496" s="154" t="s">
        <v>800</v>
      </c>
      <c r="C496" s="144">
        <v>18</v>
      </c>
      <c r="D496" s="145">
        <v>79</v>
      </c>
      <c r="E496" s="145">
        <v>101</v>
      </c>
      <c r="F496" s="145">
        <v>43</v>
      </c>
      <c r="G496" s="145">
        <v>30</v>
      </c>
      <c r="H496" s="145">
        <v>63</v>
      </c>
      <c r="I496" s="145">
        <f>SUM(D496:H496)</f>
        <v>316</v>
      </c>
      <c r="J496" s="145">
        <v>2</v>
      </c>
      <c r="K496" s="147" t="s">
        <v>115</v>
      </c>
      <c r="L496" s="147" t="s">
        <v>130</v>
      </c>
      <c r="M496" s="147" t="s">
        <v>114</v>
      </c>
      <c r="N496" s="147" t="s">
        <v>114</v>
      </c>
      <c r="O496" s="147" t="s">
        <v>130</v>
      </c>
      <c r="P496" s="147" t="s">
        <v>124</v>
      </c>
      <c r="Q496" s="158" t="s">
        <v>801</v>
      </c>
      <c r="R496" s="148" t="s">
        <v>132</v>
      </c>
      <c r="S496" s="148" t="s">
        <v>119</v>
      </c>
      <c r="T496" s="148" t="s">
        <v>250</v>
      </c>
      <c r="U496" s="145">
        <f>D496+E496</f>
        <v>180</v>
      </c>
      <c r="V496" s="148" t="s">
        <v>802</v>
      </c>
      <c r="W496" s="145">
        <f>D496+E496+F496</f>
        <v>223</v>
      </c>
      <c r="X496" s="149"/>
    </row>
    <row r="497" customHeight="1" spans="1:24">
      <c r="A497" s="153">
        <v>487</v>
      </c>
      <c r="B497" s="175" t="s">
        <v>803</v>
      </c>
      <c r="C497" s="144">
        <v>21</v>
      </c>
      <c r="D497" s="145">
        <v>70</v>
      </c>
      <c r="E497" s="145">
        <v>97</v>
      </c>
      <c r="F497" s="145">
        <v>42</v>
      </c>
      <c r="G497" s="145">
        <v>51</v>
      </c>
      <c r="H497" s="145">
        <v>63</v>
      </c>
      <c r="I497" s="145">
        <f>SUM(D497:H497)</f>
        <v>323</v>
      </c>
      <c r="J497" s="145">
        <v>47</v>
      </c>
      <c r="K497" s="147" t="s">
        <v>114</v>
      </c>
      <c r="L497" s="179" t="s">
        <v>115</v>
      </c>
      <c r="M497" s="147" t="s">
        <v>124</v>
      </c>
      <c r="N497" s="147" t="s">
        <v>130</v>
      </c>
      <c r="O497" s="147" t="s">
        <v>130</v>
      </c>
      <c r="P497" s="147" t="s">
        <v>130</v>
      </c>
      <c r="Q497" s="158" t="s">
        <v>270</v>
      </c>
      <c r="R497" s="148" t="s">
        <v>132</v>
      </c>
      <c r="S497" s="148" t="s">
        <v>119</v>
      </c>
      <c r="T497" s="148" t="s">
        <v>126</v>
      </c>
      <c r="U497" s="145">
        <f>D497+E497</f>
        <v>167</v>
      </c>
      <c r="V497" s="148" t="s">
        <v>271</v>
      </c>
      <c r="W497" s="145">
        <f>D497+E497+F497</f>
        <v>209</v>
      </c>
      <c r="X497" s="149"/>
    </row>
    <row r="498" customHeight="1" spans="1:24">
      <c r="A498" s="153">
        <v>573</v>
      </c>
      <c r="B498" s="154" t="s">
        <v>804</v>
      </c>
      <c r="C498" s="144">
        <v>7</v>
      </c>
      <c r="D498" s="145">
        <v>75</v>
      </c>
      <c r="E498" s="145">
        <v>85</v>
      </c>
      <c r="F498" s="145">
        <v>44</v>
      </c>
      <c r="G498" s="145">
        <v>58</v>
      </c>
      <c r="H498" s="145">
        <v>63</v>
      </c>
      <c r="I498" s="145">
        <f>SUM(D498:H498)</f>
        <v>325</v>
      </c>
      <c r="J498" s="145">
        <v>37</v>
      </c>
      <c r="K498" s="147" t="s">
        <v>130</v>
      </c>
      <c r="L498" s="147" t="s">
        <v>114</v>
      </c>
      <c r="M498" s="147" t="s">
        <v>130</v>
      </c>
      <c r="N498" s="147" t="s">
        <v>115</v>
      </c>
      <c r="O498" s="147" t="s">
        <v>130</v>
      </c>
      <c r="P498" s="147" t="s">
        <v>124</v>
      </c>
      <c r="Q498" s="148" t="s">
        <v>416</v>
      </c>
      <c r="R498" s="148" t="s">
        <v>132</v>
      </c>
      <c r="S498" s="148" t="s">
        <v>119</v>
      </c>
      <c r="T498" s="148" t="s">
        <v>148</v>
      </c>
      <c r="U498" s="145">
        <f>D498+E498</f>
        <v>160</v>
      </c>
      <c r="V498" s="149"/>
      <c r="W498" s="145">
        <f>D498+E498+F498</f>
        <v>204</v>
      </c>
      <c r="X498" s="149"/>
    </row>
    <row r="499" customHeight="1" spans="1:24">
      <c r="A499" s="153">
        <v>287</v>
      </c>
      <c r="B499" s="154" t="s">
        <v>805</v>
      </c>
      <c r="C499" s="144">
        <v>2</v>
      </c>
      <c r="D499" s="145">
        <v>51</v>
      </c>
      <c r="E499" s="145">
        <v>45</v>
      </c>
      <c r="F499" s="145">
        <v>85</v>
      </c>
      <c r="G499" s="145">
        <v>86</v>
      </c>
      <c r="H499" s="145">
        <v>63</v>
      </c>
      <c r="I499" s="145">
        <f>SUM(D499:H499)</f>
        <v>330</v>
      </c>
      <c r="J499" s="145">
        <v>132</v>
      </c>
      <c r="K499" s="147" t="s">
        <v>124</v>
      </c>
      <c r="L499" s="147" t="s">
        <v>124</v>
      </c>
      <c r="M499" s="147" t="s">
        <v>124</v>
      </c>
      <c r="N499" s="147" t="s">
        <v>124</v>
      </c>
      <c r="O499" s="147" t="s">
        <v>130</v>
      </c>
      <c r="P499" s="147" t="s">
        <v>124</v>
      </c>
      <c r="Q499" s="148" t="s">
        <v>358</v>
      </c>
      <c r="R499" s="148" t="s">
        <v>119</v>
      </c>
      <c r="S499" s="148" t="s">
        <v>119</v>
      </c>
      <c r="T499" s="148" t="s">
        <v>120</v>
      </c>
      <c r="U499" s="145">
        <f>D499+E499</f>
        <v>96</v>
      </c>
      <c r="V499" s="149"/>
      <c r="W499" s="145">
        <f>D499+E499+F499</f>
        <v>181</v>
      </c>
      <c r="X499" s="149"/>
    </row>
    <row r="500" customHeight="1" spans="1:24">
      <c r="A500" s="153">
        <v>102</v>
      </c>
      <c r="B500" s="154" t="s">
        <v>806</v>
      </c>
      <c r="C500" s="144">
        <v>7</v>
      </c>
      <c r="D500" s="145">
        <v>79</v>
      </c>
      <c r="E500" s="145">
        <v>77</v>
      </c>
      <c r="F500" s="145">
        <v>48</v>
      </c>
      <c r="G500" s="145">
        <v>45</v>
      </c>
      <c r="H500" s="145">
        <v>62</v>
      </c>
      <c r="I500" s="145">
        <f>SUM(D500:H500)</f>
        <v>311</v>
      </c>
      <c r="J500" s="145">
        <v>100</v>
      </c>
      <c r="K500" s="147" t="s">
        <v>115</v>
      </c>
      <c r="L500" s="147" t="s">
        <v>114</v>
      </c>
      <c r="M500" s="147" t="s">
        <v>114</v>
      </c>
      <c r="N500" s="147" t="s">
        <v>130</v>
      </c>
      <c r="O500" s="147" t="s">
        <v>130</v>
      </c>
      <c r="P500" s="147" t="s">
        <v>114</v>
      </c>
      <c r="Q500" s="148" t="s">
        <v>472</v>
      </c>
      <c r="R500" s="148" t="s">
        <v>132</v>
      </c>
      <c r="S500" s="148" t="s">
        <v>119</v>
      </c>
      <c r="T500" s="148" t="s">
        <v>250</v>
      </c>
      <c r="U500" s="145">
        <f>D500+E500</f>
        <v>156</v>
      </c>
      <c r="V500" s="149"/>
      <c r="W500" s="145">
        <f>D500+E500+F500</f>
        <v>204</v>
      </c>
      <c r="X500" s="149"/>
    </row>
    <row r="501" customHeight="1" spans="1:24">
      <c r="A501" s="153">
        <v>799</v>
      </c>
      <c r="B501" s="154" t="s">
        <v>807</v>
      </c>
      <c r="C501" s="144">
        <v>5</v>
      </c>
      <c r="D501" s="145">
        <v>75</v>
      </c>
      <c r="E501" s="145">
        <v>77</v>
      </c>
      <c r="F501" s="145">
        <v>54</v>
      </c>
      <c r="G501" s="145">
        <v>54</v>
      </c>
      <c r="H501" s="145">
        <v>62</v>
      </c>
      <c r="I501" s="145">
        <f>SUM(D501:H501)</f>
        <v>322</v>
      </c>
      <c r="J501" s="145">
        <v>135</v>
      </c>
      <c r="K501" s="147" t="s">
        <v>114</v>
      </c>
      <c r="L501" s="147" t="s">
        <v>130</v>
      </c>
      <c r="M501" s="147" t="s">
        <v>114</v>
      </c>
      <c r="N501" s="147" t="s">
        <v>114</v>
      </c>
      <c r="O501" s="147" t="s">
        <v>130</v>
      </c>
      <c r="P501" s="147" t="s">
        <v>124</v>
      </c>
      <c r="Q501" s="148" t="s">
        <v>194</v>
      </c>
      <c r="R501" s="148" t="s">
        <v>132</v>
      </c>
      <c r="S501" s="148" t="s">
        <v>119</v>
      </c>
      <c r="T501" s="148" t="s">
        <v>126</v>
      </c>
      <c r="U501" s="145">
        <f>D501+E501</f>
        <v>152</v>
      </c>
      <c r="V501" s="149"/>
      <c r="W501" s="145">
        <f>D501+E501+F501</f>
        <v>206</v>
      </c>
      <c r="X501" s="149"/>
    </row>
    <row r="502" customHeight="1" spans="1:24">
      <c r="A502" s="153">
        <v>139</v>
      </c>
      <c r="B502" s="154" t="s">
        <v>808</v>
      </c>
      <c r="C502" s="144">
        <v>3</v>
      </c>
      <c r="D502" s="145">
        <v>68</v>
      </c>
      <c r="E502" s="145">
        <v>58</v>
      </c>
      <c r="F502" s="145">
        <v>88</v>
      </c>
      <c r="G502" s="145">
        <v>63</v>
      </c>
      <c r="H502" s="145">
        <v>62</v>
      </c>
      <c r="I502" s="145">
        <f>SUM(D502:H502)</f>
        <v>339</v>
      </c>
      <c r="J502" s="145">
        <v>82</v>
      </c>
      <c r="K502" s="147" t="s">
        <v>130</v>
      </c>
      <c r="L502" s="147" t="s">
        <v>130</v>
      </c>
      <c r="M502" s="147" t="s">
        <v>124</v>
      </c>
      <c r="N502" s="147" t="s">
        <v>130</v>
      </c>
      <c r="O502" s="147" t="s">
        <v>130</v>
      </c>
      <c r="P502" s="147" t="s">
        <v>124</v>
      </c>
      <c r="Q502" s="148" t="s">
        <v>476</v>
      </c>
      <c r="R502" s="148" t="s">
        <v>132</v>
      </c>
      <c r="S502" s="148" t="s">
        <v>119</v>
      </c>
      <c r="T502" s="148" t="s">
        <v>120</v>
      </c>
      <c r="U502" s="145">
        <f>D502+E502</f>
        <v>126</v>
      </c>
      <c r="V502" s="149"/>
      <c r="W502" s="145">
        <f>D502+E502+F502</f>
        <v>214</v>
      </c>
      <c r="X502" s="149"/>
    </row>
    <row r="503" customHeight="1" spans="1:24">
      <c r="A503" s="153">
        <v>779</v>
      </c>
      <c r="B503" s="143" t="s">
        <v>809</v>
      </c>
      <c r="C503" s="144">
        <v>1</v>
      </c>
      <c r="D503" s="145">
        <v>63</v>
      </c>
      <c r="E503" s="145">
        <v>65</v>
      </c>
      <c r="F503" s="145">
        <v>75</v>
      </c>
      <c r="G503" s="145">
        <v>77</v>
      </c>
      <c r="H503" s="145">
        <v>62</v>
      </c>
      <c r="I503" s="145">
        <f>SUM(D503:H503)</f>
        <v>342</v>
      </c>
      <c r="J503" s="145">
        <v>16</v>
      </c>
      <c r="K503" s="147" t="s">
        <v>124</v>
      </c>
      <c r="L503" s="147" t="s">
        <v>130</v>
      </c>
      <c r="M503" s="147" t="s">
        <v>130</v>
      </c>
      <c r="N503" s="147" t="s">
        <v>124</v>
      </c>
      <c r="O503" s="147" t="s">
        <v>130</v>
      </c>
      <c r="P503" s="147" t="s">
        <v>130</v>
      </c>
      <c r="Q503" s="149"/>
      <c r="R503" s="148" t="s">
        <v>175</v>
      </c>
      <c r="S503" s="148" t="s">
        <v>136</v>
      </c>
      <c r="T503" s="148" t="s">
        <v>126</v>
      </c>
      <c r="U503" s="145">
        <f>D503+E503</f>
        <v>128</v>
      </c>
      <c r="V503" s="149"/>
      <c r="W503" s="145">
        <f>D503+E503+F503</f>
        <v>203</v>
      </c>
      <c r="X503" s="252"/>
    </row>
    <row r="504" customHeight="1" spans="1:24">
      <c r="A504" s="153">
        <v>561</v>
      </c>
      <c r="B504" s="154" t="s">
        <v>810</v>
      </c>
      <c r="C504" s="144">
        <v>4</v>
      </c>
      <c r="D504" s="145">
        <v>77</v>
      </c>
      <c r="E504" s="145">
        <v>78</v>
      </c>
      <c r="F504" s="145">
        <v>58</v>
      </c>
      <c r="G504" s="145">
        <v>55</v>
      </c>
      <c r="H504" s="145">
        <v>61</v>
      </c>
      <c r="I504" s="145">
        <f>SUM(D504:H504)</f>
        <v>329</v>
      </c>
      <c r="J504" s="145">
        <v>34</v>
      </c>
      <c r="K504" s="147" t="s">
        <v>114</v>
      </c>
      <c r="L504" s="147" t="s">
        <v>114</v>
      </c>
      <c r="M504" s="147" t="s">
        <v>124</v>
      </c>
      <c r="N504" s="147" t="s">
        <v>130</v>
      </c>
      <c r="O504" s="147" t="s">
        <v>130</v>
      </c>
      <c r="P504" s="147" t="s">
        <v>115</v>
      </c>
      <c r="Q504" s="148" t="s">
        <v>245</v>
      </c>
      <c r="R504" s="148" t="s">
        <v>132</v>
      </c>
      <c r="S504" s="148" t="s">
        <v>119</v>
      </c>
      <c r="T504" s="148" t="s">
        <v>126</v>
      </c>
      <c r="U504" s="145">
        <f>D504+E504</f>
        <v>155</v>
      </c>
      <c r="V504" s="149"/>
      <c r="W504" s="145">
        <f>D504+E504+F504</f>
        <v>213</v>
      </c>
      <c r="X504" s="149"/>
    </row>
    <row r="505" customHeight="1" spans="1:24">
      <c r="A505" s="153">
        <v>293</v>
      </c>
      <c r="B505" s="154" t="s">
        <v>811</v>
      </c>
      <c r="C505" s="144">
        <v>6</v>
      </c>
      <c r="D505" s="145">
        <v>77</v>
      </c>
      <c r="E505" s="145">
        <v>79</v>
      </c>
      <c r="F505" s="145">
        <v>77</v>
      </c>
      <c r="G505" s="145">
        <v>55</v>
      </c>
      <c r="H505" s="145">
        <v>61</v>
      </c>
      <c r="I505" s="145">
        <f>SUM(D505:H505)</f>
        <v>349</v>
      </c>
      <c r="J505" s="145">
        <v>93</v>
      </c>
      <c r="K505" s="147" t="s">
        <v>114</v>
      </c>
      <c r="L505" s="147" t="s">
        <v>114</v>
      </c>
      <c r="M505" s="147" t="s">
        <v>130</v>
      </c>
      <c r="N505" s="147" t="s">
        <v>114</v>
      </c>
      <c r="O505" s="147" t="s">
        <v>130</v>
      </c>
      <c r="P505" s="147" t="s">
        <v>124</v>
      </c>
      <c r="Q505" s="148" t="s">
        <v>459</v>
      </c>
      <c r="R505" s="148" t="s">
        <v>132</v>
      </c>
      <c r="S505" s="148" t="s">
        <v>119</v>
      </c>
      <c r="T505" s="148" t="s">
        <v>126</v>
      </c>
      <c r="U505" s="145">
        <f>D505+E505</f>
        <v>156</v>
      </c>
      <c r="V505" s="149"/>
      <c r="W505" s="145">
        <f>D505+E505+F505</f>
        <v>233</v>
      </c>
      <c r="X505" s="149"/>
    </row>
    <row r="506" customHeight="1" spans="1:24">
      <c r="A506" s="153">
        <v>180</v>
      </c>
      <c r="B506" s="154" t="s">
        <v>812</v>
      </c>
      <c r="C506" s="144">
        <v>16</v>
      </c>
      <c r="D506" s="145">
        <v>90</v>
      </c>
      <c r="E506" s="145">
        <v>79</v>
      </c>
      <c r="F506" s="145">
        <v>66</v>
      </c>
      <c r="G506" s="145">
        <v>71</v>
      </c>
      <c r="H506" s="145">
        <v>61</v>
      </c>
      <c r="I506" s="145">
        <f>SUM(D506:H506)</f>
        <v>367</v>
      </c>
      <c r="J506" s="145">
        <v>145</v>
      </c>
      <c r="K506" s="147" t="s">
        <v>115</v>
      </c>
      <c r="L506" s="147" t="s">
        <v>130</v>
      </c>
      <c r="M506" s="147" t="s">
        <v>114</v>
      </c>
      <c r="N506" s="147" t="s">
        <v>115</v>
      </c>
      <c r="O506" s="147" t="s">
        <v>130</v>
      </c>
      <c r="P506" s="147" t="s">
        <v>124</v>
      </c>
      <c r="Q506" s="158" t="s">
        <v>274</v>
      </c>
      <c r="R506" s="148" t="s">
        <v>119</v>
      </c>
      <c r="S506" s="148" t="s">
        <v>145</v>
      </c>
      <c r="T506" s="148" t="s">
        <v>250</v>
      </c>
      <c r="U506" s="145">
        <f>D506+E506</f>
        <v>169</v>
      </c>
      <c r="V506" s="148" t="s">
        <v>276</v>
      </c>
      <c r="W506" s="145">
        <f>D506+E506+F506</f>
        <v>235</v>
      </c>
      <c r="X506" s="149"/>
    </row>
    <row r="507" customHeight="1" spans="1:24">
      <c r="A507" s="153">
        <v>509</v>
      </c>
      <c r="B507" s="154" t="s">
        <v>813</v>
      </c>
      <c r="C507" s="144">
        <v>10</v>
      </c>
      <c r="D507" s="145">
        <v>74</v>
      </c>
      <c r="E507" s="145">
        <v>93</v>
      </c>
      <c r="F507" s="145">
        <v>42</v>
      </c>
      <c r="G507" s="145">
        <v>49</v>
      </c>
      <c r="H507" s="145">
        <v>60</v>
      </c>
      <c r="I507" s="145">
        <f>SUM(D507:H507)</f>
        <v>318</v>
      </c>
      <c r="J507" s="145">
        <v>41</v>
      </c>
      <c r="K507" s="147" t="s">
        <v>114</v>
      </c>
      <c r="L507" s="147" t="s">
        <v>114</v>
      </c>
      <c r="M507" s="147" t="s">
        <v>130</v>
      </c>
      <c r="N507" s="147" t="s">
        <v>130</v>
      </c>
      <c r="O507" s="147" t="s">
        <v>130</v>
      </c>
      <c r="P507" s="147" t="s">
        <v>124</v>
      </c>
      <c r="Q507" s="148" t="s">
        <v>592</v>
      </c>
      <c r="R507" s="148" t="s">
        <v>118</v>
      </c>
      <c r="S507" s="148" t="s">
        <v>119</v>
      </c>
      <c r="T507" s="148" t="s">
        <v>250</v>
      </c>
      <c r="U507" s="145">
        <f>D507+E507</f>
        <v>167</v>
      </c>
      <c r="V507" s="149"/>
      <c r="W507" s="145">
        <f>D507+E507+F507</f>
        <v>209</v>
      </c>
      <c r="X507" s="149"/>
    </row>
    <row r="508" customHeight="1" spans="1:24">
      <c r="A508" s="153">
        <v>256</v>
      </c>
      <c r="B508" s="154" t="s">
        <v>814</v>
      </c>
      <c r="C508" s="144">
        <v>6</v>
      </c>
      <c r="D508" s="145">
        <v>49</v>
      </c>
      <c r="E508" s="145">
        <v>33</v>
      </c>
      <c r="F508" s="145">
        <v>99</v>
      </c>
      <c r="G508" s="145">
        <v>81</v>
      </c>
      <c r="H508" s="145">
        <v>60</v>
      </c>
      <c r="I508" s="145">
        <f>SUM(D508:H508)</f>
        <v>322</v>
      </c>
      <c r="J508" s="145">
        <v>139</v>
      </c>
      <c r="K508" s="147" t="s">
        <v>124</v>
      </c>
      <c r="L508" s="147" t="s">
        <v>130</v>
      </c>
      <c r="M508" s="147" t="s">
        <v>124</v>
      </c>
      <c r="N508" s="147" t="s">
        <v>124</v>
      </c>
      <c r="O508" s="147" t="s">
        <v>130</v>
      </c>
      <c r="P508" s="147" t="s">
        <v>124</v>
      </c>
      <c r="Q508" s="148" t="s">
        <v>215</v>
      </c>
      <c r="R508" s="148" t="s">
        <v>132</v>
      </c>
      <c r="S508" s="148" t="s">
        <v>136</v>
      </c>
      <c r="T508" s="148" t="s">
        <v>120</v>
      </c>
      <c r="U508" s="145">
        <f>D508+E508</f>
        <v>82</v>
      </c>
      <c r="V508" s="149"/>
      <c r="W508" s="145">
        <f>D508+E508+F508</f>
        <v>181</v>
      </c>
      <c r="X508" s="149"/>
    </row>
    <row r="509" customHeight="1" spans="1:24">
      <c r="A509" s="153">
        <v>274</v>
      </c>
      <c r="B509" s="143" t="s">
        <v>815</v>
      </c>
      <c r="C509" s="144">
        <v>1</v>
      </c>
      <c r="D509" s="145">
        <v>75</v>
      </c>
      <c r="E509" s="145">
        <v>75</v>
      </c>
      <c r="F509" s="145">
        <v>59</v>
      </c>
      <c r="G509" s="145">
        <v>65</v>
      </c>
      <c r="H509" s="145">
        <v>60</v>
      </c>
      <c r="I509" s="145">
        <f>SUM(D509:H509)</f>
        <v>334</v>
      </c>
      <c r="J509" s="145">
        <v>5</v>
      </c>
      <c r="K509" s="147" t="s">
        <v>114</v>
      </c>
      <c r="L509" s="147" t="s">
        <v>130</v>
      </c>
      <c r="M509" s="147" t="s">
        <v>130</v>
      </c>
      <c r="N509" s="147" t="s">
        <v>114</v>
      </c>
      <c r="O509" s="147" t="s">
        <v>130</v>
      </c>
      <c r="P509" s="147" t="s">
        <v>124</v>
      </c>
      <c r="Q509" s="149"/>
      <c r="R509" s="148" t="s">
        <v>132</v>
      </c>
      <c r="S509" s="148" t="s">
        <v>119</v>
      </c>
      <c r="T509" s="148" t="s">
        <v>126</v>
      </c>
      <c r="U509" s="145">
        <f>D509+E509</f>
        <v>150</v>
      </c>
      <c r="V509" s="149"/>
      <c r="W509" s="145">
        <f>D509+E509+F509</f>
        <v>209</v>
      </c>
      <c r="X509" s="149"/>
    </row>
    <row r="510" customHeight="1" spans="1:24">
      <c r="A510" s="153">
        <v>67</v>
      </c>
      <c r="B510" s="154" t="s">
        <v>816</v>
      </c>
      <c r="C510" s="144">
        <v>4</v>
      </c>
      <c r="D510" s="145">
        <v>68</v>
      </c>
      <c r="E510" s="145">
        <v>44</v>
      </c>
      <c r="F510" s="145">
        <v>91</v>
      </c>
      <c r="G510" s="145">
        <v>87</v>
      </c>
      <c r="H510" s="145">
        <v>60</v>
      </c>
      <c r="I510" s="145">
        <f>SUM(D510:H510)</f>
        <v>350</v>
      </c>
      <c r="J510" s="145">
        <v>16</v>
      </c>
      <c r="K510" s="147" t="s">
        <v>124</v>
      </c>
      <c r="L510" s="147" t="s">
        <v>114</v>
      </c>
      <c r="M510" s="147" t="s">
        <v>114</v>
      </c>
      <c r="N510" s="147" t="s">
        <v>124</v>
      </c>
      <c r="O510" s="147" t="s">
        <v>130</v>
      </c>
      <c r="P510" s="147" t="s">
        <v>130</v>
      </c>
      <c r="Q510" s="148" t="s">
        <v>333</v>
      </c>
      <c r="R510" s="148" t="s">
        <v>119</v>
      </c>
      <c r="S510" s="148" t="s">
        <v>119</v>
      </c>
      <c r="T510" s="148" t="s">
        <v>126</v>
      </c>
      <c r="U510" s="145">
        <f>D510+E510</f>
        <v>112</v>
      </c>
      <c r="V510" s="149"/>
      <c r="W510" s="145">
        <f>D510+E510+F510</f>
        <v>203</v>
      </c>
      <c r="X510" s="149"/>
    </row>
    <row r="511" customHeight="1" spans="1:24">
      <c r="A511" s="153">
        <v>136</v>
      </c>
      <c r="B511" s="154" t="s">
        <v>817</v>
      </c>
      <c r="C511" s="144">
        <v>5</v>
      </c>
      <c r="D511" s="145">
        <v>81</v>
      </c>
      <c r="E511" s="145">
        <v>78</v>
      </c>
      <c r="F511" s="145">
        <v>76</v>
      </c>
      <c r="G511" s="145">
        <v>57</v>
      </c>
      <c r="H511" s="145">
        <v>60</v>
      </c>
      <c r="I511" s="145">
        <f>SUM(D511:H511)</f>
        <v>352</v>
      </c>
      <c r="J511" s="145">
        <v>70</v>
      </c>
      <c r="K511" s="147" t="s">
        <v>114</v>
      </c>
      <c r="L511" s="147" t="s">
        <v>130</v>
      </c>
      <c r="M511" s="147" t="s">
        <v>114</v>
      </c>
      <c r="N511" s="147" t="s">
        <v>114</v>
      </c>
      <c r="O511" s="147" t="s">
        <v>130</v>
      </c>
      <c r="P511" s="147" t="s">
        <v>124</v>
      </c>
      <c r="Q511" s="148" t="s">
        <v>236</v>
      </c>
      <c r="R511" s="148" t="s">
        <v>119</v>
      </c>
      <c r="S511" s="148" t="s">
        <v>136</v>
      </c>
      <c r="T511" s="148" t="s">
        <v>126</v>
      </c>
      <c r="U511" s="145">
        <f>D511+E511</f>
        <v>159</v>
      </c>
      <c r="V511" s="149"/>
      <c r="W511" s="145">
        <f>D511+E511+F511</f>
        <v>235</v>
      </c>
      <c r="X511" s="149"/>
    </row>
    <row r="512" customHeight="1" spans="1:24">
      <c r="A512" s="153">
        <v>565</v>
      </c>
      <c r="B512" s="154" t="s">
        <v>818</v>
      </c>
      <c r="C512" s="144">
        <v>3</v>
      </c>
      <c r="D512" s="145">
        <v>69</v>
      </c>
      <c r="E512" s="145">
        <v>63</v>
      </c>
      <c r="F512" s="145">
        <v>90</v>
      </c>
      <c r="G512" s="145">
        <v>78</v>
      </c>
      <c r="H512" s="145">
        <v>60</v>
      </c>
      <c r="I512" s="145">
        <f>SUM(D512:H512)</f>
        <v>360</v>
      </c>
      <c r="J512" s="145">
        <v>36</v>
      </c>
      <c r="K512" s="147" t="s">
        <v>130</v>
      </c>
      <c r="L512" s="147" t="s">
        <v>130</v>
      </c>
      <c r="M512" s="147" t="s">
        <v>124</v>
      </c>
      <c r="N512" s="147" t="s">
        <v>130</v>
      </c>
      <c r="O512" s="147" t="s">
        <v>130</v>
      </c>
      <c r="P512" s="147" t="s">
        <v>130</v>
      </c>
      <c r="Q512" s="148" t="s">
        <v>372</v>
      </c>
      <c r="R512" s="148" t="s">
        <v>132</v>
      </c>
      <c r="S512" s="148" t="s">
        <v>136</v>
      </c>
      <c r="T512" s="148" t="s">
        <v>120</v>
      </c>
      <c r="U512" s="145">
        <f>D512+E512</f>
        <v>132</v>
      </c>
      <c r="V512" s="149"/>
      <c r="W512" s="145">
        <f>D512+E512+F512</f>
        <v>222</v>
      </c>
      <c r="X512" s="149"/>
    </row>
    <row r="513" customHeight="1" spans="1:24">
      <c r="A513" s="153">
        <v>685</v>
      </c>
      <c r="B513" s="154" t="s">
        <v>819</v>
      </c>
      <c r="C513" s="144">
        <v>9</v>
      </c>
      <c r="D513" s="145">
        <v>78</v>
      </c>
      <c r="E513" s="145">
        <v>81</v>
      </c>
      <c r="F513" s="145">
        <v>47</v>
      </c>
      <c r="G513" s="145">
        <v>48</v>
      </c>
      <c r="H513" s="145">
        <v>59</v>
      </c>
      <c r="I513" s="145">
        <f>SUM(D513:H513)</f>
        <v>313</v>
      </c>
      <c r="J513" s="145">
        <v>92</v>
      </c>
      <c r="K513" s="147" t="s">
        <v>114</v>
      </c>
      <c r="L513" s="147" t="s">
        <v>130</v>
      </c>
      <c r="M513" s="147" t="s">
        <v>130</v>
      </c>
      <c r="N513" s="147" t="s">
        <v>115</v>
      </c>
      <c r="O513" s="147" t="s">
        <v>130</v>
      </c>
      <c r="P513" s="147" t="s">
        <v>124</v>
      </c>
      <c r="Q513" s="148" t="s">
        <v>220</v>
      </c>
      <c r="R513" s="148" t="s">
        <v>132</v>
      </c>
      <c r="S513" s="148" t="s">
        <v>119</v>
      </c>
      <c r="T513" s="148" t="s">
        <v>126</v>
      </c>
      <c r="U513" s="145">
        <f>D513+E513</f>
        <v>159</v>
      </c>
      <c r="V513" s="149"/>
      <c r="W513" s="145">
        <f>D513+E513+F513</f>
        <v>206</v>
      </c>
      <c r="X513" s="149"/>
    </row>
    <row r="514" customHeight="1" spans="1:24">
      <c r="A514" s="153">
        <v>406</v>
      </c>
      <c r="B514" s="154" t="s">
        <v>820</v>
      </c>
      <c r="C514" s="144">
        <v>18</v>
      </c>
      <c r="D514" s="145">
        <v>92</v>
      </c>
      <c r="E514" s="145">
        <v>84</v>
      </c>
      <c r="F514" s="145">
        <v>55</v>
      </c>
      <c r="G514" s="145">
        <v>55</v>
      </c>
      <c r="H514" s="145">
        <v>59</v>
      </c>
      <c r="I514" s="145">
        <f>SUM(D514:H514)</f>
        <v>345</v>
      </c>
      <c r="J514" s="145">
        <v>0</v>
      </c>
      <c r="K514" s="147" t="s">
        <v>114</v>
      </c>
      <c r="L514" s="147" t="s">
        <v>114</v>
      </c>
      <c r="M514" s="147" t="s">
        <v>114</v>
      </c>
      <c r="N514" s="147" t="s">
        <v>115</v>
      </c>
      <c r="O514" s="147" t="s">
        <v>130</v>
      </c>
      <c r="P514" s="147" t="s">
        <v>130</v>
      </c>
      <c r="Q514" s="148" t="s">
        <v>655</v>
      </c>
      <c r="R514" s="148" t="s">
        <v>175</v>
      </c>
      <c r="S514" s="148" t="s">
        <v>145</v>
      </c>
      <c r="T514" s="148" t="s">
        <v>250</v>
      </c>
      <c r="U514" s="145">
        <f>D514+E514</f>
        <v>176</v>
      </c>
      <c r="V514" s="149"/>
      <c r="W514" s="145">
        <f>D514+E514+F514</f>
        <v>231</v>
      </c>
      <c r="X514" s="149"/>
    </row>
    <row r="515" customHeight="1" spans="1:24">
      <c r="A515" s="153">
        <v>416</v>
      </c>
      <c r="B515" s="154" t="s">
        <v>821</v>
      </c>
      <c r="C515" s="144">
        <v>6</v>
      </c>
      <c r="D515" s="145">
        <v>81</v>
      </c>
      <c r="E515" s="145">
        <v>72</v>
      </c>
      <c r="F515" s="145">
        <v>79</v>
      </c>
      <c r="G515" s="145">
        <v>72</v>
      </c>
      <c r="H515" s="145">
        <v>59</v>
      </c>
      <c r="I515" s="145">
        <f>SUM(D515:H515)</f>
        <v>363</v>
      </c>
      <c r="J515" s="145">
        <v>0</v>
      </c>
      <c r="K515" s="147" t="s">
        <v>114</v>
      </c>
      <c r="L515" s="147" t="s">
        <v>114</v>
      </c>
      <c r="M515" s="147" t="s">
        <v>130</v>
      </c>
      <c r="N515" s="147" t="s">
        <v>114</v>
      </c>
      <c r="O515" s="147" t="s">
        <v>130</v>
      </c>
      <c r="P515" s="147" t="s">
        <v>124</v>
      </c>
      <c r="Q515" s="148" t="s">
        <v>230</v>
      </c>
      <c r="R515" s="148" t="s">
        <v>119</v>
      </c>
      <c r="S515" s="148" t="s">
        <v>136</v>
      </c>
      <c r="T515" s="148" t="s">
        <v>126</v>
      </c>
      <c r="U515" s="145">
        <f>D515+E515</f>
        <v>153</v>
      </c>
      <c r="V515" s="149"/>
      <c r="W515" s="145">
        <f>D515+E515+F515</f>
        <v>232</v>
      </c>
      <c r="X515" s="149"/>
    </row>
    <row r="516" customHeight="1" spans="1:24">
      <c r="A516" s="153">
        <v>552</v>
      </c>
      <c r="B516" s="154" t="s">
        <v>822</v>
      </c>
      <c r="C516" s="144">
        <v>16</v>
      </c>
      <c r="D516" s="145">
        <v>79</v>
      </c>
      <c r="E516" s="145">
        <v>93</v>
      </c>
      <c r="F516" s="145">
        <v>42</v>
      </c>
      <c r="G516" s="145">
        <v>36</v>
      </c>
      <c r="H516" s="145">
        <v>58</v>
      </c>
      <c r="I516" s="145">
        <f>SUM(D516:H516)</f>
        <v>308</v>
      </c>
      <c r="J516" s="145">
        <v>35</v>
      </c>
      <c r="K516" s="147" t="s">
        <v>130</v>
      </c>
      <c r="L516" s="147" t="s">
        <v>130</v>
      </c>
      <c r="M516" s="147" t="s">
        <v>114</v>
      </c>
      <c r="N516" s="147" t="s">
        <v>115</v>
      </c>
      <c r="O516" s="147" t="s">
        <v>130</v>
      </c>
      <c r="P516" s="147" t="s">
        <v>124</v>
      </c>
      <c r="Q516" s="148" t="s">
        <v>562</v>
      </c>
      <c r="R516" s="148" t="s">
        <v>119</v>
      </c>
      <c r="S516" s="148" t="s">
        <v>145</v>
      </c>
      <c r="T516" s="148" t="s">
        <v>126</v>
      </c>
      <c r="U516" s="145">
        <f>D516+E516</f>
        <v>172</v>
      </c>
      <c r="V516" s="149"/>
      <c r="W516" s="145">
        <f>D516+E516+F516</f>
        <v>214</v>
      </c>
      <c r="X516" s="149"/>
    </row>
    <row r="517" customHeight="1" spans="1:24">
      <c r="A517" s="153">
        <v>379</v>
      </c>
      <c r="B517" s="154" t="s">
        <v>823</v>
      </c>
      <c r="C517" s="144">
        <v>4</v>
      </c>
      <c r="D517" s="145">
        <v>79</v>
      </c>
      <c r="E517" s="145">
        <v>76</v>
      </c>
      <c r="F517" s="145">
        <v>59</v>
      </c>
      <c r="G517" s="145">
        <v>53</v>
      </c>
      <c r="H517" s="145">
        <v>58</v>
      </c>
      <c r="I517" s="145">
        <f>SUM(D517:H517)</f>
        <v>325</v>
      </c>
      <c r="J517" s="145">
        <v>145</v>
      </c>
      <c r="K517" s="147" t="s">
        <v>114</v>
      </c>
      <c r="L517" s="147" t="s">
        <v>114</v>
      </c>
      <c r="M517" s="147" t="s">
        <v>114</v>
      </c>
      <c r="N517" s="147" t="s">
        <v>114</v>
      </c>
      <c r="O517" s="147" t="s">
        <v>130</v>
      </c>
      <c r="P517" s="147" t="s">
        <v>124</v>
      </c>
      <c r="Q517" s="148" t="s">
        <v>337</v>
      </c>
      <c r="R517" s="148" t="s">
        <v>132</v>
      </c>
      <c r="S517" s="148" t="s">
        <v>119</v>
      </c>
      <c r="T517" s="148" t="s">
        <v>126</v>
      </c>
      <c r="U517" s="145">
        <f>D517+E517</f>
        <v>155</v>
      </c>
      <c r="V517" s="149"/>
      <c r="W517" s="145">
        <f>D517+E517+F517</f>
        <v>214</v>
      </c>
      <c r="X517" s="149"/>
    </row>
    <row r="518" customHeight="1" spans="1:24">
      <c r="A518" s="153">
        <v>794</v>
      </c>
      <c r="B518" s="154" t="s">
        <v>824</v>
      </c>
      <c r="C518" s="144">
        <v>4</v>
      </c>
      <c r="D518" s="145">
        <v>79</v>
      </c>
      <c r="E518" s="145">
        <v>75</v>
      </c>
      <c r="F518" s="145">
        <v>62</v>
      </c>
      <c r="G518" s="145">
        <v>55</v>
      </c>
      <c r="H518" s="145">
        <v>58</v>
      </c>
      <c r="I518" s="145">
        <f>SUM(D518:H518)</f>
        <v>329</v>
      </c>
      <c r="J518" s="145">
        <v>49</v>
      </c>
      <c r="K518" s="147" t="s">
        <v>114</v>
      </c>
      <c r="L518" s="147" t="s">
        <v>115</v>
      </c>
      <c r="M518" s="147" t="s">
        <v>114</v>
      </c>
      <c r="N518" s="147" t="s">
        <v>130</v>
      </c>
      <c r="O518" s="147" t="s">
        <v>130</v>
      </c>
      <c r="P518" s="147" t="s">
        <v>114</v>
      </c>
      <c r="Q518" s="148" t="s">
        <v>579</v>
      </c>
      <c r="R518" s="148" t="s">
        <v>175</v>
      </c>
      <c r="S518" s="148" t="s">
        <v>145</v>
      </c>
      <c r="T518" s="148" t="s">
        <v>120</v>
      </c>
      <c r="U518" s="145">
        <f>D518+E518</f>
        <v>154</v>
      </c>
      <c r="V518" s="149"/>
      <c r="W518" s="145">
        <f>D518+E518+F518</f>
        <v>216</v>
      </c>
      <c r="X518" s="149"/>
    </row>
    <row r="519" customHeight="1" spans="1:24">
      <c r="A519" s="153">
        <v>547</v>
      </c>
      <c r="B519" s="154" t="s">
        <v>825</v>
      </c>
      <c r="C519" s="144">
        <v>11</v>
      </c>
      <c r="D519" s="145">
        <v>86</v>
      </c>
      <c r="E519" s="145">
        <v>82</v>
      </c>
      <c r="F519" s="145">
        <v>52</v>
      </c>
      <c r="G519" s="145">
        <v>61</v>
      </c>
      <c r="H519" s="145">
        <v>58</v>
      </c>
      <c r="I519" s="145">
        <f>SUM(D519:H519)</f>
        <v>339</v>
      </c>
      <c r="J519" s="145">
        <v>126</v>
      </c>
      <c r="K519" s="147" t="s">
        <v>115</v>
      </c>
      <c r="L519" s="147" t="s">
        <v>130</v>
      </c>
      <c r="M519" s="147" t="s">
        <v>124</v>
      </c>
      <c r="N519" s="147" t="s">
        <v>114</v>
      </c>
      <c r="O519" s="147" t="s">
        <v>130</v>
      </c>
      <c r="P519" s="147" t="s">
        <v>130</v>
      </c>
      <c r="Q519" s="148" t="s">
        <v>194</v>
      </c>
      <c r="R519" s="148" t="s">
        <v>175</v>
      </c>
      <c r="S519" s="148" t="s">
        <v>136</v>
      </c>
      <c r="T519" s="148" t="s">
        <v>126</v>
      </c>
      <c r="U519" s="145">
        <f>D519+E519</f>
        <v>168</v>
      </c>
      <c r="V519" s="149"/>
      <c r="W519" s="145">
        <f>D519+E519+F519</f>
        <v>220</v>
      </c>
      <c r="X519" s="149"/>
    </row>
    <row r="520" customHeight="1" spans="1:24">
      <c r="A520" s="153">
        <v>442</v>
      </c>
      <c r="B520" s="154" t="s">
        <v>826</v>
      </c>
      <c r="C520" s="144">
        <v>7</v>
      </c>
      <c r="D520" s="145">
        <v>75</v>
      </c>
      <c r="E520" s="145">
        <v>88</v>
      </c>
      <c r="F520" s="145">
        <v>41</v>
      </c>
      <c r="G520" s="145">
        <v>47</v>
      </c>
      <c r="H520" s="145">
        <v>57</v>
      </c>
      <c r="I520" s="145">
        <f>SUM(D520:H520)</f>
        <v>308</v>
      </c>
      <c r="J520" s="145">
        <v>8</v>
      </c>
      <c r="K520" s="147" t="s">
        <v>130</v>
      </c>
      <c r="L520" s="147" t="s">
        <v>124</v>
      </c>
      <c r="M520" s="147" t="s">
        <v>114</v>
      </c>
      <c r="N520" s="147" t="s">
        <v>114</v>
      </c>
      <c r="O520" s="147" t="s">
        <v>130</v>
      </c>
      <c r="P520" s="147" t="s">
        <v>124</v>
      </c>
      <c r="Q520" s="148" t="s">
        <v>577</v>
      </c>
      <c r="R520" s="148" t="s">
        <v>132</v>
      </c>
      <c r="S520" s="148" t="s">
        <v>119</v>
      </c>
      <c r="T520" s="148" t="s">
        <v>250</v>
      </c>
      <c r="U520" s="145">
        <f>D520+E520</f>
        <v>163</v>
      </c>
      <c r="V520" s="149"/>
      <c r="W520" s="145">
        <f>D520+E520+F520</f>
        <v>204</v>
      </c>
      <c r="X520" s="149"/>
    </row>
    <row r="521" customHeight="1" spans="1:24">
      <c r="A521" s="153">
        <v>95</v>
      </c>
      <c r="B521" s="154" t="s">
        <v>827</v>
      </c>
      <c r="C521" s="144">
        <v>8</v>
      </c>
      <c r="D521" s="145">
        <v>83</v>
      </c>
      <c r="E521" s="145">
        <v>76</v>
      </c>
      <c r="F521" s="145">
        <v>54</v>
      </c>
      <c r="G521" s="145">
        <v>51</v>
      </c>
      <c r="H521" s="145">
        <v>57</v>
      </c>
      <c r="I521" s="145">
        <f>SUM(D521:H521)</f>
        <v>321</v>
      </c>
      <c r="J521" s="145">
        <v>101</v>
      </c>
      <c r="K521" s="147" t="s">
        <v>114</v>
      </c>
      <c r="L521" s="147" t="s">
        <v>115</v>
      </c>
      <c r="M521" s="147" t="s">
        <v>114</v>
      </c>
      <c r="N521" s="147" t="s">
        <v>130</v>
      </c>
      <c r="O521" s="147" t="s">
        <v>130</v>
      </c>
      <c r="P521" s="147" t="s">
        <v>115</v>
      </c>
      <c r="Q521" s="148" t="s">
        <v>411</v>
      </c>
      <c r="R521" s="148" t="s">
        <v>132</v>
      </c>
      <c r="S521" s="148" t="s">
        <v>119</v>
      </c>
      <c r="T521" s="148" t="s">
        <v>250</v>
      </c>
      <c r="U521" s="145">
        <f>D521+E521</f>
        <v>159</v>
      </c>
      <c r="V521" s="149"/>
      <c r="W521" s="145">
        <f>D521+E521+F521</f>
        <v>213</v>
      </c>
      <c r="X521" s="149"/>
    </row>
    <row r="522" customHeight="1" spans="1:24">
      <c r="A522" s="153">
        <v>554</v>
      </c>
      <c r="B522" s="154" t="s">
        <v>828</v>
      </c>
      <c r="C522" s="144">
        <v>14</v>
      </c>
      <c r="D522" s="145">
        <v>81</v>
      </c>
      <c r="E522" s="145">
        <v>89</v>
      </c>
      <c r="F522" s="145">
        <v>62</v>
      </c>
      <c r="G522" s="145">
        <v>46</v>
      </c>
      <c r="H522" s="145">
        <v>57</v>
      </c>
      <c r="I522" s="145">
        <f>SUM(D522:H522)</f>
        <v>335</v>
      </c>
      <c r="J522" s="145">
        <v>94</v>
      </c>
      <c r="K522" s="147" t="s">
        <v>130</v>
      </c>
      <c r="L522" s="147" t="s">
        <v>130</v>
      </c>
      <c r="M522" s="147" t="s">
        <v>114</v>
      </c>
      <c r="N522" s="147" t="s">
        <v>115</v>
      </c>
      <c r="O522" s="147" t="s">
        <v>130</v>
      </c>
      <c r="P522" s="147" t="s">
        <v>124</v>
      </c>
      <c r="Q522" s="158" t="s">
        <v>274</v>
      </c>
      <c r="R522" s="148" t="s">
        <v>118</v>
      </c>
      <c r="S522" s="148" t="s">
        <v>119</v>
      </c>
      <c r="T522" s="148" t="s">
        <v>126</v>
      </c>
      <c r="U522" s="145">
        <f>D522+E522</f>
        <v>170</v>
      </c>
      <c r="V522" s="148" t="s">
        <v>276</v>
      </c>
      <c r="W522" s="145">
        <f>D522+E522+F522</f>
        <v>232</v>
      </c>
      <c r="X522" s="149"/>
    </row>
    <row r="523" customHeight="1" spans="1:24">
      <c r="A523" s="153">
        <v>326</v>
      </c>
      <c r="B523" s="154" t="s">
        <v>829</v>
      </c>
      <c r="C523" s="144">
        <v>6</v>
      </c>
      <c r="D523" s="145">
        <v>77</v>
      </c>
      <c r="E523" s="145">
        <v>81</v>
      </c>
      <c r="F523" s="145">
        <v>61</v>
      </c>
      <c r="G523" s="145">
        <v>62</v>
      </c>
      <c r="H523" s="145">
        <v>57</v>
      </c>
      <c r="I523" s="145">
        <f>SUM(D523:H523)</f>
        <v>338</v>
      </c>
      <c r="J523" s="145">
        <v>65</v>
      </c>
      <c r="K523" s="147" t="s">
        <v>114</v>
      </c>
      <c r="L523" s="147" t="s">
        <v>115</v>
      </c>
      <c r="M523" s="147" t="s">
        <v>114</v>
      </c>
      <c r="N523" s="147" t="s">
        <v>124</v>
      </c>
      <c r="O523" s="147" t="s">
        <v>130</v>
      </c>
      <c r="P523" s="147" t="s">
        <v>114</v>
      </c>
      <c r="Q523" s="148" t="s">
        <v>192</v>
      </c>
      <c r="R523" s="148" t="s">
        <v>118</v>
      </c>
      <c r="S523" s="148" t="s">
        <v>119</v>
      </c>
      <c r="T523" s="148" t="s">
        <v>126</v>
      </c>
      <c r="U523" s="145">
        <f>D523+E523</f>
        <v>158</v>
      </c>
      <c r="V523" s="149"/>
      <c r="W523" s="145">
        <f>D523+E523+F523</f>
        <v>219</v>
      </c>
      <c r="X523" s="149"/>
    </row>
    <row r="524" customHeight="1" spans="1:24">
      <c r="A524" s="153">
        <v>60</v>
      </c>
      <c r="B524" s="154" t="s">
        <v>830</v>
      </c>
      <c r="C524" s="144">
        <v>3</v>
      </c>
      <c r="D524" s="145">
        <v>57</v>
      </c>
      <c r="E524" s="145">
        <v>55</v>
      </c>
      <c r="F524" s="145">
        <v>93</v>
      </c>
      <c r="G524" s="145">
        <v>76</v>
      </c>
      <c r="H524" s="145">
        <v>57</v>
      </c>
      <c r="I524" s="145">
        <f>SUM(D524:H524)</f>
        <v>338</v>
      </c>
      <c r="J524" s="145">
        <v>20</v>
      </c>
      <c r="K524" s="147" t="s">
        <v>124</v>
      </c>
      <c r="L524" s="147" t="s">
        <v>124</v>
      </c>
      <c r="M524" s="147" t="s">
        <v>124</v>
      </c>
      <c r="N524" s="147" t="s">
        <v>130</v>
      </c>
      <c r="O524" s="147" t="s">
        <v>130</v>
      </c>
      <c r="P524" s="147" t="s">
        <v>124</v>
      </c>
      <c r="Q524" s="148" t="s">
        <v>476</v>
      </c>
      <c r="R524" s="148" t="s">
        <v>119</v>
      </c>
      <c r="S524" s="148" t="s">
        <v>119</v>
      </c>
      <c r="T524" s="148" t="s">
        <v>120</v>
      </c>
      <c r="U524" s="145">
        <f>D524+E524</f>
        <v>112</v>
      </c>
      <c r="V524" s="149"/>
      <c r="W524" s="145">
        <f>D524+E524+F524</f>
        <v>205</v>
      </c>
      <c r="X524" s="149"/>
    </row>
    <row r="525" customHeight="1" spans="1:24">
      <c r="A525" s="153">
        <v>549</v>
      </c>
      <c r="B525" s="154" t="s">
        <v>831</v>
      </c>
      <c r="C525" s="144">
        <v>11</v>
      </c>
      <c r="D525" s="145">
        <v>72</v>
      </c>
      <c r="E525" s="145">
        <v>98</v>
      </c>
      <c r="F525" s="145">
        <v>38</v>
      </c>
      <c r="G525" s="145">
        <v>41</v>
      </c>
      <c r="H525" s="145">
        <v>56</v>
      </c>
      <c r="I525" s="145">
        <f>SUM(D525:H525)</f>
        <v>305</v>
      </c>
      <c r="J525" s="145">
        <v>129</v>
      </c>
      <c r="K525" s="147" t="s">
        <v>114</v>
      </c>
      <c r="L525" s="147" t="s">
        <v>130</v>
      </c>
      <c r="M525" s="147" t="s">
        <v>124</v>
      </c>
      <c r="N525" s="147" t="s">
        <v>114</v>
      </c>
      <c r="O525" s="147" t="s">
        <v>130</v>
      </c>
      <c r="P525" s="147" t="s">
        <v>130</v>
      </c>
      <c r="Q525" s="148" t="s">
        <v>783</v>
      </c>
      <c r="R525" s="148" t="s">
        <v>118</v>
      </c>
      <c r="S525" s="148" t="s">
        <v>119</v>
      </c>
      <c r="T525" s="148" t="s">
        <v>250</v>
      </c>
      <c r="U525" s="145">
        <f>D525+E525</f>
        <v>170</v>
      </c>
      <c r="V525" s="149"/>
      <c r="W525" s="145">
        <f>D525+E525+F525</f>
        <v>208</v>
      </c>
      <c r="X525" s="149"/>
    </row>
    <row r="526" customHeight="1" spans="1:24">
      <c r="A526" s="153">
        <v>408</v>
      </c>
      <c r="B526" s="154" t="s">
        <v>832</v>
      </c>
      <c r="C526" s="144">
        <v>9</v>
      </c>
      <c r="D526" s="145">
        <v>55</v>
      </c>
      <c r="E526" s="145">
        <v>51</v>
      </c>
      <c r="F526" s="145">
        <v>89</v>
      </c>
      <c r="G526" s="145">
        <v>73</v>
      </c>
      <c r="H526" s="145">
        <v>56</v>
      </c>
      <c r="I526" s="145">
        <f>SUM(D526:H526)</f>
        <v>324</v>
      </c>
      <c r="J526" s="145">
        <v>147</v>
      </c>
      <c r="K526" s="147" t="s">
        <v>124</v>
      </c>
      <c r="L526" s="147" t="s">
        <v>124</v>
      </c>
      <c r="M526" s="147" t="s">
        <v>124</v>
      </c>
      <c r="N526" s="147" t="s">
        <v>130</v>
      </c>
      <c r="O526" s="147" t="s">
        <v>130</v>
      </c>
      <c r="P526" s="147" t="s">
        <v>124</v>
      </c>
      <c r="Q526" s="158" t="s">
        <v>522</v>
      </c>
      <c r="R526" s="148" t="s">
        <v>275</v>
      </c>
      <c r="S526" s="148" t="s">
        <v>119</v>
      </c>
      <c r="T526" s="148" t="s">
        <v>120</v>
      </c>
      <c r="U526" s="145">
        <f>D526+E526</f>
        <v>106</v>
      </c>
      <c r="V526" s="148" t="s">
        <v>523</v>
      </c>
      <c r="W526" s="145">
        <f>D526+E526+F526</f>
        <v>195</v>
      </c>
      <c r="X526" s="149"/>
    </row>
    <row r="527" customHeight="1" spans="1:24">
      <c r="A527" s="153">
        <v>778</v>
      </c>
      <c r="B527" s="154" t="s">
        <v>833</v>
      </c>
      <c r="C527" s="144">
        <v>4</v>
      </c>
      <c r="D527" s="145">
        <v>77</v>
      </c>
      <c r="E527" s="145">
        <v>50</v>
      </c>
      <c r="F527" s="145">
        <v>66</v>
      </c>
      <c r="G527" s="145">
        <v>75</v>
      </c>
      <c r="H527" s="145">
        <v>56</v>
      </c>
      <c r="I527" s="145">
        <f>SUM(D527:H527)</f>
        <v>324</v>
      </c>
      <c r="J527" s="145">
        <v>19</v>
      </c>
      <c r="K527" s="147" t="s">
        <v>124</v>
      </c>
      <c r="L527" s="147" t="s">
        <v>114</v>
      </c>
      <c r="M527" s="147" t="s">
        <v>114</v>
      </c>
      <c r="N527" s="147" t="s">
        <v>130</v>
      </c>
      <c r="O527" s="147" t="s">
        <v>130</v>
      </c>
      <c r="P527" s="147" t="s">
        <v>130</v>
      </c>
      <c r="Q527" s="148" t="s">
        <v>411</v>
      </c>
      <c r="R527" s="148" t="s">
        <v>119</v>
      </c>
      <c r="S527" s="148" t="s">
        <v>136</v>
      </c>
      <c r="T527" s="148" t="s">
        <v>250</v>
      </c>
      <c r="U527" s="145">
        <f>D527+E527</f>
        <v>127</v>
      </c>
      <c r="V527" s="149"/>
      <c r="W527" s="145">
        <f>D527+E527+F527</f>
        <v>193</v>
      </c>
      <c r="X527" s="149"/>
    </row>
    <row r="528" customHeight="1" spans="1:24">
      <c r="A528" s="153">
        <v>426</v>
      </c>
      <c r="B528" s="154" t="s">
        <v>834</v>
      </c>
      <c r="C528" s="144">
        <v>25</v>
      </c>
      <c r="D528" s="145">
        <v>91</v>
      </c>
      <c r="E528" s="145">
        <v>91</v>
      </c>
      <c r="F528" s="145">
        <v>64</v>
      </c>
      <c r="G528" s="145">
        <v>61</v>
      </c>
      <c r="H528" s="145">
        <v>56</v>
      </c>
      <c r="I528" s="145">
        <f>SUM(D528:H528)</f>
        <v>363</v>
      </c>
      <c r="J528" s="145">
        <v>149</v>
      </c>
      <c r="K528" s="147" t="s">
        <v>114</v>
      </c>
      <c r="L528" s="147" t="s">
        <v>130</v>
      </c>
      <c r="M528" s="147" t="s">
        <v>115</v>
      </c>
      <c r="N528" s="147" t="s">
        <v>115</v>
      </c>
      <c r="O528" s="147" t="s">
        <v>130</v>
      </c>
      <c r="P528" s="147" t="s">
        <v>124</v>
      </c>
      <c r="Q528" s="148" t="s">
        <v>562</v>
      </c>
      <c r="R528" s="148" t="s">
        <v>118</v>
      </c>
      <c r="S528" s="148" t="s">
        <v>119</v>
      </c>
      <c r="T528" s="148" t="s">
        <v>126</v>
      </c>
      <c r="U528" s="145">
        <f>D528+E528</f>
        <v>182</v>
      </c>
      <c r="V528" s="149"/>
      <c r="W528" s="145">
        <f>D528+E528+F528</f>
        <v>246</v>
      </c>
      <c r="X528" s="149"/>
    </row>
    <row r="529" customHeight="1" spans="1:24">
      <c r="A529" s="153">
        <v>615</v>
      </c>
      <c r="B529" s="154" t="s">
        <v>835</v>
      </c>
      <c r="C529" s="144">
        <v>6</v>
      </c>
      <c r="D529" s="145">
        <v>78</v>
      </c>
      <c r="E529" s="145">
        <v>71</v>
      </c>
      <c r="F529" s="145">
        <v>62</v>
      </c>
      <c r="G529" s="145">
        <v>56</v>
      </c>
      <c r="H529" s="145">
        <v>55</v>
      </c>
      <c r="I529" s="145">
        <f>SUM(D529:H529)</f>
        <v>322</v>
      </c>
      <c r="J529" s="145">
        <v>42</v>
      </c>
      <c r="K529" s="147" t="s">
        <v>114</v>
      </c>
      <c r="L529" s="147" t="s">
        <v>114</v>
      </c>
      <c r="M529" s="147" t="s">
        <v>114</v>
      </c>
      <c r="N529" s="147" t="s">
        <v>130</v>
      </c>
      <c r="O529" s="147" t="s">
        <v>130</v>
      </c>
      <c r="P529" s="147" t="s">
        <v>130</v>
      </c>
      <c r="Q529" s="148" t="s">
        <v>411</v>
      </c>
      <c r="R529" s="148" t="s">
        <v>132</v>
      </c>
      <c r="S529" s="148" t="s">
        <v>119</v>
      </c>
      <c r="T529" s="148" t="s">
        <v>250</v>
      </c>
      <c r="U529" s="145">
        <f>D529+E529</f>
        <v>149</v>
      </c>
      <c r="V529" s="149"/>
      <c r="W529" s="145">
        <f>D529+E529+F529</f>
        <v>211</v>
      </c>
      <c r="X529" s="149"/>
    </row>
    <row r="530" customHeight="1" spans="1:24">
      <c r="A530" s="153">
        <v>432</v>
      </c>
      <c r="B530" s="175" t="s">
        <v>836</v>
      </c>
      <c r="C530" s="144">
        <v>18</v>
      </c>
      <c r="D530" s="145">
        <v>79</v>
      </c>
      <c r="E530" s="145">
        <v>101</v>
      </c>
      <c r="F530" s="145">
        <v>57</v>
      </c>
      <c r="G530" s="145">
        <v>39</v>
      </c>
      <c r="H530" s="145">
        <v>55</v>
      </c>
      <c r="I530" s="145">
        <f>SUM(D530:H530)</f>
        <v>331</v>
      </c>
      <c r="J530" s="145">
        <v>75</v>
      </c>
      <c r="K530" s="179" t="s">
        <v>115</v>
      </c>
      <c r="L530" s="147" t="s">
        <v>114</v>
      </c>
      <c r="M530" s="147" t="s">
        <v>124</v>
      </c>
      <c r="N530" s="147" t="s">
        <v>114</v>
      </c>
      <c r="O530" s="147" t="s">
        <v>130</v>
      </c>
      <c r="P530" s="147" t="s">
        <v>124</v>
      </c>
      <c r="Q530" s="158" t="s">
        <v>801</v>
      </c>
      <c r="R530" s="148" t="s">
        <v>118</v>
      </c>
      <c r="S530" s="148" t="s">
        <v>119</v>
      </c>
      <c r="T530" s="148" t="s">
        <v>250</v>
      </c>
      <c r="U530" s="145">
        <f>D530+E530</f>
        <v>180</v>
      </c>
      <c r="V530" s="148" t="s">
        <v>802</v>
      </c>
      <c r="W530" s="145">
        <f>D530+E530+F530</f>
        <v>237</v>
      </c>
      <c r="X530" s="149"/>
    </row>
    <row r="531" customHeight="1" spans="1:24">
      <c r="A531" s="153">
        <v>66</v>
      </c>
      <c r="B531" s="154" t="s">
        <v>837</v>
      </c>
      <c r="C531" s="144">
        <v>4</v>
      </c>
      <c r="D531" s="145">
        <v>67</v>
      </c>
      <c r="E531" s="145">
        <v>50</v>
      </c>
      <c r="F531" s="145">
        <v>94</v>
      </c>
      <c r="G531" s="145">
        <v>82</v>
      </c>
      <c r="H531" s="145">
        <v>55</v>
      </c>
      <c r="I531" s="145">
        <f>SUM(D531:H531)</f>
        <v>348</v>
      </c>
      <c r="J531" s="145">
        <v>149</v>
      </c>
      <c r="K531" s="147" t="s">
        <v>124</v>
      </c>
      <c r="L531" s="147" t="s">
        <v>114</v>
      </c>
      <c r="M531" s="147" t="s">
        <v>130</v>
      </c>
      <c r="N531" s="147" t="s">
        <v>124</v>
      </c>
      <c r="O531" s="147" t="s">
        <v>130</v>
      </c>
      <c r="P531" s="147" t="s">
        <v>130</v>
      </c>
      <c r="Q531" s="148" t="s">
        <v>686</v>
      </c>
      <c r="R531" s="148" t="s">
        <v>119</v>
      </c>
      <c r="S531" s="148" t="s">
        <v>119</v>
      </c>
      <c r="T531" s="148" t="s">
        <v>120</v>
      </c>
      <c r="U531" s="145">
        <f>D531+E531</f>
        <v>117</v>
      </c>
      <c r="V531" s="149"/>
      <c r="W531" s="145">
        <f>D531+E531+F531</f>
        <v>211</v>
      </c>
      <c r="X531" s="149"/>
    </row>
    <row r="532" customHeight="1" spans="1:24">
      <c r="A532" s="153">
        <v>610</v>
      </c>
      <c r="B532" s="154" t="s">
        <v>838</v>
      </c>
      <c r="C532" s="144">
        <v>3</v>
      </c>
      <c r="D532" s="145">
        <v>74</v>
      </c>
      <c r="E532" s="145">
        <v>77</v>
      </c>
      <c r="F532" s="145">
        <v>47</v>
      </c>
      <c r="G532" s="145">
        <v>54</v>
      </c>
      <c r="H532" s="145">
        <v>54</v>
      </c>
      <c r="I532" s="145">
        <f>SUM(D532:H532)</f>
        <v>306</v>
      </c>
      <c r="J532" s="145">
        <v>54</v>
      </c>
      <c r="K532" s="147" t="s">
        <v>124</v>
      </c>
      <c r="L532" s="147" t="s">
        <v>130</v>
      </c>
      <c r="M532" s="147" t="s">
        <v>114</v>
      </c>
      <c r="N532" s="147" t="s">
        <v>124</v>
      </c>
      <c r="O532" s="147" t="s">
        <v>130</v>
      </c>
      <c r="P532" s="147" t="s">
        <v>114</v>
      </c>
      <c r="Q532" s="148" t="s">
        <v>452</v>
      </c>
      <c r="R532" s="148" t="s">
        <v>119</v>
      </c>
      <c r="S532" s="148" t="s">
        <v>119</v>
      </c>
      <c r="T532" s="148" t="s">
        <v>148</v>
      </c>
      <c r="U532" s="145">
        <f>D532+E532</f>
        <v>151</v>
      </c>
      <c r="V532" s="149"/>
      <c r="W532" s="145">
        <f>D532+E532+F532</f>
        <v>198</v>
      </c>
      <c r="X532" s="149"/>
    </row>
    <row r="533" customHeight="1" spans="1:24">
      <c r="A533" s="153">
        <v>197</v>
      </c>
      <c r="B533" s="154" t="s">
        <v>839</v>
      </c>
      <c r="C533" s="144">
        <v>7</v>
      </c>
      <c r="D533" s="145">
        <v>75</v>
      </c>
      <c r="E533" s="145">
        <v>87</v>
      </c>
      <c r="F533" s="145">
        <v>55</v>
      </c>
      <c r="G533" s="145">
        <v>50</v>
      </c>
      <c r="H533" s="145">
        <v>53</v>
      </c>
      <c r="I533" s="145">
        <f>SUM(D533:H533)</f>
        <v>320</v>
      </c>
      <c r="J533" s="145">
        <v>67</v>
      </c>
      <c r="K533" s="147" t="s">
        <v>130</v>
      </c>
      <c r="L533" s="147" t="s">
        <v>130</v>
      </c>
      <c r="M533" s="147" t="s">
        <v>124</v>
      </c>
      <c r="N533" s="147" t="s">
        <v>114</v>
      </c>
      <c r="O533" s="147" t="s">
        <v>130</v>
      </c>
      <c r="P533" s="147" t="s">
        <v>114</v>
      </c>
      <c r="Q533" s="148" t="s">
        <v>577</v>
      </c>
      <c r="R533" s="148" t="s">
        <v>132</v>
      </c>
      <c r="S533" s="148" t="s">
        <v>119</v>
      </c>
      <c r="T533" s="148" t="s">
        <v>126</v>
      </c>
      <c r="U533" s="145">
        <f>D533+E533</f>
        <v>162</v>
      </c>
      <c r="V533" s="149"/>
      <c r="W533" s="145">
        <f>D533+E533+F533</f>
        <v>217</v>
      </c>
      <c r="X533" s="149"/>
    </row>
    <row r="534" customHeight="1" spans="1:24">
      <c r="A534" s="153">
        <v>258</v>
      </c>
      <c r="B534" s="154" t="s">
        <v>840</v>
      </c>
      <c r="C534" s="144">
        <v>30</v>
      </c>
      <c r="D534" s="145">
        <v>80</v>
      </c>
      <c r="E534" s="145">
        <v>106</v>
      </c>
      <c r="F534" s="145">
        <v>56</v>
      </c>
      <c r="G534" s="145">
        <v>37</v>
      </c>
      <c r="H534" s="145">
        <v>53</v>
      </c>
      <c r="I534" s="145">
        <f>SUM(D534:H534)</f>
        <v>332</v>
      </c>
      <c r="J534" s="145">
        <v>138</v>
      </c>
      <c r="K534" s="147" t="s">
        <v>115</v>
      </c>
      <c r="L534" s="147" t="s">
        <v>115</v>
      </c>
      <c r="M534" s="147" t="s">
        <v>114</v>
      </c>
      <c r="N534" s="147" t="s">
        <v>114</v>
      </c>
      <c r="O534" s="147" t="s">
        <v>130</v>
      </c>
      <c r="P534" s="147" t="s">
        <v>124</v>
      </c>
      <c r="Q534" s="158" t="s">
        <v>749</v>
      </c>
      <c r="R534" s="148" t="s">
        <v>119</v>
      </c>
      <c r="S534" s="148" t="s">
        <v>145</v>
      </c>
      <c r="T534" s="148" t="s">
        <v>250</v>
      </c>
      <c r="U534" s="145">
        <f>D534+E534</f>
        <v>186</v>
      </c>
      <c r="V534" s="149"/>
      <c r="W534" s="145">
        <f>D534+E534+F534</f>
        <v>242</v>
      </c>
      <c r="X534" s="149"/>
    </row>
    <row r="535" customHeight="1" spans="1:24">
      <c r="A535" s="153">
        <v>8</v>
      </c>
      <c r="B535" s="154" t="s">
        <v>841</v>
      </c>
      <c r="C535" s="144">
        <v>1</v>
      </c>
      <c r="D535" s="145">
        <v>50</v>
      </c>
      <c r="E535" s="145">
        <v>23</v>
      </c>
      <c r="F535" s="145">
        <v>79</v>
      </c>
      <c r="G535" s="145">
        <v>76</v>
      </c>
      <c r="H535" s="145">
        <v>52</v>
      </c>
      <c r="I535" s="145">
        <f>SUM(D535:H535)</f>
        <v>280</v>
      </c>
      <c r="J535" s="145">
        <v>31</v>
      </c>
      <c r="K535" s="147" t="s">
        <v>124</v>
      </c>
      <c r="L535" s="147" t="s">
        <v>130</v>
      </c>
      <c r="M535" s="147" t="s">
        <v>130</v>
      </c>
      <c r="N535" s="147" t="s">
        <v>130</v>
      </c>
      <c r="O535" s="147" t="s">
        <v>130</v>
      </c>
      <c r="P535" s="147" t="s">
        <v>124</v>
      </c>
      <c r="Q535" s="148" t="s">
        <v>165</v>
      </c>
      <c r="R535" s="148" t="s">
        <v>132</v>
      </c>
      <c r="S535" s="148" t="s">
        <v>119</v>
      </c>
      <c r="T535" s="148" t="s">
        <v>126</v>
      </c>
      <c r="U535" s="145">
        <f>D535+E535</f>
        <v>73</v>
      </c>
      <c r="V535" s="149"/>
      <c r="W535" s="145">
        <f>D535+E535+F535</f>
        <v>152</v>
      </c>
      <c r="X535" s="149"/>
    </row>
    <row r="536" customHeight="1" spans="1:24">
      <c r="A536" s="153">
        <v>488</v>
      </c>
      <c r="B536" s="154" t="s">
        <v>842</v>
      </c>
      <c r="C536" s="144">
        <v>10</v>
      </c>
      <c r="D536" s="145">
        <v>72</v>
      </c>
      <c r="E536" s="145">
        <v>96</v>
      </c>
      <c r="F536" s="145">
        <v>45</v>
      </c>
      <c r="G536" s="145">
        <v>46</v>
      </c>
      <c r="H536" s="145">
        <v>52</v>
      </c>
      <c r="I536" s="145">
        <f>SUM(D536:H536)</f>
        <v>311</v>
      </c>
      <c r="J536" s="145">
        <v>47</v>
      </c>
      <c r="K536" s="147" t="s">
        <v>114</v>
      </c>
      <c r="L536" s="147" t="s">
        <v>130</v>
      </c>
      <c r="M536" s="147" t="s">
        <v>130</v>
      </c>
      <c r="N536" s="147" t="s">
        <v>114</v>
      </c>
      <c r="O536" s="147" t="s">
        <v>130</v>
      </c>
      <c r="P536" s="147" t="s">
        <v>124</v>
      </c>
      <c r="Q536" s="148" t="s">
        <v>459</v>
      </c>
      <c r="R536" s="148" t="s">
        <v>132</v>
      </c>
      <c r="S536" s="148" t="s">
        <v>119</v>
      </c>
      <c r="T536" s="148" t="s">
        <v>126</v>
      </c>
      <c r="U536" s="145">
        <f>D536+E536</f>
        <v>168</v>
      </c>
      <c r="V536" s="149"/>
      <c r="W536" s="145">
        <f>D536+E536+F536</f>
        <v>213</v>
      </c>
      <c r="X536" s="149"/>
    </row>
    <row r="537" customHeight="1" spans="1:24">
      <c r="A537" s="153">
        <v>123</v>
      </c>
      <c r="B537" s="154" t="s">
        <v>843</v>
      </c>
      <c r="C537" s="144">
        <v>6</v>
      </c>
      <c r="D537" s="145">
        <v>73</v>
      </c>
      <c r="E537" s="145">
        <v>90</v>
      </c>
      <c r="F537" s="145">
        <v>43</v>
      </c>
      <c r="G537" s="145">
        <v>58</v>
      </c>
      <c r="H537" s="145">
        <v>52</v>
      </c>
      <c r="I537" s="145">
        <f>SUM(D537:H537)</f>
        <v>316</v>
      </c>
      <c r="J537" s="145">
        <v>68</v>
      </c>
      <c r="K537" s="147" t="s">
        <v>114</v>
      </c>
      <c r="L537" s="147" t="s">
        <v>124</v>
      </c>
      <c r="M537" s="147" t="s">
        <v>130</v>
      </c>
      <c r="N537" s="147" t="s">
        <v>114</v>
      </c>
      <c r="O537" s="147" t="s">
        <v>130</v>
      </c>
      <c r="P537" s="147" t="s">
        <v>124</v>
      </c>
      <c r="Q537" s="148" t="s">
        <v>404</v>
      </c>
      <c r="R537" s="148" t="s">
        <v>132</v>
      </c>
      <c r="S537" s="148" t="s">
        <v>119</v>
      </c>
      <c r="T537" s="148" t="s">
        <v>250</v>
      </c>
      <c r="U537" s="145">
        <f>D537+E537</f>
        <v>163</v>
      </c>
      <c r="V537" s="149"/>
      <c r="W537" s="145">
        <f>D537+E537+F537</f>
        <v>206</v>
      </c>
      <c r="X537" s="149"/>
    </row>
    <row r="538" customHeight="1" spans="1:24">
      <c r="A538" s="153">
        <v>345</v>
      </c>
      <c r="B538" s="154" t="s">
        <v>844</v>
      </c>
      <c r="C538" s="144">
        <v>8</v>
      </c>
      <c r="D538" s="145">
        <v>80</v>
      </c>
      <c r="E538" s="145">
        <v>81</v>
      </c>
      <c r="F538" s="145">
        <v>69</v>
      </c>
      <c r="G538" s="145">
        <v>42</v>
      </c>
      <c r="H538" s="145">
        <v>52</v>
      </c>
      <c r="I538" s="145">
        <f>SUM(D538:H538)</f>
        <v>324</v>
      </c>
      <c r="J538" s="145">
        <v>84</v>
      </c>
      <c r="K538" s="147" t="s">
        <v>114</v>
      </c>
      <c r="L538" s="147" t="s">
        <v>114</v>
      </c>
      <c r="M538" s="147" t="s">
        <v>130</v>
      </c>
      <c r="N538" s="147" t="s">
        <v>124</v>
      </c>
      <c r="O538" s="147" t="s">
        <v>130</v>
      </c>
      <c r="P538" s="147" t="s">
        <v>115</v>
      </c>
      <c r="Q538" s="148" t="s">
        <v>155</v>
      </c>
      <c r="R538" s="148" t="s">
        <v>132</v>
      </c>
      <c r="S538" s="148" t="s">
        <v>119</v>
      </c>
      <c r="T538" s="148" t="s">
        <v>120</v>
      </c>
      <c r="U538" s="145">
        <f>D538+E538</f>
        <v>161</v>
      </c>
      <c r="V538" s="149"/>
      <c r="W538" s="145">
        <f>D538+E538+F538</f>
        <v>230</v>
      </c>
      <c r="X538" s="149"/>
    </row>
    <row r="539" customHeight="1" spans="1:24">
      <c r="A539" s="153">
        <v>412</v>
      </c>
      <c r="B539" s="154" t="s">
        <v>845</v>
      </c>
      <c r="C539" s="144">
        <v>3</v>
      </c>
      <c r="D539" s="145">
        <v>76</v>
      </c>
      <c r="E539" s="145">
        <v>82</v>
      </c>
      <c r="F539" s="145">
        <v>65</v>
      </c>
      <c r="G539" s="145">
        <v>56</v>
      </c>
      <c r="H539" s="145">
        <v>52</v>
      </c>
      <c r="I539" s="145">
        <f>SUM(D539:H539)</f>
        <v>331</v>
      </c>
      <c r="J539" s="145">
        <v>142</v>
      </c>
      <c r="K539" s="147" t="s">
        <v>114</v>
      </c>
      <c r="L539" s="147" t="s">
        <v>130</v>
      </c>
      <c r="M539" s="147" t="s">
        <v>130</v>
      </c>
      <c r="N539" s="147" t="s">
        <v>114</v>
      </c>
      <c r="O539" s="147" t="s">
        <v>130</v>
      </c>
      <c r="P539" s="147" t="s">
        <v>130</v>
      </c>
      <c r="Q539" s="148" t="s">
        <v>217</v>
      </c>
      <c r="R539" s="148" t="s">
        <v>132</v>
      </c>
      <c r="S539" s="148" t="s">
        <v>136</v>
      </c>
      <c r="T539" s="148" t="s">
        <v>126</v>
      </c>
      <c r="U539" s="145">
        <f>D539+E539</f>
        <v>158</v>
      </c>
      <c r="V539" s="149"/>
      <c r="W539" s="145">
        <f>D539+E539+F539</f>
        <v>223</v>
      </c>
      <c r="X539" s="149"/>
    </row>
    <row r="540" customHeight="1" spans="1:24">
      <c r="A540" s="153">
        <v>78</v>
      </c>
      <c r="B540" s="154" t="s">
        <v>846</v>
      </c>
      <c r="C540" s="144">
        <v>13</v>
      </c>
      <c r="D540" s="145">
        <v>81</v>
      </c>
      <c r="E540" s="145">
        <v>82</v>
      </c>
      <c r="F540" s="145">
        <v>39</v>
      </c>
      <c r="G540" s="145">
        <v>43</v>
      </c>
      <c r="H540" s="145">
        <v>51</v>
      </c>
      <c r="I540" s="145">
        <f>SUM(D540:H540)</f>
        <v>296</v>
      </c>
      <c r="J540" s="145">
        <v>24</v>
      </c>
      <c r="K540" s="147" t="s">
        <v>130</v>
      </c>
      <c r="L540" s="147" t="s">
        <v>130</v>
      </c>
      <c r="M540" s="147" t="s">
        <v>115</v>
      </c>
      <c r="N540" s="147" t="s">
        <v>115</v>
      </c>
      <c r="O540" s="147" t="s">
        <v>130</v>
      </c>
      <c r="P540" s="147" t="s">
        <v>124</v>
      </c>
      <c r="Q540" s="158" t="s">
        <v>274</v>
      </c>
      <c r="R540" s="148" t="s">
        <v>132</v>
      </c>
      <c r="S540" s="148" t="s">
        <v>119</v>
      </c>
      <c r="T540" s="148" t="s">
        <v>250</v>
      </c>
      <c r="U540" s="145">
        <f>D540+E540</f>
        <v>163</v>
      </c>
      <c r="V540" s="148" t="s">
        <v>276</v>
      </c>
      <c r="W540" s="145">
        <f>D540+E540+F540</f>
        <v>202</v>
      </c>
      <c r="X540" s="149"/>
    </row>
    <row r="541" customHeight="1" spans="1:24">
      <c r="A541" s="153">
        <v>786</v>
      </c>
      <c r="B541" s="154" t="s">
        <v>847</v>
      </c>
      <c r="C541" s="144">
        <v>9</v>
      </c>
      <c r="D541" s="145">
        <v>74</v>
      </c>
      <c r="E541" s="145">
        <v>90</v>
      </c>
      <c r="F541" s="145">
        <v>47</v>
      </c>
      <c r="G541" s="145">
        <v>45</v>
      </c>
      <c r="H541" s="145">
        <v>51</v>
      </c>
      <c r="I541" s="145">
        <f>SUM(D541:H541)</f>
        <v>307</v>
      </c>
      <c r="J541" s="145">
        <v>112</v>
      </c>
      <c r="K541" s="147" t="s">
        <v>130</v>
      </c>
      <c r="L541" s="147" t="s">
        <v>130</v>
      </c>
      <c r="M541" s="147" t="s">
        <v>130</v>
      </c>
      <c r="N541" s="147" t="s">
        <v>124</v>
      </c>
      <c r="O541" s="147" t="s">
        <v>130</v>
      </c>
      <c r="P541" s="147" t="s">
        <v>114</v>
      </c>
      <c r="Q541" s="148" t="s">
        <v>256</v>
      </c>
      <c r="R541" s="148" t="s">
        <v>132</v>
      </c>
      <c r="S541" s="148" t="s">
        <v>119</v>
      </c>
      <c r="T541" s="148" t="s">
        <v>250</v>
      </c>
      <c r="U541" s="145">
        <f>D541+E541</f>
        <v>164</v>
      </c>
      <c r="V541" s="149"/>
      <c r="W541" s="145">
        <f>D541+E541+F541</f>
        <v>211</v>
      </c>
      <c r="X541" s="149"/>
    </row>
    <row r="542" customHeight="1" spans="1:24">
      <c r="A542" s="153">
        <v>559</v>
      </c>
      <c r="B542" s="154" t="s">
        <v>848</v>
      </c>
      <c r="C542" s="144">
        <v>4</v>
      </c>
      <c r="D542" s="145">
        <v>68</v>
      </c>
      <c r="E542" s="145">
        <v>83</v>
      </c>
      <c r="F542" s="145">
        <v>41</v>
      </c>
      <c r="G542" s="145">
        <v>42</v>
      </c>
      <c r="H542" s="145">
        <v>50</v>
      </c>
      <c r="I542" s="145">
        <f>SUM(D542:H542)</f>
        <v>284</v>
      </c>
      <c r="J542" s="145">
        <v>38</v>
      </c>
      <c r="K542" s="147" t="s">
        <v>114</v>
      </c>
      <c r="L542" s="147" t="s">
        <v>124</v>
      </c>
      <c r="M542" s="147" t="s">
        <v>130</v>
      </c>
      <c r="N542" s="147" t="s">
        <v>114</v>
      </c>
      <c r="O542" s="147" t="s">
        <v>130</v>
      </c>
      <c r="P542" s="147" t="s">
        <v>124</v>
      </c>
      <c r="Q542" s="148" t="s">
        <v>577</v>
      </c>
      <c r="R542" s="148" t="s">
        <v>119</v>
      </c>
      <c r="S542" s="148" t="s">
        <v>119</v>
      </c>
      <c r="T542" s="148" t="s">
        <v>250</v>
      </c>
      <c r="U542" s="145">
        <f>D542+E542</f>
        <v>151</v>
      </c>
      <c r="V542" s="149"/>
      <c r="W542" s="145">
        <f>D542+E542+F542</f>
        <v>192</v>
      </c>
      <c r="X542" s="149"/>
    </row>
    <row r="543" customHeight="1" spans="1:24">
      <c r="A543" s="153">
        <v>618</v>
      </c>
      <c r="B543" s="154" t="s">
        <v>849</v>
      </c>
      <c r="C543" s="144">
        <v>2</v>
      </c>
      <c r="D543" s="145">
        <v>71</v>
      </c>
      <c r="E543" s="145">
        <v>63</v>
      </c>
      <c r="F543" s="145">
        <v>73</v>
      </c>
      <c r="G543" s="145">
        <v>52</v>
      </c>
      <c r="H543" s="145">
        <v>50</v>
      </c>
      <c r="I543" s="145">
        <f>SUM(D543:H543)</f>
        <v>309</v>
      </c>
      <c r="J543" s="145">
        <v>125</v>
      </c>
      <c r="K543" s="147" t="s">
        <v>130</v>
      </c>
      <c r="L543" s="147" t="s">
        <v>130</v>
      </c>
      <c r="M543" s="147" t="s">
        <v>124</v>
      </c>
      <c r="N543" s="147" t="s">
        <v>124</v>
      </c>
      <c r="O543" s="147" t="s">
        <v>130</v>
      </c>
      <c r="P543" s="147" t="s">
        <v>114</v>
      </c>
      <c r="Q543" s="148" t="s">
        <v>452</v>
      </c>
      <c r="R543" s="148" t="s">
        <v>275</v>
      </c>
      <c r="S543" s="148" t="s">
        <v>145</v>
      </c>
      <c r="T543" s="148" t="s">
        <v>148</v>
      </c>
      <c r="U543" s="145">
        <f>D543+E543</f>
        <v>134</v>
      </c>
      <c r="V543" s="149"/>
      <c r="W543" s="145">
        <f>D543+E543+F543</f>
        <v>207</v>
      </c>
      <c r="X543" s="149"/>
    </row>
    <row r="544" customHeight="1" spans="1:24">
      <c r="A544" s="153">
        <v>350</v>
      </c>
      <c r="B544" s="154" t="s">
        <v>850</v>
      </c>
      <c r="C544" s="144">
        <v>5</v>
      </c>
      <c r="D544" s="145">
        <v>79</v>
      </c>
      <c r="E544" s="145">
        <v>79</v>
      </c>
      <c r="F544" s="145">
        <v>66</v>
      </c>
      <c r="G544" s="145">
        <v>54</v>
      </c>
      <c r="H544" s="145">
        <v>50</v>
      </c>
      <c r="I544" s="145">
        <f>SUM(D544:H544)</f>
        <v>328</v>
      </c>
      <c r="J544" s="145">
        <v>88</v>
      </c>
      <c r="K544" s="147" t="s">
        <v>130</v>
      </c>
      <c r="L544" s="147" t="s">
        <v>114</v>
      </c>
      <c r="M544" s="147" t="s">
        <v>114</v>
      </c>
      <c r="N544" s="147" t="s">
        <v>130</v>
      </c>
      <c r="O544" s="147" t="s">
        <v>130</v>
      </c>
      <c r="P544" s="147" t="s">
        <v>115</v>
      </c>
      <c r="Q544" s="148" t="s">
        <v>452</v>
      </c>
      <c r="R544" s="148" t="s">
        <v>119</v>
      </c>
      <c r="S544" s="148" t="s">
        <v>119</v>
      </c>
      <c r="T544" s="148" t="s">
        <v>126</v>
      </c>
      <c r="U544" s="145">
        <f>D544+E544</f>
        <v>158</v>
      </c>
      <c r="V544" s="149"/>
      <c r="W544" s="145">
        <f>D544+E544+F544</f>
        <v>224</v>
      </c>
      <c r="X544" s="149"/>
    </row>
    <row r="545" customHeight="1" spans="1:24">
      <c r="A545" s="153">
        <v>133</v>
      </c>
      <c r="B545" s="154" t="s">
        <v>851</v>
      </c>
      <c r="C545" s="144">
        <v>20</v>
      </c>
      <c r="D545" s="145">
        <v>81</v>
      </c>
      <c r="E545" s="145">
        <v>96</v>
      </c>
      <c r="F545" s="145">
        <v>40</v>
      </c>
      <c r="G545" s="145">
        <v>30</v>
      </c>
      <c r="H545" s="145">
        <v>49</v>
      </c>
      <c r="I545" s="145">
        <f>SUM(D545:H545)</f>
        <v>296</v>
      </c>
      <c r="J545" s="145">
        <v>99</v>
      </c>
      <c r="K545" s="147" t="s">
        <v>130</v>
      </c>
      <c r="L545" s="147" t="s">
        <v>114</v>
      </c>
      <c r="M545" s="147" t="s">
        <v>130</v>
      </c>
      <c r="N545" s="147" t="s">
        <v>115</v>
      </c>
      <c r="O545" s="147" t="s">
        <v>130</v>
      </c>
      <c r="P545" s="147" t="s">
        <v>130</v>
      </c>
      <c r="Q545" s="158" t="s">
        <v>511</v>
      </c>
      <c r="R545" s="148" t="s">
        <v>118</v>
      </c>
      <c r="S545" s="148" t="s">
        <v>279</v>
      </c>
      <c r="T545" s="148" t="s">
        <v>250</v>
      </c>
      <c r="U545" s="145">
        <f>D545+E545</f>
        <v>177</v>
      </c>
      <c r="V545" s="148" t="s">
        <v>512</v>
      </c>
      <c r="W545" s="145">
        <f>D545+E545+F545</f>
        <v>217</v>
      </c>
      <c r="X545" s="149"/>
    </row>
    <row r="546" customHeight="1" spans="1:24">
      <c r="A546" s="153">
        <v>625</v>
      </c>
      <c r="B546" s="154" t="s">
        <v>852</v>
      </c>
      <c r="C546" s="144">
        <v>6</v>
      </c>
      <c r="D546" s="145">
        <v>39</v>
      </c>
      <c r="E546" s="145">
        <v>49</v>
      </c>
      <c r="F546" s="145">
        <v>98</v>
      </c>
      <c r="G546" s="145">
        <v>88</v>
      </c>
      <c r="H546" s="145">
        <v>49</v>
      </c>
      <c r="I546" s="145">
        <f>SUM(D546:H546)</f>
        <v>323</v>
      </c>
      <c r="J546" s="145">
        <v>60</v>
      </c>
      <c r="K546" s="147" t="s">
        <v>124</v>
      </c>
      <c r="L546" s="147" t="s">
        <v>124</v>
      </c>
      <c r="M546" s="147" t="s">
        <v>124</v>
      </c>
      <c r="N546" s="147" t="s">
        <v>124</v>
      </c>
      <c r="O546" s="147" t="s">
        <v>130</v>
      </c>
      <c r="P546" s="147" t="s">
        <v>124</v>
      </c>
      <c r="Q546" s="148" t="s">
        <v>503</v>
      </c>
      <c r="R546" s="148" t="s">
        <v>119</v>
      </c>
      <c r="S546" s="148" t="s">
        <v>119</v>
      </c>
      <c r="T546" s="148" t="s">
        <v>126</v>
      </c>
      <c r="U546" s="145">
        <f>D546+E546</f>
        <v>88</v>
      </c>
      <c r="V546" s="149"/>
      <c r="W546" s="145">
        <f>D546+E546+F546</f>
        <v>186</v>
      </c>
      <c r="X546" s="149"/>
    </row>
    <row r="547" customHeight="1" spans="1:24">
      <c r="A547" s="153">
        <v>687</v>
      </c>
      <c r="B547" s="154" t="s">
        <v>853</v>
      </c>
      <c r="C547" s="144">
        <v>5</v>
      </c>
      <c r="D547" s="145">
        <v>73</v>
      </c>
      <c r="E547" s="145">
        <v>87</v>
      </c>
      <c r="F547" s="145">
        <v>46</v>
      </c>
      <c r="G547" s="145">
        <v>39</v>
      </c>
      <c r="H547" s="145">
        <v>48</v>
      </c>
      <c r="I547" s="145">
        <f>SUM(D547:H547)</f>
        <v>293</v>
      </c>
      <c r="J547" s="145">
        <v>89</v>
      </c>
      <c r="K547" s="147" t="s">
        <v>114</v>
      </c>
      <c r="L547" s="147" t="s">
        <v>114</v>
      </c>
      <c r="M547" s="147" t="s">
        <v>130</v>
      </c>
      <c r="N547" s="147" t="s">
        <v>124</v>
      </c>
      <c r="O547" s="147" t="s">
        <v>130</v>
      </c>
      <c r="P547" s="147" t="s">
        <v>114</v>
      </c>
      <c r="Q547" s="148" t="s">
        <v>452</v>
      </c>
      <c r="R547" s="148" t="s">
        <v>132</v>
      </c>
      <c r="S547" s="148" t="s">
        <v>119</v>
      </c>
      <c r="T547" s="148" t="s">
        <v>126</v>
      </c>
      <c r="U547" s="145">
        <f>D547+E547</f>
        <v>160</v>
      </c>
      <c r="V547" s="149"/>
      <c r="W547" s="145">
        <f>D547+E547+F547</f>
        <v>206</v>
      </c>
      <c r="X547" s="149"/>
    </row>
    <row r="548" customHeight="1" spans="1:24">
      <c r="A548" s="153">
        <v>352</v>
      </c>
      <c r="B548" s="143" t="s">
        <v>854</v>
      </c>
      <c r="C548" s="144">
        <v>1</v>
      </c>
      <c r="D548" s="145">
        <v>74</v>
      </c>
      <c r="E548" s="145">
        <v>77</v>
      </c>
      <c r="F548" s="145">
        <v>50</v>
      </c>
      <c r="G548" s="145">
        <v>49</v>
      </c>
      <c r="H548" s="145">
        <v>48</v>
      </c>
      <c r="I548" s="145">
        <f>SUM(D548:H548)</f>
        <v>298</v>
      </c>
      <c r="J548" s="145">
        <v>88</v>
      </c>
      <c r="K548" s="147" t="s">
        <v>130</v>
      </c>
      <c r="L548" s="147" t="s">
        <v>130</v>
      </c>
      <c r="M548" s="147" t="s">
        <v>130</v>
      </c>
      <c r="N548" s="147" t="s">
        <v>114</v>
      </c>
      <c r="O548" s="147" t="s">
        <v>130</v>
      </c>
      <c r="P548" s="147" t="s">
        <v>114</v>
      </c>
      <c r="Q548" s="149"/>
      <c r="R548" s="148" t="s">
        <v>175</v>
      </c>
      <c r="S548" s="148" t="s">
        <v>119</v>
      </c>
      <c r="T548" s="148" t="s">
        <v>120</v>
      </c>
      <c r="U548" s="145">
        <f>D548+E548</f>
        <v>151</v>
      </c>
      <c r="V548" s="149"/>
      <c r="W548" s="145">
        <f>D548+E548+F548</f>
        <v>201</v>
      </c>
      <c r="X548" s="149"/>
    </row>
    <row r="549" customHeight="1" spans="1:24">
      <c r="A549" s="153">
        <v>6</v>
      </c>
      <c r="B549" s="154" t="s">
        <v>855</v>
      </c>
      <c r="C549" s="144">
        <v>6</v>
      </c>
      <c r="D549" s="145">
        <v>79</v>
      </c>
      <c r="E549" s="145">
        <v>78</v>
      </c>
      <c r="F549" s="145">
        <v>53</v>
      </c>
      <c r="G549" s="145">
        <v>57</v>
      </c>
      <c r="H549" s="145">
        <v>48</v>
      </c>
      <c r="I549" s="145">
        <f>SUM(D549:H549)</f>
        <v>315</v>
      </c>
      <c r="J549" s="145">
        <v>29</v>
      </c>
      <c r="K549" s="147" t="s">
        <v>114</v>
      </c>
      <c r="L549" s="147" t="s">
        <v>114</v>
      </c>
      <c r="M549" s="147" t="s">
        <v>114</v>
      </c>
      <c r="N549" s="147" t="s">
        <v>130</v>
      </c>
      <c r="O549" s="147" t="s">
        <v>130</v>
      </c>
      <c r="P549" s="147" t="s">
        <v>130</v>
      </c>
      <c r="Q549" s="148" t="s">
        <v>856</v>
      </c>
      <c r="R549" s="148" t="s">
        <v>119</v>
      </c>
      <c r="S549" s="148" t="s">
        <v>119</v>
      </c>
      <c r="T549" s="148" t="s">
        <v>126</v>
      </c>
      <c r="U549" s="145">
        <f>D549+E549</f>
        <v>157</v>
      </c>
      <c r="V549" s="149"/>
      <c r="W549" s="145">
        <f>D549+E549+F549</f>
        <v>210</v>
      </c>
      <c r="X549" s="149"/>
    </row>
    <row r="550" customHeight="1" spans="1:24">
      <c r="A550" s="153">
        <v>297</v>
      </c>
      <c r="B550" s="154" t="s">
        <v>857</v>
      </c>
      <c r="C550" s="144">
        <v>9</v>
      </c>
      <c r="D550" s="145">
        <v>47</v>
      </c>
      <c r="E550" s="145">
        <v>39</v>
      </c>
      <c r="F550" s="145">
        <v>93</v>
      </c>
      <c r="G550" s="145">
        <v>78</v>
      </c>
      <c r="H550" s="145">
        <v>47</v>
      </c>
      <c r="I550" s="145">
        <f>SUM(D550:H550)</f>
        <v>304</v>
      </c>
      <c r="J550" s="145">
        <v>137</v>
      </c>
      <c r="K550" s="147" t="s">
        <v>124</v>
      </c>
      <c r="L550" s="147" t="s">
        <v>130</v>
      </c>
      <c r="M550" s="147" t="s">
        <v>124</v>
      </c>
      <c r="N550" s="147" t="s">
        <v>130</v>
      </c>
      <c r="O550" s="147" t="s">
        <v>130</v>
      </c>
      <c r="P550" s="147" t="s">
        <v>124</v>
      </c>
      <c r="Q550" s="158" t="s">
        <v>296</v>
      </c>
      <c r="R550" s="148" t="s">
        <v>119</v>
      </c>
      <c r="S550" s="148" t="s">
        <v>119</v>
      </c>
      <c r="T550" s="148" t="s">
        <v>120</v>
      </c>
      <c r="U550" s="145">
        <f>D550+E550</f>
        <v>86</v>
      </c>
      <c r="V550" s="148" t="s">
        <v>297</v>
      </c>
      <c r="W550" s="145">
        <f>D550+E550+F550</f>
        <v>179</v>
      </c>
      <c r="X550" s="149"/>
    </row>
    <row r="551" customHeight="1" spans="1:24">
      <c r="A551" s="153">
        <v>244</v>
      </c>
      <c r="B551" s="154" t="s">
        <v>858</v>
      </c>
      <c r="C551" s="144">
        <v>7</v>
      </c>
      <c r="D551" s="145">
        <v>70</v>
      </c>
      <c r="E551" s="145">
        <v>88</v>
      </c>
      <c r="F551" s="145">
        <v>55</v>
      </c>
      <c r="G551" s="145">
        <v>51</v>
      </c>
      <c r="H551" s="145">
        <v>47</v>
      </c>
      <c r="I551" s="145">
        <f>SUM(D551:H551)</f>
        <v>311</v>
      </c>
      <c r="J551" s="145">
        <v>140</v>
      </c>
      <c r="K551" s="147" t="s">
        <v>130</v>
      </c>
      <c r="L551" s="147" t="s">
        <v>124</v>
      </c>
      <c r="M551" s="147" t="s">
        <v>114</v>
      </c>
      <c r="N551" s="147" t="s">
        <v>114</v>
      </c>
      <c r="O551" s="147" t="s">
        <v>130</v>
      </c>
      <c r="P551" s="147" t="s">
        <v>124</v>
      </c>
      <c r="Q551" s="148" t="s">
        <v>411</v>
      </c>
      <c r="R551" s="148" t="s">
        <v>119</v>
      </c>
      <c r="S551" s="148" t="s">
        <v>136</v>
      </c>
      <c r="T551" s="148" t="s">
        <v>250</v>
      </c>
      <c r="U551" s="145">
        <f>D551+E551</f>
        <v>158</v>
      </c>
      <c r="V551" s="149"/>
      <c r="W551" s="145">
        <f>D551+E551+F551</f>
        <v>213</v>
      </c>
      <c r="X551" s="149"/>
    </row>
    <row r="552" customHeight="1" spans="1:24">
      <c r="A552" s="153">
        <v>308</v>
      </c>
      <c r="B552" s="154" t="s">
        <v>859</v>
      </c>
      <c r="C552" s="144">
        <v>11</v>
      </c>
      <c r="D552" s="145">
        <v>78</v>
      </c>
      <c r="E552" s="145">
        <v>91</v>
      </c>
      <c r="F552" s="145">
        <v>62</v>
      </c>
      <c r="G552" s="145">
        <v>52</v>
      </c>
      <c r="H552" s="145">
        <v>47</v>
      </c>
      <c r="I552" s="145">
        <f>SUM(D552:H552)</f>
        <v>330</v>
      </c>
      <c r="J552" s="145">
        <v>133</v>
      </c>
      <c r="K552" s="147" t="s">
        <v>115</v>
      </c>
      <c r="L552" s="147" t="s">
        <v>130</v>
      </c>
      <c r="M552" s="147" t="s">
        <v>130</v>
      </c>
      <c r="N552" s="147" t="s">
        <v>114</v>
      </c>
      <c r="O552" s="147" t="s">
        <v>130</v>
      </c>
      <c r="P552" s="147" t="s">
        <v>124</v>
      </c>
      <c r="Q552" s="148" t="s">
        <v>783</v>
      </c>
      <c r="R552" s="148" t="s">
        <v>132</v>
      </c>
      <c r="S552" s="148" t="s">
        <v>119</v>
      </c>
      <c r="T552" s="148" t="s">
        <v>250</v>
      </c>
      <c r="U552" s="145">
        <f>D552+E552</f>
        <v>169</v>
      </c>
      <c r="V552" s="149"/>
      <c r="W552" s="145">
        <f>D552+E552+F552</f>
        <v>231</v>
      </c>
      <c r="X552" s="149"/>
    </row>
    <row r="553" customHeight="1" spans="1:24">
      <c r="A553" s="153">
        <v>334</v>
      </c>
      <c r="B553" s="154" t="s">
        <v>860</v>
      </c>
      <c r="C553" s="144">
        <v>11</v>
      </c>
      <c r="D553" s="145">
        <v>72</v>
      </c>
      <c r="E553" s="145">
        <v>81</v>
      </c>
      <c r="F553" s="145">
        <v>51</v>
      </c>
      <c r="G553" s="145">
        <v>49</v>
      </c>
      <c r="H553" s="145">
        <v>46</v>
      </c>
      <c r="I553" s="145">
        <f>SUM(D553:H553)</f>
        <v>299</v>
      </c>
      <c r="J553" s="145">
        <v>69</v>
      </c>
      <c r="K553" s="147" t="s">
        <v>130</v>
      </c>
      <c r="L553" s="147" t="s">
        <v>114</v>
      </c>
      <c r="M553" s="147" t="s">
        <v>114</v>
      </c>
      <c r="N553" s="147" t="s">
        <v>124</v>
      </c>
      <c r="O553" s="147" t="s">
        <v>130</v>
      </c>
      <c r="P553" s="147" t="s">
        <v>114</v>
      </c>
      <c r="Q553" s="148" t="s">
        <v>160</v>
      </c>
      <c r="R553" s="148" t="s">
        <v>132</v>
      </c>
      <c r="S553" s="148" t="s">
        <v>136</v>
      </c>
      <c r="T553" s="148" t="s">
        <v>120</v>
      </c>
      <c r="U553" s="145">
        <f>D553+E553</f>
        <v>153</v>
      </c>
      <c r="V553" s="149"/>
      <c r="W553" s="145">
        <f>D553+E553+F553</f>
        <v>204</v>
      </c>
      <c r="X553" s="149"/>
    </row>
    <row r="554" customHeight="1" spans="1:24">
      <c r="A554" s="153">
        <v>268</v>
      </c>
      <c r="B554" s="154" t="s">
        <v>861</v>
      </c>
      <c r="C554" s="144">
        <v>5</v>
      </c>
      <c r="D554" s="145">
        <v>74</v>
      </c>
      <c r="E554" s="145">
        <v>82</v>
      </c>
      <c r="F554" s="145">
        <v>48</v>
      </c>
      <c r="G554" s="145">
        <v>43</v>
      </c>
      <c r="H554" s="145">
        <v>45</v>
      </c>
      <c r="I554" s="145">
        <f>SUM(D554:H554)</f>
        <v>292</v>
      </c>
      <c r="J554" s="145">
        <v>111</v>
      </c>
      <c r="K554" s="147" t="s">
        <v>130</v>
      </c>
      <c r="L554" s="147" t="s">
        <v>130</v>
      </c>
      <c r="M554" s="147" t="s">
        <v>114</v>
      </c>
      <c r="N554" s="147" t="s">
        <v>124</v>
      </c>
      <c r="O554" s="147" t="s">
        <v>130</v>
      </c>
      <c r="P554" s="147" t="s">
        <v>115</v>
      </c>
      <c r="Q554" s="148" t="s">
        <v>186</v>
      </c>
      <c r="R554" s="148" t="s">
        <v>119</v>
      </c>
      <c r="S554" s="148" t="s">
        <v>119</v>
      </c>
      <c r="T554" s="148" t="s">
        <v>126</v>
      </c>
      <c r="U554" s="145">
        <f>D554+E554</f>
        <v>156</v>
      </c>
      <c r="V554" s="149"/>
      <c r="W554" s="145">
        <f>D554+E554+F554</f>
        <v>204</v>
      </c>
      <c r="X554" s="149"/>
    </row>
    <row r="555" customHeight="1" spans="1:24">
      <c r="A555" s="153">
        <v>458</v>
      </c>
      <c r="B555" s="154" t="s">
        <v>862</v>
      </c>
      <c r="C555" s="144">
        <v>33</v>
      </c>
      <c r="D555" s="145">
        <v>89</v>
      </c>
      <c r="E555" s="145">
        <v>100</v>
      </c>
      <c r="F555" s="145">
        <v>51</v>
      </c>
      <c r="G555" s="145">
        <v>33</v>
      </c>
      <c r="H555" s="145">
        <v>45</v>
      </c>
      <c r="I555" s="145">
        <f>SUM(D555:H555)</f>
        <v>318</v>
      </c>
      <c r="J555" s="145">
        <v>11</v>
      </c>
      <c r="K555" s="147" t="s">
        <v>130</v>
      </c>
      <c r="L555" s="147" t="s">
        <v>115</v>
      </c>
      <c r="M555" s="147" t="s">
        <v>114</v>
      </c>
      <c r="N555" s="147" t="s">
        <v>115</v>
      </c>
      <c r="O555" s="147" t="s">
        <v>130</v>
      </c>
      <c r="P555" s="147" t="s">
        <v>130</v>
      </c>
      <c r="Q555" s="148" t="s">
        <v>490</v>
      </c>
      <c r="R555" s="148" t="s">
        <v>132</v>
      </c>
      <c r="S555" s="148" t="s">
        <v>119</v>
      </c>
      <c r="T555" s="148" t="s">
        <v>250</v>
      </c>
      <c r="U555" s="145">
        <f>D555+E555</f>
        <v>189</v>
      </c>
      <c r="V555" s="149"/>
      <c r="W555" s="145">
        <f>D555+E555+F555</f>
        <v>240</v>
      </c>
      <c r="X555" s="149"/>
    </row>
    <row r="556" customHeight="1" spans="1:24">
      <c r="A556" s="153">
        <v>62</v>
      </c>
      <c r="B556" s="154" t="s">
        <v>863</v>
      </c>
      <c r="C556" s="144">
        <v>21</v>
      </c>
      <c r="D556" s="145">
        <v>64</v>
      </c>
      <c r="E556" s="145">
        <v>57</v>
      </c>
      <c r="F556" s="145">
        <v>79</v>
      </c>
      <c r="G556" s="145">
        <v>109</v>
      </c>
      <c r="H556" s="145">
        <v>44</v>
      </c>
      <c r="I556" s="145">
        <f>SUM(D556:H556)</f>
        <v>353</v>
      </c>
      <c r="J556" s="145">
        <v>4</v>
      </c>
      <c r="K556" s="147" t="s">
        <v>124</v>
      </c>
      <c r="L556" s="147" t="s">
        <v>130</v>
      </c>
      <c r="M556" s="147" t="s">
        <v>130</v>
      </c>
      <c r="N556" s="147" t="s">
        <v>130</v>
      </c>
      <c r="O556" s="147" t="s">
        <v>130</v>
      </c>
      <c r="P556" s="147" t="s">
        <v>124</v>
      </c>
      <c r="Q556" s="172" t="s">
        <v>328</v>
      </c>
      <c r="R556" s="148" t="s">
        <v>119</v>
      </c>
      <c r="S556" s="148" t="s">
        <v>136</v>
      </c>
      <c r="T556" s="148" t="s">
        <v>126</v>
      </c>
      <c r="U556" s="145">
        <f>D556+E556</f>
        <v>121</v>
      </c>
      <c r="V556" s="149"/>
      <c r="W556" s="145">
        <f>D556+E556+F556</f>
        <v>200</v>
      </c>
      <c r="X556" s="149"/>
    </row>
    <row r="557" customHeight="1" spans="1:24">
      <c r="A557" s="153">
        <v>460</v>
      </c>
      <c r="B557" s="154" t="s">
        <v>864</v>
      </c>
      <c r="C557" s="144">
        <v>12</v>
      </c>
      <c r="D557" s="145">
        <v>86</v>
      </c>
      <c r="E557" s="145">
        <v>81</v>
      </c>
      <c r="F557" s="145">
        <v>83</v>
      </c>
      <c r="G557" s="145">
        <v>49</v>
      </c>
      <c r="H557" s="145">
        <v>43</v>
      </c>
      <c r="I557" s="145">
        <f>SUM(D557:H557)</f>
        <v>342</v>
      </c>
      <c r="J557" s="145">
        <v>14</v>
      </c>
      <c r="K557" s="147" t="s">
        <v>114</v>
      </c>
      <c r="L557" s="147" t="s">
        <v>114</v>
      </c>
      <c r="M557" s="147" t="s">
        <v>115</v>
      </c>
      <c r="N557" s="147" t="s">
        <v>114</v>
      </c>
      <c r="O557" s="147" t="s">
        <v>130</v>
      </c>
      <c r="P557" s="147" t="s">
        <v>114</v>
      </c>
      <c r="Q557" s="148" t="s">
        <v>411</v>
      </c>
      <c r="R557" s="148" t="s">
        <v>132</v>
      </c>
      <c r="S557" s="148" t="s">
        <v>136</v>
      </c>
      <c r="T557" s="148" t="s">
        <v>120</v>
      </c>
      <c r="U557" s="145">
        <f>D557+E557</f>
        <v>167</v>
      </c>
      <c r="V557" s="149"/>
      <c r="W557" s="145">
        <f>D557+E557+F557</f>
        <v>250</v>
      </c>
      <c r="X557" s="149"/>
    </row>
    <row r="558" customHeight="1" spans="1:24">
      <c r="A558" s="153">
        <v>504</v>
      </c>
      <c r="B558" s="154" t="s">
        <v>865</v>
      </c>
      <c r="C558" s="144">
        <v>9</v>
      </c>
      <c r="D558" s="145">
        <v>73</v>
      </c>
      <c r="E558" s="145">
        <v>91</v>
      </c>
      <c r="F558" s="145">
        <v>54</v>
      </c>
      <c r="G558" s="145">
        <v>38</v>
      </c>
      <c r="H558" s="145">
        <v>42</v>
      </c>
      <c r="I558" s="145">
        <f>SUM(D558:H558)</f>
        <v>298</v>
      </c>
      <c r="J558" s="145">
        <v>40</v>
      </c>
      <c r="K558" s="147" t="s">
        <v>114</v>
      </c>
      <c r="L558" s="147" t="s">
        <v>130</v>
      </c>
      <c r="M558" s="147" t="s">
        <v>130</v>
      </c>
      <c r="N558" s="147" t="s">
        <v>130</v>
      </c>
      <c r="O558" s="147" t="s">
        <v>130</v>
      </c>
      <c r="P558" s="147" t="s">
        <v>124</v>
      </c>
      <c r="Q558" s="148" t="s">
        <v>486</v>
      </c>
      <c r="R558" s="148" t="s">
        <v>119</v>
      </c>
      <c r="S558" s="148" t="s">
        <v>119</v>
      </c>
      <c r="T558" s="148" t="s">
        <v>250</v>
      </c>
      <c r="U558" s="145">
        <f>D558+E558</f>
        <v>164</v>
      </c>
      <c r="V558" s="149"/>
      <c r="W558" s="145">
        <f>D558+E558+F558</f>
        <v>218</v>
      </c>
      <c r="X558" s="149"/>
    </row>
    <row r="559" customHeight="1" spans="1:24">
      <c r="A559" s="153">
        <v>369</v>
      </c>
      <c r="B559" s="154" t="s">
        <v>866</v>
      </c>
      <c r="C559" s="144">
        <v>8</v>
      </c>
      <c r="D559" s="145">
        <v>77</v>
      </c>
      <c r="E559" s="145">
        <v>85</v>
      </c>
      <c r="F559" s="145">
        <v>71</v>
      </c>
      <c r="G559" s="145">
        <v>36</v>
      </c>
      <c r="H559" s="145">
        <v>39</v>
      </c>
      <c r="I559" s="145">
        <f>SUM(D559:H559)</f>
        <v>308</v>
      </c>
      <c r="J559" s="145">
        <v>116</v>
      </c>
      <c r="K559" s="147" t="s">
        <v>114</v>
      </c>
      <c r="L559" s="147" t="s">
        <v>114</v>
      </c>
      <c r="M559" s="147" t="s">
        <v>124</v>
      </c>
      <c r="N559" s="147" t="s">
        <v>114</v>
      </c>
      <c r="O559" s="147" t="s">
        <v>130</v>
      </c>
      <c r="P559" s="147" t="s">
        <v>115</v>
      </c>
      <c r="Q559" s="148" t="s">
        <v>472</v>
      </c>
      <c r="R559" s="148" t="s">
        <v>119</v>
      </c>
      <c r="S559" s="148" t="s">
        <v>136</v>
      </c>
      <c r="T559" s="148" t="s">
        <v>250</v>
      </c>
      <c r="U559" s="145">
        <f>D559+E559</f>
        <v>162</v>
      </c>
      <c r="V559" s="149"/>
      <c r="W559" s="145">
        <f>D559+E559+F559</f>
        <v>233</v>
      </c>
      <c r="X559" s="149"/>
    </row>
    <row r="560" customHeight="1" spans="1:24">
      <c r="A560" s="153">
        <v>590</v>
      </c>
      <c r="B560" s="154" t="s">
        <v>867</v>
      </c>
      <c r="C560" s="144">
        <v>2</v>
      </c>
      <c r="D560" s="145">
        <v>62</v>
      </c>
      <c r="E560" s="145">
        <v>70</v>
      </c>
      <c r="F560" s="145">
        <v>81</v>
      </c>
      <c r="G560" s="145">
        <v>66</v>
      </c>
      <c r="H560" s="145">
        <v>39</v>
      </c>
      <c r="I560" s="145">
        <f>SUM(D560:H560)</f>
        <v>318</v>
      </c>
      <c r="J560" s="145">
        <v>52</v>
      </c>
      <c r="K560" s="147" t="s">
        <v>124</v>
      </c>
      <c r="L560" s="147" t="s">
        <v>124</v>
      </c>
      <c r="M560" s="147" t="s">
        <v>130</v>
      </c>
      <c r="N560" s="147" t="s">
        <v>130</v>
      </c>
      <c r="O560" s="147" t="s">
        <v>130</v>
      </c>
      <c r="P560" s="147" t="s">
        <v>130</v>
      </c>
      <c r="Q560" s="148" t="s">
        <v>337</v>
      </c>
      <c r="R560" s="148" t="s">
        <v>119</v>
      </c>
      <c r="S560" s="148" t="s">
        <v>136</v>
      </c>
      <c r="T560" s="148" t="s">
        <v>250</v>
      </c>
      <c r="U560" s="145">
        <f>D560+E560</f>
        <v>132</v>
      </c>
      <c r="V560" s="149"/>
      <c r="W560" s="145">
        <f>D560+E560+F560</f>
        <v>213</v>
      </c>
      <c r="X560" s="149"/>
    </row>
    <row r="561" customHeight="1" spans="1:24">
      <c r="A561" s="153">
        <v>541</v>
      </c>
      <c r="B561" s="154" t="s">
        <v>868</v>
      </c>
      <c r="C561" s="144">
        <v>11</v>
      </c>
      <c r="D561" s="145">
        <v>80</v>
      </c>
      <c r="E561" s="145">
        <v>84</v>
      </c>
      <c r="F561" s="145">
        <v>46</v>
      </c>
      <c r="G561" s="145">
        <v>28</v>
      </c>
      <c r="H561" s="145">
        <v>37</v>
      </c>
      <c r="I561" s="145">
        <f>SUM(D561:H561)</f>
        <v>275</v>
      </c>
      <c r="J561" s="145">
        <v>135</v>
      </c>
      <c r="K561" s="147" t="s">
        <v>114</v>
      </c>
      <c r="L561" s="147" t="s">
        <v>130</v>
      </c>
      <c r="M561" s="147" t="s">
        <v>124</v>
      </c>
      <c r="N561" s="147" t="s">
        <v>130</v>
      </c>
      <c r="O561" s="147" t="s">
        <v>130</v>
      </c>
      <c r="P561" s="147" t="s">
        <v>130</v>
      </c>
      <c r="Q561" s="148" t="s">
        <v>220</v>
      </c>
      <c r="R561" s="148" t="s">
        <v>132</v>
      </c>
      <c r="S561" s="148" t="s">
        <v>119</v>
      </c>
      <c r="T561" s="148" t="s">
        <v>250</v>
      </c>
      <c r="U561" s="145">
        <f>D561+E561</f>
        <v>164</v>
      </c>
      <c r="V561" s="149"/>
      <c r="W561" s="145">
        <f>D561+E561+F561</f>
        <v>210</v>
      </c>
      <c r="X561" s="149"/>
    </row>
    <row r="562" customHeight="1" spans="1:24">
      <c r="A562" s="153">
        <v>224</v>
      </c>
      <c r="B562" s="154" t="s">
        <v>869</v>
      </c>
      <c r="C562" s="144">
        <v>7</v>
      </c>
      <c r="D562" s="145">
        <v>82</v>
      </c>
      <c r="E562" s="145">
        <v>72</v>
      </c>
      <c r="F562" s="145">
        <v>58</v>
      </c>
      <c r="G562" s="145">
        <v>70</v>
      </c>
      <c r="H562" s="145">
        <v>37</v>
      </c>
      <c r="I562" s="145">
        <f>SUM(D562:H562)</f>
        <v>319</v>
      </c>
      <c r="J562" s="145">
        <v>27</v>
      </c>
      <c r="K562" s="147" t="s">
        <v>114</v>
      </c>
      <c r="L562" s="147" t="s">
        <v>115</v>
      </c>
      <c r="M562" s="147" t="s">
        <v>114</v>
      </c>
      <c r="N562" s="147" t="s">
        <v>130</v>
      </c>
      <c r="O562" s="147" t="s">
        <v>130</v>
      </c>
      <c r="P562" s="147" t="s">
        <v>130</v>
      </c>
      <c r="Q562" s="148" t="s">
        <v>155</v>
      </c>
      <c r="R562" s="148" t="s">
        <v>119</v>
      </c>
      <c r="S562" s="148" t="s">
        <v>136</v>
      </c>
      <c r="T562" s="148" t="s">
        <v>126</v>
      </c>
      <c r="U562" s="145">
        <f>D562+E562</f>
        <v>154</v>
      </c>
      <c r="V562" s="149"/>
      <c r="W562" s="145">
        <f>D562+E562+F562</f>
        <v>212</v>
      </c>
      <c r="X562" s="149"/>
    </row>
    <row r="563" customHeight="1" spans="1:24">
      <c r="A563" s="153">
        <v>697</v>
      </c>
      <c r="B563" s="154" t="s">
        <v>870</v>
      </c>
      <c r="C563" s="144">
        <v>9</v>
      </c>
      <c r="D563" s="145">
        <v>80</v>
      </c>
      <c r="E563" s="145">
        <v>86</v>
      </c>
      <c r="F563" s="145">
        <v>46</v>
      </c>
      <c r="G563" s="145">
        <v>39</v>
      </c>
      <c r="H563" s="145">
        <v>35</v>
      </c>
      <c r="I563" s="145">
        <f>SUM(D563:H563)</f>
        <v>286</v>
      </c>
      <c r="J563" s="145">
        <v>95</v>
      </c>
      <c r="K563" s="147" t="s">
        <v>114</v>
      </c>
      <c r="L563" s="147" t="s">
        <v>130</v>
      </c>
      <c r="M563" s="147" t="s">
        <v>130</v>
      </c>
      <c r="N563" s="147" t="s">
        <v>115</v>
      </c>
      <c r="O563" s="147" t="s">
        <v>130</v>
      </c>
      <c r="P563" s="147" t="s">
        <v>130</v>
      </c>
      <c r="Q563" s="148" t="s">
        <v>411</v>
      </c>
      <c r="R563" s="148" t="s">
        <v>275</v>
      </c>
      <c r="S563" s="148" t="s">
        <v>145</v>
      </c>
      <c r="T563" s="148" t="s">
        <v>250</v>
      </c>
      <c r="U563" s="145">
        <f>D563+E563</f>
        <v>166</v>
      </c>
      <c r="V563" s="149"/>
      <c r="W563" s="145">
        <f>D563+E563+F563</f>
        <v>212</v>
      </c>
      <c r="X563" s="149"/>
    </row>
    <row r="564" customHeight="1" spans="1:24">
      <c r="A564" s="153">
        <v>463</v>
      </c>
      <c r="B564" s="154" t="s">
        <v>871</v>
      </c>
      <c r="C564" s="144">
        <v>1</v>
      </c>
      <c r="D564" s="145">
        <v>65</v>
      </c>
      <c r="E564" s="145">
        <v>63</v>
      </c>
      <c r="F564" s="145">
        <v>70</v>
      </c>
      <c r="G564" s="145">
        <v>75</v>
      </c>
      <c r="H564" s="145">
        <v>34</v>
      </c>
      <c r="I564" s="145">
        <f>SUM(D564:H564)</f>
        <v>307</v>
      </c>
      <c r="J564" s="145">
        <v>15</v>
      </c>
      <c r="K564" s="147" t="s">
        <v>130</v>
      </c>
      <c r="L564" s="147" t="s">
        <v>130</v>
      </c>
      <c r="M564" s="147" t="s">
        <v>124</v>
      </c>
      <c r="N564" s="147" t="s">
        <v>130</v>
      </c>
      <c r="O564" s="147" t="s">
        <v>130</v>
      </c>
      <c r="P564" s="147" t="s">
        <v>130</v>
      </c>
      <c r="Q564" s="148" t="s">
        <v>414</v>
      </c>
      <c r="R564" s="148" t="s">
        <v>175</v>
      </c>
      <c r="S564" s="148" t="s">
        <v>145</v>
      </c>
      <c r="T564" s="148" t="s">
        <v>250</v>
      </c>
      <c r="U564" s="145">
        <f>D564+E564</f>
        <v>128</v>
      </c>
      <c r="V564" s="149"/>
      <c r="W564" s="145">
        <f>D564+E564+F564</f>
        <v>198</v>
      </c>
      <c r="X564" s="252"/>
    </row>
    <row r="565" customHeight="1" spans="1:24">
      <c r="A565" s="153">
        <v>560</v>
      </c>
      <c r="B565" s="175" t="s">
        <v>872</v>
      </c>
      <c r="C565" s="144">
        <v>27</v>
      </c>
      <c r="D565" s="145">
        <v>78</v>
      </c>
      <c r="E565" s="145">
        <v>107</v>
      </c>
      <c r="F565" s="145">
        <v>30</v>
      </c>
      <c r="G565" s="145">
        <v>21</v>
      </c>
      <c r="H565" s="145">
        <v>33</v>
      </c>
      <c r="I565" s="145">
        <f>SUM(D565:H565)</f>
        <v>269</v>
      </c>
      <c r="J565" s="145">
        <v>32</v>
      </c>
      <c r="K565" s="147" t="s">
        <v>114</v>
      </c>
      <c r="L565" s="147" t="s">
        <v>130</v>
      </c>
      <c r="M565" s="147" t="s">
        <v>130</v>
      </c>
      <c r="N565" s="179" t="s">
        <v>115</v>
      </c>
      <c r="O565" s="147" t="s">
        <v>130</v>
      </c>
      <c r="P565" s="147" t="s">
        <v>124</v>
      </c>
      <c r="Q565" s="148" t="s">
        <v>749</v>
      </c>
      <c r="R565" s="148" t="s">
        <v>119</v>
      </c>
      <c r="S565" s="148" t="s">
        <v>119</v>
      </c>
      <c r="T565" s="148" t="s">
        <v>250</v>
      </c>
      <c r="U565" s="145">
        <f>D565+E565</f>
        <v>185</v>
      </c>
      <c r="V565" s="149"/>
      <c r="W565" s="145">
        <f>D565+E565+F565</f>
        <v>215</v>
      </c>
      <c r="X565" s="149"/>
    </row>
    <row r="566" customHeight="1" spans="1:24">
      <c r="A566" s="153">
        <v>250</v>
      </c>
      <c r="B566" s="154" t="s">
        <v>873</v>
      </c>
      <c r="C566" s="144">
        <v>6</v>
      </c>
      <c r="D566" s="145">
        <v>74</v>
      </c>
      <c r="E566" s="145">
        <v>85</v>
      </c>
      <c r="F566" s="145">
        <v>77</v>
      </c>
      <c r="G566" s="145">
        <v>53</v>
      </c>
      <c r="H566" s="145">
        <v>30</v>
      </c>
      <c r="I566" s="145">
        <f>SUM(D566:H566)</f>
        <v>319</v>
      </c>
      <c r="J566" s="145">
        <v>144</v>
      </c>
      <c r="K566" s="147" t="s">
        <v>114</v>
      </c>
      <c r="L566" s="147" t="s">
        <v>114</v>
      </c>
      <c r="M566" s="147" t="s">
        <v>114</v>
      </c>
      <c r="N566" s="147" t="s">
        <v>130</v>
      </c>
      <c r="O566" s="147" t="s">
        <v>130</v>
      </c>
      <c r="P566" s="147" t="s">
        <v>124</v>
      </c>
      <c r="Q566" s="148" t="s">
        <v>606</v>
      </c>
      <c r="R566" s="148" t="s">
        <v>175</v>
      </c>
      <c r="S566" s="148" t="s">
        <v>136</v>
      </c>
      <c r="T566" s="148" t="s">
        <v>126</v>
      </c>
      <c r="U566" s="145">
        <f>D566+E566</f>
        <v>159</v>
      </c>
      <c r="V566" s="149"/>
      <c r="W566" s="145">
        <f>D566+E566+F566</f>
        <v>236</v>
      </c>
      <c r="X566" s="149"/>
    </row>
    <row r="567" customHeight="1" spans="1:24">
      <c r="A567" s="153">
        <v>579</v>
      </c>
      <c r="B567" s="154" t="s">
        <v>874</v>
      </c>
      <c r="C567" s="144">
        <v>6</v>
      </c>
      <c r="D567" s="145">
        <v>72</v>
      </c>
      <c r="E567" s="145">
        <v>80</v>
      </c>
      <c r="F567" s="145">
        <v>33</v>
      </c>
      <c r="G567" s="145">
        <v>23</v>
      </c>
      <c r="H567" s="145">
        <v>29</v>
      </c>
      <c r="I567" s="145">
        <f>SUM(D567:H567)</f>
        <v>237</v>
      </c>
      <c r="J567" s="145">
        <v>31</v>
      </c>
      <c r="K567" s="147" t="s">
        <v>114</v>
      </c>
      <c r="L567" s="147" t="s">
        <v>114</v>
      </c>
      <c r="M567" s="147" t="s">
        <v>130</v>
      </c>
      <c r="N567" s="147" t="s">
        <v>114</v>
      </c>
      <c r="O567" s="147" t="s">
        <v>130</v>
      </c>
      <c r="P567" s="147" t="s">
        <v>130</v>
      </c>
      <c r="Q567" s="148" t="s">
        <v>411</v>
      </c>
      <c r="R567" s="148" t="s">
        <v>119</v>
      </c>
      <c r="S567" s="148" t="s">
        <v>119</v>
      </c>
      <c r="T567" s="148" t="s">
        <v>250</v>
      </c>
      <c r="U567" s="145">
        <f>D567+E567</f>
        <v>152</v>
      </c>
      <c r="V567" s="149"/>
      <c r="W567" s="145">
        <f>D567+E567+F567</f>
        <v>185</v>
      </c>
      <c r="X567" s="149"/>
    </row>
    <row r="568" customHeight="1" spans="1:24">
      <c r="A568" s="153">
        <v>206</v>
      </c>
      <c r="B568" s="154" t="s">
        <v>875</v>
      </c>
      <c r="C568" s="144">
        <v>8</v>
      </c>
      <c r="D568" s="145">
        <v>78</v>
      </c>
      <c r="E568" s="145">
        <v>73</v>
      </c>
      <c r="F568" s="145">
        <v>48</v>
      </c>
      <c r="G568" s="145">
        <v>48</v>
      </c>
      <c r="H568" s="145">
        <v>26</v>
      </c>
      <c r="I568" s="145">
        <f>SUM(D568:H568)</f>
        <v>273</v>
      </c>
      <c r="J568" s="145">
        <v>69</v>
      </c>
      <c r="K568" s="147" t="s">
        <v>114</v>
      </c>
      <c r="L568" s="147" t="s">
        <v>114</v>
      </c>
      <c r="M568" s="147" t="s">
        <v>130</v>
      </c>
      <c r="N568" s="147" t="s">
        <v>114</v>
      </c>
      <c r="O568" s="147" t="s">
        <v>130</v>
      </c>
      <c r="P568" s="147" t="s">
        <v>124</v>
      </c>
      <c r="Q568" s="158" t="s">
        <v>210</v>
      </c>
      <c r="R568" s="148" t="s">
        <v>119</v>
      </c>
      <c r="S568" s="148" t="s">
        <v>119</v>
      </c>
      <c r="T568" s="148" t="s">
        <v>250</v>
      </c>
      <c r="U568" s="145">
        <f>D568+E568</f>
        <v>151</v>
      </c>
      <c r="V568" s="148" t="s">
        <v>211</v>
      </c>
      <c r="W568" s="145">
        <f>D568+E568+F568</f>
        <v>199</v>
      </c>
      <c r="X568" s="149"/>
    </row>
    <row r="569" customHeight="1" spans="1:24">
      <c r="A569" s="153">
        <v>257</v>
      </c>
      <c r="B569" s="143" t="s">
        <v>876</v>
      </c>
      <c r="C569" s="144">
        <v>1</v>
      </c>
      <c r="D569" s="145">
        <v>69</v>
      </c>
      <c r="E569" s="145">
        <v>81</v>
      </c>
      <c r="F569" s="145">
        <v>49</v>
      </c>
      <c r="G569" s="145">
        <v>46</v>
      </c>
      <c r="H569" s="145">
        <v>20</v>
      </c>
      <c r="I569" s="145">
        <f>SUM(D569:H569)</f>
        <v>265</v>
      </c>
      <c r="J569" s="145">
        <v>138</v>
      </c>
      <c r="K569" s="147" t="s">
        <v>130</v>
      </c>
      <c r="L569" s="147" t="s">
        <v>124</v>
      </c>
      <c r="M569" s="147" t="s">
        <v>114</v>
      </c>
      <c r="N569" s="147" t="s">
        <v>114</v>
      </c>
      <c r="O569" s="147" t="s">
        <v>130</v>
      </c>
      <c r="P569" s="147" t="s">
        <v>124</v>
      </c>
      <c r="Q569" s="149"/>
      <c r="R569" s="148" t="s">
        <v>175</v>
      </c>
      <c r="S569" s="148" t="s">
        <v>136</v>
      </c>
      <c r="T569" s="148" t="s">
        <v>250</v>
      </c>
      <c r="U569" s="145">
        <f>D569+E569</f>
        <v>150</v>
      </c>
      <c r="V569" s="149"/>
      <c r="W569" s="145">
        <f>D569+E569+F569</f>
        <v>199</v>
      </c>
      <c r="X569" s="149"/>
    </row>
    <row r="570" customHeight="1" spans="1:24">
      <c r="A570" s="153">
        <v>713</v>
      </c>
      <c r="B570" s="154" t="s">
        <v>877</v>
      </c>
      <c r="C570" s="144">
        <v>16</v>
      </c>
      <c r="D570" s="145">
        <v>80</v>
      </c>
      <c r="E570" s="145">
        <v>70</v>
      </c>
      <c r="F570" s="145">
        <v>90</v>
      </c>
      <c r="G570" s="169">
        <v>110</v>
      </c>
      <c r="H570" s="169">
        <v>110</v>
      </c>
      <c r="I570" s="145">
        <f>SUM(D570:H570)</f>
        <v>460</v>
      </c>
      <c r="J570" s="145">
        <v>0</v>
      </c>
      <c r="K570" s="147" t="s">
        <v>114</v>
      </c>
      <c r="L570" s="147" t="s">
        <v>114</v>
      </c>
      <c r="M570" s="147" t="s">
        <v>114</v>
      </c>
      <c r="N570" s="147" t="s">
        <v>114</v>
      </c>
      <c r="O570" s="147" t="s">
        <v>114</v>
      </c>
      <c r="P570" s="147" t="s">
        <v>114</v>
      </c>
      <c r="Q570" s="148" t="s">
        <v>608</v>
      </c>
      <c r="R570" s="148" t="s">
        <v>119</v>
      </c>
      <c r="S570" s="148" t="s">
        <v>133</v>
      </c>
      <c r="T570" s="148" t="s">
        <v>120</v>
      </c>
      <c r="U570" s="145">
        <f>D570+E570</f>
        <v>150</v>
      </c>
      <c r="V570" s="149"/>
      <c r="W570" s="145">
        <f>D570+E570+F570</f>
        <v>240</v>
      </c>
      <c r="X570" s="149"/>
    </row>
    <row r="571" customHeight="1" spans="1:24">
      <c r="A571" s="153">
        <v>475</v>
      </c>
      <c r="B571" s="154" t="s">
        <v>878</v>
      </c>
      <c r="C571" s="144">
        <v>53</v>
      </c>
      <c r="D571" s="167">
        <v>104</v>
      </c>
      <c r="E571" s="145">
        <v>82</v>
      </c>
      <c r="F571" s="145">
        <v>93</v>
      </c>
      <c r="G571" s="145">
        <v>97</v>
      </c>
      <c r="H571" s="145">
        <v>106</v>
      </c>
      <c r="I571" s="145">
        <f>SUM(D571:H571)</f>
        <v>482</v>
      </c>
      <c r="J571" s="145">
        <v>45</v>
      </c>
      <c r="K571" s="160" t="s">
        <v>123</v>
      </c>
      <c r="L571" s="147" t="s">
        <v>114</v>
      </c>
      <c r="M571" s="160" t="s">
        <v>123</v>
      </c>
      <c r="N571" s="147" t="s">
        <v>115</v>
      </c>
      <c r="O571" s="147" t="s">
        <v>114</v>
      </c>
      <c r="P571" s="147" t="s">
        <v>114</v>
      </c>
      <c r="Q571" s="158" t="s">
        <v>879</v>
      </c>
      <c r="R571" s="148" t="s">
        <v>132</v>
      </c>
      <c r="S571" s="148" t="s">
        <v>136</v>
      </c>
      <c r="T571" s="148" t="s">
        <v>126</v>
      </c>
      <c r="U571" s="145">
        <f>D571+E571</f>
        <v>186</v>
      </c>
      <c r="V571" s="148" t="s">
        <v>880</v>
      </c>
      <c r="W571" s="145">
        <f>D571+E571+F571</f>
        <v>279</v>
      </c>
      <c r="X571" s="149"/>
    </row>
    <row r="572" customHeight="1" spans="1:24">
      <c r="A572" s="153">
        <v>225</v>
      </c>
      <c r="B572" s="154" t="s">
        <v>881</v>
      </c>
      <c r="C572" s="144">
        <v>35</v>
      </c>
      <c r="D572" s="145">
        <v>92</v>
      </c>
      <c r="E572" s="145">
        <v>88</v>
      </c>
      <c r="F572" s="145">
        <v>80</v>
      </c>
      <c r="G572" s="145">
        <v>99</v>
      </c>
      <c r="H572" s="145">
        <v>104</v>
      </c>
      <c r="I572" s="145">
        <f>SUM(D572:H572)</f>
        <v>463</v>
      </c>
      <c r="J572" s="145">
        <v>60</v>
      </c>
      <c r="K572" s="147" t="s">
        <v>115</v>
      </c>
      <c r="L572" s="147" t="s">
        <v>115</v>
      </c>
      <c r="M572" s="147" t="s">
        <v>114</v>
      </c>
      <c r="N572" s="147" t="s">
        <v>114</v>
      </c>
      <c r="O572" s="147" t="s">
        <v>114</v>
      </c>
      <c r="P572" s="147" t="s">
        <v>114</v>
      </c>
      <c r="Q572" s="171" t="s">
        <v>626</v>
      </c>
      <c r="R572" s="148" t="s">
        <v>119</v>
      </c>
      <c r="S572" s="148" t="s">
        <v>145</v>
      </c>
      <c r="T572" s="148" t="s">
        <v>126</v>
      </c>
      <c r="U572" s="145">
        <f>D572+E572</f>
        <v>180</v>
      </c>
      <c r="V572" s="172" t="s">
        <v>627</v>
      </c>
      <c r="W572" s="145">
        <f>D572+E572+F572</f>
        <v>260</v>
      </c>
      <c r="X572" s="149"/>
    </row>
    <row r="573" customHeight="1" spans="1:24">
      <c r="A573" s="153">
        <v>653</v>
      </c>
      <c r="B573" s="154" t="s">
        <v>882</v>
      </c>
      <c r="C573" s="144">
        <v>54</v>
      </c>
      <c r="D573" s="167">
        <v>105</v>
      </c>
      <c r="E573" s="145">
        <v>100</v>
      </c>
      <c r="F573" s="145">
        <v>84</v>
      </c>
      <c r="G573" s="145">
        <v>62</v>
      </c>
      <c r="H573" s="145">
        <v>101</v>
      </c>
      <c r="I573" s="145">
        <f>SUM(D573:H573)</f>
        <v>452</v>
      </c>
      <c r="J573" s="145">
        <v>62</v>
      </c>
      <c r="K573" s="160" t="s">
        <v>123</v>
      </c>
      <c r="L573" s="147" t="s">
        <v>114</v>
      </c>
      <c r="M573" s="160" t="s">
        <v>123</v>
      </c>
      <c r="N573" s="147" t="s">
        <v>115</v>
      </c>
      <c r="O573" s="147" t="s">
        <v>114</v>
      </c>
      <c r="P573" s="160" t="s">
        <v>123</v>
      </c>
      <c r="Q573" s="158" t="s">
        <v>883</v>
      </c>
      <c r="R573" s="148" t="s">
        <v>118</v>
      </c>
      <c r="S573" s="148" t="s">
        <v>119</v>
      </c>
      <c r="T573" s="148" t="s">
        <v>126</v>
      </c>
      <c r="U573" s="145">
        <f>D573+E573</f>
        <v>205</v>
      </c>
      <c r="V573" s="148" t="s">
        <v>884</v>
      </c>
      <c r="W573" s="145">
        <f>D573+E573+F573</f>
        <v>289</v>
      </c>
      <c r="X573" s="149"/>
    </row>
    <row r="574" customHeight="1" spans="1:24">
      <c r="A574" s="153">
        <v>304</v>
      </c>
      <c r="B574" s="154" t="s">
        <v>885</v>
      </c>
      <c r="C574" s="144">
        <v>7</v>
      </c>
      <c r="D574" s="145">
        <v>67</v>
      </c>
      <c r="E574" s="145">
        <v>70</v>
      </c>
      <c r="F574" s="145">
        <v>75</v>
      </c>
      <c r="G574" s="145">
        <v>77</v>
      </c>
      <c r="H574" s="145">
        <v>99</v>
      </c>
      <c r="I574" s="145">
        <f>SUM(D574:H574)</f>
        <v>388</v>
      </c>
      <c r="J574" s="145">
        <v>130</v>
      </c>
      <c r="K574" s="147" t="s">
        <v>130</v>
      </c>
      <c r="L574" s="147" t="s">
        <v>130</v>
      </c>
      <c r="M574" s="147" t="s">
        <v>130</v>
      </c>
      <c r="N574" s="147" t="s">
        <v>114</v>
      </c>
      <c r="O574" s="147" t="s">
        <v>114</v>
      </c>
      <c r="P574" s="147" t="s">
        <v>124</v>
      </c>
      <c r="Q574" s="148" t="s">
        <v>281</v>
      </c>
      <c r="R574" s="148" t="s">
        <v>132</v>
      </c>
      <c r="S574" s="148" t="s">
        <v>136</v>
      </c>
      <c r="T574" s="148" t="s">
        <v>126</v>
      </c>
      <c r="U574" s="145">
        <f>D574+E574</f>
        <v>137</v>
      </c>
      <c r="V574" s="149"/>
      <c r="W574" s="145">
        <f>D574+E574+F574</f>
        <v>212</v>
      </c>
      <c r="X574" s="149"/>
    </row>
    <row r="575" customHeight="1" spans="1:24">
      <c r="A575" s="153">
        <v>640</v>
      </c>
      <c r="B575" s="154" t="s">
        <v>886</v>
      </c>
      <c r="C575" s="144">
        <v>6</v>
      </c>
      <c r="D575" s="145">
        <v>70</v>
      </c>
      <c r="E575" s="145">
        <v>43</v>
      </c>
      <c r="F575" s="145">
        <v>78</v>
      </c>
      <c r="G575" s="145">
        <v>91</v>
      </c>
      <c r="H575" s="145">
        <v>96</v>
      </c>
      <c r="I575" s="145">
        <f>SUM(D575:H575)</f>
        <v>378</v>
      </c>
      <c r="J575" s="145">
        <v>64</v>
      </c>
      <c r="K575" s="147" t="s">
        <v>130</v>
      </c>
      <c r="L575" s="147" t="s">
        <v>114</v>
      </c>
      <c r="M575" s="147" t="s">
        <v>114</v>
      </c>
      <c r="N575" s="147" t="s">
        <v>124</v>
      </c>
      <c r="O575" s="147" t="s">
        <v>114</v>
      </c>
      <c r="P575" s="147" t="s">
        <v>130</v>
      </c>
      <c r="Q575" s="148" t="s">
        <v>170</v>
      </c>
      <c r="R575" s="148" t="s">
        <v>118</v>
      </c>
      <c r="S575" s="148" t="s">
        <v>119</v>
      </c>
      <c r="T575" s="148" t="s">
        <v>126</v>
      </c>
      <c r="U575" s="145">
        <f>D575+E575</f>
        <v>113</v>
      </c>
      <c r="V575" s="149"/>
      <c r="W575" s="145">
        <f>D575+E575+F575</f>
        <v>191</v>
      </c>
      <c r="X575" s="149"/>
    </row>
    <row r="576" customHeight="1" spans="1:24">
      <c r="A576" s="153">
        <v>207</v>
      </c>
      <c r="B576" s="156" t="s">
        <v>887</v>
      </c>
      <c r="C576" s="144">
        <v>30</v>
      </c>
      <c r="D576" s="145">
        <v>84</v>
      </c>
      <c r="E576" s="145">
        <v>94</v>
      </c>
      <c r="F576" s="145">
        <v>74</v>
      </c>
      <c r="G576" s="145">
        <v>53</v>
      </c>
      <c r="H576" s="145">
        <v>96</v>
      </c>
      <c r="I576" s="145">
        <f>SUM(D576:H576)</f>
        <v>401</v>
      </c>
      <c r="J576" s="145">
        <v>48</v>
      </c>
      <c r="K576" s="147" t="s">
        <v>114</v>
      </c>
      <c r="L576" s="147" t="s">
        <v>124</v>
      </c>
      <c r="M576" s="147" t="s">
        <v>114</v>
      </c>
      <c r="N576" s="160" t="s">
        <v>123</v>
      </c>
      <c r="O576" s="147" t="s">
        <v>114</v>
      </c>
      <c r="P576" s="147" t="s">
        <v>124</v>
      </c>
      <c r="Q576" s="148" t="s">
        <v>655</v>
      </c>
      <c r="R576" s="148" t="s">
        <v>132</v>
      </c>
      <c r="S576" s="148" t="s">
        <v>136</v>
      </c>
      <c r="T576" s="148" t="s">
        <v>120</v>
      </c>
      <c r="U576" s="145">
        <f>D576+E576</f>
        <v>178</v>
      </c>
      <c r="V576" s="149"/>
      <c r="W576" s="145">
        <f>D576+E576+F576</f>
        <v>252</v>
      </c>
      <c r="X576" s="149"/>
    </row>
    <row r="577" customHeight="1" spans="1:24">
      <c r="A577" s="153">
        <v>269</v>
      </c>
      <c r="B577" s="154" t="s">
        <v>888</v>
      </c>
      <c r="C577" s="144">
        <v>16</v>
      </c>
      <c r="D577" s="145">
        <v>93</v>
      </c>
      <c r="E577" s="145">
        <v>79</v>
      </c>
      <c r="F577" s="145">
        <v>86</v>
      </c>
      <c r="G577" s="145">
        <v>83</v>
      </c>
      <c r="H577" s="145">
        <v>96</v>
      </c>
      <c r="I577" s="145">
        <f>SUM(D577:H577)</f>
        <v>437</v>
      </c>
      <c r="J577" s="145">
        <v>5</v>
      </c>
      <c r="K577" s="147" t="s">
        <v>115</v>
      </c>
      <c r="L577" s="147" t="s">
        <v>114</v>
      </c>
      <c r="M577" s="147" t="s">
        <v>114</v>
      </c>
      <c r="N577" s="147" t="s">
        <v>115</v>
      </c>
      <c r="O577" s="147" t="s">
        <v>114</v>
      </c>
      <c r="P577" s="147" t="s">
        <v>124</v>
      </c>
      <c r="Q577" s="158" t="s">
        <v>226</v>
      </c>
      <c r="R577" s="148" t="s">
        <v>118</v>
      </c>
      <c r="S577" s="148" t="s">
        <v>119</v>
      </c>
      <c r="T577" s="148" t="s">
        <v>126</v>
      </c>
      <c r="U577" s="145">
        <f>D577+E577</f>
        <v>172</v>
      </c>
      <c r="V577" s="149"/>
      <c r="W577" s="145">
        <f>D577+E577+F577</f>
        <v>258</v>
      </c>
      <c r="X577" s="149"/>
    </row>
    <row r="578" customHeight="1" spans="1:24">
      <c r="A578" s="153">
        <v>578</v>
      </c>
      <c r="B578" s="156" t="s">
        <v>889</v>
      </c>
      <c r="C578" s="144">
        <v>12</v>
      </c>
      <c r="D578" s="145">
        <v>90</v>
      </c>
      <c r="E578" s="145">
        <v>57</v>
      </c>
      <c r="F578" s="145">
        <v>78</v>
      </c>
      <c r="G578" s="145">
        <v>93</v>
      </c>
      <c r="H578" s="145">
        <v>94</v>
      </c>
      <c r="I578" s="145">
        <f>SUM(D578:H578)</f>
        <v>412</v>
      </c>
      <c r="J578" s="145">
        <v>137</v>
      </c>
      <c r="K578" s="147" t="s">
        <v>130</v>
      </c>
      <c r="L578" s="147" t="s">
        <v>115</v>
      </c>
      <c r="M578" s="147" t="s">
        <v>115</v>
      </c>
      <c r="N578" s="147" t="s">
        <v>124</v>
      </c>
      <c r="O578" s="147" t="s">
        <v>114</v>
      </c>
      <c r="P578" s="147" t="s">
        <v>130</v>
      </c>
      <c r="Q578" s="148" t="s">
        <v>624</v>
      </c>
      <c r="R578" s="148" t="s">
        <v>132</v>
      </c>
      <c r="S578" s="148" t="s">
        <v>119</v>
      </c>
      <c r="T578" s="148" t="s">
        <v>120</v>
      </c>
      <c r="U578" s="145">
        <f>D578+E578</f>
        <v>147</v>
      </c>
      <c r="V578" s="149"/>
      <c r="W578" s="145">
        <f>D578+E578+F578</f>
        <v>225</v>
      </c>
      <c r="X578" s="149"/>
    </row>
    <row r="579" customHeight="1" spans="1:24">
      <c r="A579" s="153">
        <v>285</v>
      </c>
      <c r="B579" s="154" t="s">
        <v>890</v>
      </c>
      <c r="C579" s="144">
        <v>12</v>
      </c>
      <c r="D579" s="145">
        <v>70</v>
      </c>
      <c r="E579" s="145">
        <v>85</v>
      </c>
      <c r="F579" s="145">
        <v>56</v>
      </c>
      <c r="G579" s="145">
        <v>75</v>
      </c>
      <c r="H579" s="145">
        <v>93</v>
      </c>
      <c r="I579" s="145">
        <f>SUM(D579:H579)</f>
        <v>379</v>
      </c>
      <c r="J579" s="145">
        <v>135</v>
      </c>
      <c r="K579" s="147" t="s">
        <v>130</v>
      </c>
      <c r="L579" s="147" t="s">
        <v>130</v>
      </c>
      <c r="M579" s="147" t="s">
        <v>114</v>
      </c>
      <c r="N579" s="147" t="s">
        <v>114</v>
      </c>
      <c r="O579" s="147" t="s">
        <v>114</v>
      </c>
      <c r="P579" s="147" t="s">
        <v>130</v>
      </c>
      <c r="Q579" s="148" t="s">
        <v>153</v>
      </c>
      <c r="R579" s="148" t="s">
        <v>119</v>
      </c>
      <c r="S579" s="148" t="s">
        <v>136</v>
      </c>
      <c r="T579" s="148" t="s">
        <v>250</v>
      </c>
      <c r="U579" s="145">
        <f>D579+E579</f>
        <v>155</v>
      </c>
      <c r="V579" s="149"/>
      <c r="W579" s="145">
        <f>D579+E579+F579</f>
        <v>211</v>
      </c>
      <c r="X579" s="149"/>
    </row>
    <row r="580" customHeight="1" spans="1:24">
      <c r="A580" s="153">
        <v>351</v>
      </c>
      <c r="B580" s="156" t="s">
        <v>891</v>
      </c>
      <c r="C580" s="144">
        <v>6</v>
      </c>
      <c r="D580" s="145">
        <v>77</v>
      </c>
      <c r="E580" s="145">
        <v>64</v>
      </c>
      <c r="F580" s="145">
        <v>78</v>
      </c>
      <c r="G580" s="145">
        <v>72</v>
      </c>
      <c r="H580" s="145">
        <v>93</v>
      </c>
      <c r="I580" s="145">
        <f>SUM(D580:H580)</f>
        <v>384</v>
      </c>
      <c r="J580" s="145">
        <v>70</v>
      </c>
      <c r="K580" s="147" t="s">
        <v>114</v>
      </c>
      <c r="L580" s="147" t="s">
        <v>130</v>
      </c>
      <c r="M580" s="147" t="s">
        <v>114</v>
      </c>
      <c r="N580" s="147" t="s">
        <v>114</v>
      </c>
      <c r="O580" s="147" t="s">
        <v>114</v>
      </c>
      <c r="P580" s="147" t="s">
        <v>130</v>
      </c>
      <c r="Q580" s="148" t="s">
        <v>172</v>
      </c>
      <c r="R580" s="148" t="s">
        <v>319</v>
      </c>
      <c r="S580" s="148" t="s">
        <v>119</v>
      </c>
      <c r="T580" s="148" t="s">
        <v>120</v>
      </c>
      <c r="U580" s="145">
        <f>D580+E580</f>
        <v>141</v>
      </c>
      <c r="V580" s="149"/>
      <c r="W580" s="145">
        <f>D580+E580+F580</f>
        <v>219</v>
      </c>
      <c r="X580" s="149"/>
    </row>
    <row r="581" customHeight="1" spans="1:24">
      <c r="A581" s="153">
        <v>86</v>
      </c>
      <c r="B581" s="154" t="s">
        <v>892</v>
      </c>
      <c r="C581" s="144">
        <v>10</v>
      </c>
      <c r="D581" s="145">
        <v>81</v>
      </c>
      <c r="E581" s="145">
        <v>72</v>
      </c>
      <c r="F581" s="145">
        <v>82</v>
      </c>
      <c r="G581" s="145">
        <v>90</v>
      </c>
      <c r="H581" s="145">
        <v>93</v>
      </c>
      <c r="I581" s="145">
        <f>SUM(D581:H581)</f>
        <v>418</v>
      </c>
      <c r="J581" s="145">
        <v>100</v>
      </c>
      <c r="K581" s="147" t="s">
        <v>114</v>
      </c>
      <c r="L581" s="147" t="s">
        <v>115</v>
      </c>
      <c r="M581" s="147" t="s">
        <v>114</v>
      </c>
      <c r="N581" s="147" t="s">
        <v>124</v>
      </c>
      <c r="O581" s="147" t="s">
        <v>114</v>
      </c>
      <c r="P581" s="147" t="s">
        <v>115</v>
      </c>
      <c r="Q581" s="148" t="s">
        <v>474</v>
      </c>
      <c r="R581" s="148" t="s">
        <v>119</v>
      </c>
      <c r="S581" s="148" t="s">
        <v>145</v>
      </c>
      <c r="T581" s="148" t="s">
        <v>120</v>
      </c>
      <c r="U581" s="145">
        <f>D581+E581</f>
        <v>153</v>
      </c>
      <c r="V581" s="149"/>
      <c r="W581" s="145">
        <f>D581+E581+F581</f>
        <v>235</v>
      </c>
      <c r="X581" s="149"/>
    </row>
    <row r="582" customHeight="1" spans="1:24">
      <c r="A582" s="153">
        <v>546</v>
      </c>
      <c r="B582" s="156" t="s">
        <v>893</v>
      </c>
      <c r="C582" s="144">
        <v>6</v>
      </c>
      <c r="D582" s="145">
        <v>64</v>
      </c>
      <c r="E582" s="145">
        <v>60</v>
      </c>
      <c r="F582" s="145">
        <v>86</v>
      </c>
      <c r="G582" s="145">
        <v>87</v>
      </c>
      <c r="H582" s="145">
        <v>92</v>
      </c>
      <c r="I582" s="145">
        <f>SUM(D582:H582)</f>
        <v>389</v>
      </c>
      <c r="J582" s="145">
        <v>50</v>
      </c>
      <c r="K582" s="147" t="s">
        <v>130</v>
      </c>
      <c r="L582" s="147" t="s">
        <v>115</v>
      </c>
      <c r="M582" s="147" t="s">
        <v>114</v>
      </c>
      <c r="N582" s="147" t="s">
        <v>124</v>
      </c>
      <c r="O582" s="147" t="s">
        <v>114</v>
      </c>
      <c r="P582" s="147" t="s">
        <v>130</v>
      </c>
      <c r="Q582" s="148" t="s">
        <v>429</v>
      </c>
      <c r="R582" s="148" t="s">
        <v>118</v>
      </c>
      <c r="S582" s="148" t="s">
        <v>119</v>
      </c>
      <c r="T582" s="148" t="s">
        <v>120</v>
      </c>
      <c r="U582" s="145">
        <f>D582+E582</f>
        <v>124</v>
      </c>
      <c r="V582" s="149"/>
      <c r="W582" s="145">
        <f>D582+E582+F582</f>
        <v>210</v>
      </c>
      <c r="X582" s="149"/>
    </row>
    <row r="583" customHeight="1" spans="1:24">
      <c r="A583" s="153">
        <v>235</v>
      </c>
      <c r="B583" s="154" t="s">
        <v>894</v>
      </c>
      <c r="C583" s="144">
        <v>12</v>
      </c>
      <c r="D583" s="145">
        <v>86</v>
      </c>
      <c r="E583" s="145">
        <v>78</v>
      </c>
      <c r="F583" s="145">
        <v>72</v>
      </c>
      <c r="G583" s="145">
        <v>74</v>
      </c>
      <c r="H583" s="145">
        <v>92</v>
      </c>
      <c r="I583" s="145">
        <f>SUM(D583:H583)</f>
        <v>402</v>
      </c>
      <c r="J583" s="145">
        <v>34</v>
      </c>
      <c r="K583" s="147" t="s">
        <v>114</v>
      </c>
      <c r="L583" s="147" t="s">
        <v>115</v>
      </c>
      <c r="M583" s="147" t="s">
        <v>114</v>
      </c>
      <c r="N583" s="147" t="s">
        <v>130</v>
      </c>
      <c r="O583" s="147" t="s">
        <v>114</v>
      </c>
      <c r="P583" s="147" t="s">
        <v>114</v>
      </c>
      <c r="Q583" s="148" t="s">
        <v>198</v>
      </c>
      <c r="R583" s="148" t="s">
        <v>118</v>
      </c>
      <c r="S583" s="148" t="s">
        <v>119</v>
      </c>
      <c r="T583" s="148" t="s">
        <v>120</v>
      </c>
      <c r="U583" s="145">
        <f>D583+E583</f>
        <v>164</v>
      </c>
      <c r="V583" s="149"/>
      <c r="W583" s="145">
        <f>D583+E583+F583</f>
        <v>236</v>
      </c>
      <c r="X583" s="149"/>
    </row>
    <row r="584" customHeight="1" spans="1:24">
      <c r="A584" s="153">
        <v>245</v>
      </c>
      <c r="B584" s="154" t="s">
        <v>895</v>
      </c>
      <c r="C584" s="144">
        <v>39</v>
      </c>
      <c r="D584" s="145">
        <v>95</v>
      </c>
      <c r="E584" s="145">
        <v>69</v>
      </c>
      <c r="F584" s="145">
        <v>91</v>
      </c>
      <c r="G584" s="145">
        <v>77</v>
      </c>
      <c r="H584" s="145">
        <v>92</v>
      </c>
      <c r="I584" s="145">
        <f>SUM(D584:H584)</f>
        <v>424</v>
      </c>
      <c r="J584" s="145">
        <v>125</v>
      </c>
      <c r="K584" s="147" t="s">
        <v>130</v>
      </c>
      <c r="L584" s="147" t="s">
        <v>114</v>
      </c>
      <c r="M584" s="147" t="s">
        <v>115</v>
      </c>
      <c r="N584" s="147" t="s">
        <v>124</v>
      </c>
      <c r="O584" s="147" t="s">
        <v>114</v>
      </c>
      <c r="P584" s="160" t="s">
        <v>123</v>
      </c>
      <c r="Q584" s="158" t="s">
        <v>896</v>
      </c>
      <c r="R584" s="148" t="s">
        <v>118</v>
      </c>
      <c r="S584" s="148" t="s">
        <v>119</v>
      </c>
      <c r="T584" s="148" t="s">
        <v>120</v>
      </c>
      <c r="U584" s="145">
        <f>D584+E584</f>
        <v>164</v>
      </c>
      <c r="V584" s="172" t="s">
        <v>897</v>
      </c>
      <c r="W584" s="145">
        <f>D584+E584+F584</f>
        <v>255</v>
      </c>
      <c r="X584" s="149"/>
    </row>
    <row r="585" customHeight="1" spans="1:24">
      <c r="A585" s="153">
        <v>184</v>
      </c>
      <c r="B585" s="154" t="s">
        <v>898</v>
      </c>
      <c r="C585" s="144">
        <v>28</v>
      </c>
      <c r="D585" s="145">
        <v>98</v>
      </c>
      <c r="E585" s="145">
        <v>77</v>
      </c>
      <c r="F585" s="145">
        <v>90</v>
      </c>
      <c r="G585" s="145">
        <v>93</v>
      </c>
      <c r="H585" s="145">
        <v>91</v>
      </c>
      <c r="I585" s="145">
        <f>SUM(D585:H585)</f>
        <v>449</v>
      </c>
      <c r="J585" s="145">
        <v>25</v>
      </c>
      <c r="K585" s="147" t="s">
        <v>115</v>
      </c>
      <c r="L585" s="160" t="s">
        <v>123</v>
      </c>
      <c r="M585" s="147" t="s">
        <v>114</v>
      </c>
      <c r="N585" s="147" t="s">
        <v>115</v>
      </c>
      <c r="O585" s="147" t="s">
        <v>114</v>
      </c>
      <c r="P585" s="147" t="s">
        <v>124</v>
      </c>
      <c r="Q585" s="158" t="s">
        <v>174</v>
      </c>
      <c r="R585" s="148" t="s">
        <v>119</v>
      </c>
      <c r="S585" s="148" t="s">
        <v>145</v>
      </c>
      <c r="T585" s="148" t="s">
        <v>120</v>
      </c>
      <c r="U585" s="145">
        <f>D585+E585</f>
        <v>175</v>
      </c>
      <c r="V585" s="148" t="s">
        <v>176</v>
      </c>
      <c r="W585" s="145">
        <f>D585+E585+F585</f>
        <v>265</v>
      </c>
      <c r="X585" s="149"/>
    </row>
    <row r="586" customHeight="1" spans="1:24">
      <c r="A586" s="153">
        <v>621</v>
      </c>
      <c r="B586" s="156" t="s">
        <v>899</v>
      </c>
      <c r="C586" s="144">
        <v>3</v>
      </c>
      <c r="D586" s="145">
        <v>33</v>
      </c>
      <c r="E586" s="145">
        <v>34</v>
      </c>
      <c r="F586" s="145">
        <v>75</v>
      </c>
      <c r="G586" s="145">
        <v>78</v>
      </c>
      <c r="H586" s="145">
        <v>90</v>
      </c>
      <c r="I586" s="145">
        <f>SUM(D586:H586)</f>
        <v>310</v>
      </c>
      <c r="J586" s="145">
        <v>60</v>
      </c>
      <c r="K586" s="147" t="s">
        <v>124</v>
      </c>
      <c r="L586" s="147" t="s">
        <v>124</v>
      </c>
      <c r="M586" s="147" t="s">
        <v>124</v>
      </c>
      <c r="N586" s="147" t="s">
        <v>130</v>
      </c>
      <c r="O586" s="147" t="s">
        <v>114</v>
      </c>
      <c r="P586" s="147" t="s">
        <v>124</v>
      </c>
      <c r="Q586" s="148" t="s">
        <v>236</v>
      </c>
      <c r="R586" s="148" t="s">
        <v>132</v>
      </c>
      <c r="S586" s="148" t="s">
        <v>119</v>
      </c>
      <c r="T586" s="148" t="s">
        <v>120</v>
      </c>
      <c r="U586" s="145">
        <f>D586+E586</f>
        <v>67</v>
      </c>
      <c r="V586" s="149"/>
      <c r="W586" s="145">
        <f>D586+E586+F586</f>
        <v>142</v>
      </c>
      <c r="X586" s="149"/>
    </row>
    <row r="587" customHeight="1" spans="1:24">
      <c r="A587" s="153">
        <v>777</v>
      </c>
      <c r="B587" s="154" t="s">
        <v>900</v>
      </c>
      <c r="C587" s="144">
        <v>7</v>
      </c>
      <c r="D587" s="145">
        <v>71</v>
      </c>
      <c r="E587" s="145">
        <v>55</v>
      </c>
      <c r="F587" s="145">
        <v>95</v>
      </c>
      <c r="G587" s="145">
        <v>88</v>
      </c>
      <c r="H587" s="145">
        <v>90</v>
      </c>
      <c r="I587" s="145">
        <f>SUM(D587:H587)</f>
        <v>399</v>
      </c>
      <c r="J587" s="145">
        <v>23</v>
      </c>
      <c r="K587" s="147" t="s">
        <v>114</v>
      </c>
      <c r="L587" s="147" t="s">
        <v>130</v>
      </c>
      <c r="M587" s="147" t="s">
        <v>124</v>
      </c>
      <c r="N587" s="147" t="s">
        <v>130</v>
      </c>
      <c r="O587" s="147" t="s">
        <v>114</v>
      </c>
      <c r="P587" s="147" t="s">
        <v>130</v>
      </c>
      <c r="Q587" s="148" t="s">
        <v>476</v>
      </c>
      <c r="R587" s="148" t="s">
        <v>118</v>
      </c>
      <c r="S587" s="148" t="s">
        <v>133</v>
      </c>
      <c r="T587" s="148" t="s">
        <v>120</v>
      </c>
      <c r="U587" s="145">
        <f>D587+E587</f>
        <v>126</v>
      </c>
      <c r="V587" s="149"/>
      <c r="W587" s="145">
        <f>D587+E587+F587</f>
        <v>221</v>
      </c>
      <c r="X587" s="149"/>
    </row>
    <row r="588" customHeight="1" spans="1:24">
      <c r="A588" s="153">
        <v>353</v>
      </c>
      <c r="B588" s="154" t="s">
        <v>901</v>
      </c>
      <c r="C588" s="144">
        <v>5</v>
      </c>
      <c r="D588" s="145">
        <v>71</v>
      </c>
      <c r="E588" s="145">
        <v>70</v>
      </c>
      <c r="F588" s="145">
        <v>88</v>
      </c>
      <c r="G588" s="145">
        <v>81</v>
      </c>
      <c r="H588" s="145">
        <v>90</v>
      </c>
      <c r="I588" s="145">
        <f>SUM(D588:H588)</f>
        <v>400</v>
      </c>
      <c r="J588" s="145">
        <v>80</v>
      </c>
      <c r="K588" s="147" t="s">
        <v>130</v>
      </c>
      <c r="L588" s="147" t="s">
        <v>130</v>
      </c>
      <c r="M588" s="147" t="s">
        <v>130</v>
      </c>
      <c r="N588" s="147" t="s">
        <v>130</v>
      </c>
      <c r="O588" s="147" t="s">
        <v>114</v>
      </c>
      <c r="P588" s="147" t="s">
        <v>115</v>
      </c>
      <c r="Q588" s="148" t="s">
        <v>579</v>
      </c>
      <c r="R588" s="148" t="s">
        <v>119</v>
      </c>
      <c r="S588" s="148" t="s">
        <v>136</v>
      </c>
      <c r="T588" s="148" t="s">
        <v>126</v>
      </c>
      <c r="U588" s="145">
        <f>D588+E588</f>
        <v>141</v>
      </c>
      <c r="V588" s="149"/>
      <c r="W588" s="145">
        <f>D588+E588+F588</f>
        <v>229</v>
      </c>
      <c r="X588" s="149"/>
    </row>
    <row r="589" customHeight="1" spans="1:24">
      <c r="A589" s="153">
        <v>650</v>
      </c>
      <c r="B589" s="154" t="s">
        <v>902</v>
      </c>
      <c r="C589" s="144">
        <v>12</v>
      </c>
      <c r="D589" s="145">
        <v>90</v>
      </c>
      <c r="E589" s="145">
        <v>67</v>
      </c>
      <c r="F589" s="145">
        <v>76</v>
      </c>
      <c r="G589" s="145">
        <v>77</v>
      </c>
      <c r="H589" s="145">
        <v>88</v>
      </c>
      <c r="I589" s="145">
        <f>SUM(D589:H589)</f>
        <v>398</v>
      </c>
      <c r="J589" s="145">
        <v>61</v>
      </c>
      <c r="K589" s="147" t="s">
        <v>114</v>
      </c>
      <c r="L589" s="147" t="s">
        <v>115</v>
      </c>
      <c r="M589" s="147" t="s">
        <v>115</v>
      </c>
      <c r="N589" s="147" t="s">
        <v>130</v>
      </c>
      <c r="O589" s="147" t="s">
        <v>114</v>
      </c>
      <c r="P589" s="147" t="s">
        <v>130</v>
      </c>
      <c r="Q589" s="148" t="s">
        <v>155</v>
      </c>
      <c r="R589" s="148" t="s">
        <v>118</v>
      </c>
      <c r="S589" s="148" t="s">
        <v>119</v>
      </c>
      <c r="T589" s="148" t="s">
        <v>126</v>
      </c>
      <c r="U589" s="145">
        <f>D589+E589</f>
        <v>157</v>
      </c>
      <c r="V589" s="149"/>
      <c r="W589" s="145">
        <f>D589+E589+F589</f>
        <v>233</v>
      </c>
      <c r="X589" s="149"/>
    </row>
    <row r="590" customHeight="1" spans="1:24">
      <c r="A590" s="153">
        <v>455</v>
      </c>
      <c r="B590" s="154" t="s">
        <v>903</v>
      </c>
      <c r="C590" s="144">
        <v>25</v>
      </c>
      <c r="D590" s="145">
        <v>84</v>
      </c>
      <c r="E590" s="145">
        <v>53</v>
      </c>
      <c r="F590" s="145">
        <v>97</v>
      </c>
      <c r="G590" s="145">
        <v>103</v>
      </c>
      <c r="H590" s="145">
        <v>88</v>
      </c>
      <c r="I590" s="145">
        <f>SUM(D590:H590)</f>
        <v>425</v>
      </c>
      <c r="J590" s="145">
        <v>14</v>
      </c>
      <c r="K590" s="147" t="s">
        <v>130</v>
      </c>
      <c r="L590" s="147" t="s">
        <v>115</v>
      </c>
      <c r="M590" s="147" t="s">
        <v>114</v>
      </c>
      <c r="N590" s="147" t="s">
        <v>130</v>
      </c>
      <c r="O590" s="147" t="s">
        <v>114</v>
      </c>
      <c r="P590" s="147" t="s">
        <v>114</v>
      </c>
      <c r="Q590" s="148" t="s">
        <v>139</v>
      </c>
      <c r="R590" s="148" t="s">
        <v>132</v>
      </c>
      <c r="S590" s="148" t="s">
        <v>136</v>
      </c>
      <c r="T590" s="148" t="s">
        <v>120</v>
      </c>
      <c r="U590" s="145">
        <f>D590+E590</f>
        <v>137</v>
      </c>
      <c r="V590" s="149"/>
      <c r="W590" s="145">
        <f>D590+E590+F590</f>
        <v>234</v>
      </c>
      <c r="X590" s="149"/>
    </row>
    <row r="591" customHeight="1" spans="1:24">
      <c r="A591" s="153">
        <v>529</v>
      </c>
      <c r="B591" s="154" t="s">
        <v>904</v>
      </c>
      <c r="C591" s="144">
        <v>5</v>
      </c>
      <c r="D591" s="145">
        <v>78</v>
      </c>
      <c r="E591" s="145">
        <v>76</v>
      </c>
      <c r="F591" s="145">
        <v>67</v>
      </c>
      <c r="G591" s="145">
        <v>82</v>
      </c>
      <c r="H591" s="145">
        <v>87</v>
      </c>
      <c r="I591" s="145">
        <f>SUM(D591:H591)</f>
        <v>390</v>
      </c>
      <c r="J591" s="145">
        <v>41</v>
      </c>
      <c r="K591" s="147" t="s">
        <v>115</v>
      </c>
      <c r="L591" s="147" t="s">
        <v>130</v>
      </c>
      <c r="M591" s="147" t="s">
        <v>124</v>
      </c>
      <c r="N591" s="147" t="s">
        <v>114</v>
      </c>
      <c r="O591" s="147" t="s">
        <v>114</v>
      </c>
      <c r="P591" s="147" t="s">
        <v>124</v>
      </c>
      <c r="Q591" s="148" t="s">
        <v>378</v>
      </c>
      <c r="R591" s="148" t="s">
        <v>118</v>
      </c>
      <c r="S591" s="148" t="s">
        <v>136</v>
      </c>
      <c r="T591" s="148" t="s">
        <v>126</v>
      </c>
      <c r="U591" s="145">
        <f>D591+E591</f>
        <v>154</v>
      </c>
      <c r="V591" s="149"/>
      <c r="W591" s="145">
        <f>D591+E591+F591</f>
        <v>221</v>
      </c>
      <c r="X591" s="149"/>
    </row>
    <row r="592" customHeight="1" spans="1:24">
      <c r="A592" s="153">
        <v>1</v>
      </c>
      <c r="B592" s="154" t="s">
        <v>905</v>
      </c>
      <c r="C592" s="144">
        <v>26</v>
      </c>
      <c r="D592" s="145">
        <v>88</v>
      </c>
      <c r="E592" s="145">
        <v>65</v>
      </c>
      <c r="F592" s="145">
        <v>96</v>
      </c>
      <c r="G592" s="145">
        <v>110</v>
      </c>
      <c r="H592" s="145">
        <v>87</v>
      </c>
      <c r="I592" s="145">
        <f>SUM(D592:H592)</f>
        <v>446</v>
      </c>
      <c r="J592" s="145">
        <v>65</v>
      </c>
      <c r="K592" s="147" t="s">
        <v>115</v>
      </c>
      <c r="L592" s="147" t="s">
        <v>115</v>
      </c>
      <c r="M592" s="147" t="s">
        <v>114</v>
      </c>
      <c r="N592" s="147" t="s">
        <v>130</v>
      </c>
      <c r="O592" s="147" t="s">
        <v>114</v>
      </c>
      <c r="P592" s="147" t="s">
        <v>130</v>
      </c>
      <c r="Q592" s="148" t="s">
        <v>139</v>
      </c>
      <c r="R592" s="148" t="s">
        <v>132</v>
      </c>
      <c r="S592" s="148" t="s">
        <v>136</v>
      </c>
      <c r="T592" s="148" t="s">
        <v>126</v>
      </c>
      <c r="U592" s="145">
        <f>D592+E592</f>
        <v>153</v>
      </c>
      <c r="V592" s="149"/>
      <c r="W592" s="145">
        <f>D592+E592+F592</f>
        <v>249</v>
      </c>
      <c r="X592" s="149"/>
    </row>
    <row r="593" customHeight="1" spans="1:24">
      <c r="A593" s="153">
        <v>234</v>
      </c>
      <c r="B593" s="154" t="s">
        <v>906</v>
      </c>
      <c r="C593" s="144">
        <v>2</v>
      </c>
      <c r="D593" s="145">
        <v>68</v>
      </c>
      <c r="E593" s="145">
        <v>73</v>
      </c>
      <c r="F593" s="145">
        <v>69</v>
      </c>
      <c r="G593" s="145">
        <v>73</v>
      </c>
      <c r="H593" s="145">
        <v>86</v>
      </c>
      <c r="I593" s="145">
        <f>SUM(D593:H593)</f>
        <v>369</v>
      </c>
      <c r="J593" s="145">
        <v>34</v>
      </c>
      <c r="K593" s="147" t="s">
        <v>114</v>
      </c>
      <c r="L593" s="147" t="s">
        <v>114</v>
      </c>
      <c r="M593" s="147" t="s">
        <v>114</v>
      </c>
      <c r="N593" s="147" t="s">
        <v>130</v>
      </c>
      <c r="O593" s="147" t="s">
        <v>114</v>
      </c>
      <c r="P593" s="147" t="s">
        <v>130</v>
      </c>
      <c r="Q593" s="148" t="s">
        <v>337</v>
      </c>
      <c r="R593" s="148" t="s">
        <v>132</v>
      </c>
      <c r="S593" s="148" t="s">
        <v>119</v>
      </c>
      <c r="T593" s="148" t="s">
        <v>126</v>
      </c>
      <c r="U593" s="145">
        <f>D593+E593</f>
        <v>141</v>
      </c>
      <c r="V593" s="149"/>
      <c r="W593" s="145">
        <f>D593+E593+F593</f>
        <v>210</v>
      </c>
      <c r="X593" s="149"/>
    </row>
    <row r="594" customHeight="1" spans="1:24">
      <c r="A594" s="153">
        <v>418</v>
      </c>
      <c r="B594" s="154" t="s">
        <v>907</v>
      </c>
      <c r="C594" s="144">
        <v>6</v>
      </c>
      <c r="D594" s="145">
        <v>68</v>
      </c>
      <c r="E594" s="145">
        <v>50</v>
      </c>
      <c r="F594" s="145">
        <v>79</v>
      </c>
      <c r="G594" s="145">
        <v>86</v>
      </c>
      <c r="H594" s="145">
        <v>86</v>
      </c>
      <c r="I594" s="145">
        <f>SUM(D594:H594)</f>
        <v>369</v>
      </c>
      <c r="J594" s="145">
        <v>91</v>
      </c>
      <c r="K594" s="147" t="s">
        <v>130</v>
      </c>
      <c r="L594" s="147" t="s">
        <v>124</v>
      </c>
      <c r="M594" s="147" t="s">
        <v>124</v>
      </c>
      <c r="N594" s="147" t="s">
        <v>130</v>
      </c>
      <c r="O594" s="147" t="s">
        <v>114</v>
      </c>
      <c r="P594" s="147" t="s">
        <v>124</v>
      </c>
      <c r="Q594" s="148" t="s">
        <v>402</v>
      </c>
      <c r="R594" s="148" t="s">
        <v>132</v>
      </c>
      <c r="S594" s="148" t="s">
        <v>119</v>
      </c>
      <c r="T594" s="148" t="s">
        <v>120</v>
      </c>
      <c r="U594" s="145">
        <f>D594+E594</f>
        <v>118</v>
      </c>
      <c r="V594" s="149"/>
      <c r="W594" s="145">
        <f>D594+E594+F594</f>
        <v>197</v>
      </c>
      <c r="X594" s="149"/>
    </row>
    <row r="595" customHeight="1" spans="1:24">
      <c r="A595" s="153">
        <v>542</v>
      </c>
      <c r="B595" s="154" t="s">
        <v>908</v>
      </c>
      <c r="C595" s="144">
        <v>8</v>
      </c>
      <c r="D595" s="145">
        <v>82</v>
      </c>
      <c r="E595" s="145">
        <v>66</v>
      </c>
      <c r="F595" s="145">
        <v>80</v>
      </c>
      <c r="G595" s="145">
        <v>84</v>
      </c>
      <c r="H595" s="145">
        <v>86</v>
      </c>
      <c r="I595" s="145">
        <f>SUM(D595:H595)</f>
        <v>398</v>
      </c>
      <c r="J595" s="145">
        <v>63</v>
      </c>
      <c r="K595" s="147" t="s">
        <v>114</v>
      </c>
      <c r="L595" s="147" t="s">
        <v>130</v>
      </c>
      <c r="M595" s="147" t="s">
        <v>114</v>
      </c>
      <c r="N595" s="147" t="s">
        <v>124</v>
      </c>
      <c r="O595" s="147" t="s">
        <v>114</v>
      </c>
      <c r="P595" s="147" t="s">
        <v>115</v>
      </c>
      <c r="Q595" s="148" t="s">
        <v>294</v>
      </c>
      <c r="R595" s="148" t="s">
        <v>132</v>
      </c>
      <c r="S595" s="148" t="s">
        <v>136</v>
      </c>
      <c r="T595" s="148" t="s">
        <v>120</v>
      </c>
      <c r="U595" s="145">
        <f>D595+E595</f>
        <v>148</v>
      </c>
      <c r="V595" s="149"/>
      <c r="W595" s="145">
        <f>D595+E595+F595</f>
        <v>228</v>
      </c>
      <c r="X595" s="149"/>
    </row>
    <row r="596" customHeight="1" spans="1:24">
      <c r="A596" s="153">
        <v>319</v>
      </c>
      <c r="B596" s="154" t="s">
        <v>909</v>
      </c>
      <c r="C596" s="144">
        <v>47</v>
      </c>
      <c r="D596" s="167">
        <v>102</v>
      </c>
      <c r="E596" s="145">
        <v>88</v>
      </c>
      <c r="F596" s="145">
        <v>83</v>
      </c>
      <c r="G596" s="145">
        <v>77</v>
      </c>
      <c r="H596" s="145">
        <v>86</v>
      </c>
      <c r="I596" s="145">
        <f>SUM(D596:H596)</f>
        <v>436</v>
      </c>
      <c r="J596" s="145">
        <v>65</v>
      </c>
      <c r="K596" s="147" t="s">
        <v>115</v>
      </c>
      <c r="L596" s="160" t="s">
        <v>123</v>
      </c>
      <c r="M596" s="147" t="s">
        <v>115</v>
      </c>
      <c r="N596" s="147" t="s">
        <v>130</v>
      </c>
      <c r="O596" s="147" t="s">
        <v>114</v>
      </c>
      <c r="P596" s="160" t="s">
        <v>123</v>
      </c>
      <c r="Q596" s="158" t="s">
        <v>910</v>
      </c>
      <c r="R596" s="148" t="s">
        <v>119</v>
      </c>
      <c r="S596" s="148" t="s">
        <v>145</v>
      </c>
      <c r="T596" s="148" t="s">
        <v>126</v>
      </c>
      <c r="U596" s="145">
        <f>D596+E596</f>
        <v>190</v>
      </c>
      <c r="V596" s="172" t="s">
        <v>911</v>
      </c>
      <c r="W596" s="145">
        <f>D596+E596+F596</f>
        <v>273</v>
      </c>
      <c r="X596" s="149"/>
    </row>
    <row r="597" customHeight="1" spans="1:24">
      <c r="A597" s="153">
        <v>694</v>
      </c>
      <c r="B597" s="154" t="s">
        <v>912</v>
      </c>
      <c r="C597" s="144">
        <v>2</v>
      </c>
      <c r="D597" s="145">
        <v>64</v>
      </c>
      <c r="E597" s="145">
        <v>63</v>
      </c>
      <c r="F597" s="145">
        <v>70</v>
      </c>
      <c r="G597" s="145">
        <v>75</v>
      </c>
      <c r="H597" s="145">
        <v>85</v>
      </c>
      <c r="I597" s="145">
        <f>SUM(D597:H597)</f>
        <v>357</v>
      </c>
      <c r="J597" s="145">
        <v>89</v>
      </c>
      <c r="K597" s="147" t="s">
        <v>130</v>
      </c>
      <c r="L597" s="147" t="s">
        <v>130</v>
      </c>
      <c r="M597" s="147" t="s">
        <v>114</v>
      </c>
      <c r="N597" s="147" t="s">
        <v>124</v>
      </c>
      <c r="O597" s="147" t="s">
        <v>114</v>
      </c>
      <c r="P597" s="147" t="s">
        <v>130</v>
      </c>
      <c r="Q597" s="148" t="s">
        <v>321</v>
      </c>
      <c r="R597" s="148" t="s">
        <v>118</v>
      </c>
      <c r="S597" s="148" t="s">
        <v>119</v>
      </c>
      <c r="T597" s="148" t="s">
        <v>126</v>
      </c>
      <c r="U597" s="145">
        <f>D597+E597</f>
        <v>127</v>
      </c>
      <c r="V597" s="149"/>
      <c r="W597" s="145">
        <f>D597+E597+F597</f>
        <v>197</v>
      </c>
      <c r="X597" s="149"/>
    </row>
    <row r="598" customHeight="1" spans="1:24">
      <c r="A598" s="153">
        <v>28</v>
      </c>
      <c r="B598" s="154" t="s">
        <v>913</v>
      </c>
      <c r="C598" s="144">
        <v>2</v>
      </c>
      <c r="D598" s="145">
        <v>68</v>
      </c>
      <c r="E598" s="145">
        <v>61</v>
      </c>
      <c r="F598" s="145">
        <v>76</v>
      </c>
      <c r="G598" s="145">
        <v>85</v>
      </c>
      <c r="H598" s="145">
        <v>85</v>
      </c>
      <c r="I598" s="145">
        <f>SUM(D598:H598)</f>
        <v>375</v>
      </c>
      <c r="J598" s="145">
        <v>22</v>
      </c>
      <c r="K598" s="147" t="s">
        <v>130</v>
      </c>
      <c r="L598" s="147" t="s">
        <v>114</v>
      </c>
      <c r="M598" s="147" t="s">
        <v>130</v>
      </c>
      <c r="N598" s="147" t="s">
        <v>124</v>
      </c>
      <c r="O598" s="147" t="s">
        <v>114</v>
      </c>
      <c r="P598" s="147" t="s">
        <v>124</v>
      </c>
      <c r="Q598" s="148" t="s">
        <v>168</v>
      </c>
      <c r="R598" s="148" t="s">
        <v>132</v>
      </c>
      <c r="S598" s="148" t="s">
        <v>136</v>
      </c>
      <c r="T598" s="148" t="s">
        <v>148</v>
      </c>
      <c r="U598" s="145">
        <f>D598+E598</f>
        <v>129</v>
      </c>
      <c r="V598" s="149"/>
      <c r="W598" s="145">
        <f>D598+E598+F598</f>
        <v>205</v>
      </c>
      <c r="X598" s="149"/>
    </row>
    <row r="599" customHeight="1" spans="1:24">
      <c r="A599" s="153">
        <v>231</v>
      </c>
      <c r="B599" s="154" t="s">
        <v>914</v>
      </c>
      <c r="C599" s="144">
        <v>22</v>
      </c>
      <c r="D599" s="145">
        <v>95</v>
      </c>
      <c r="E599" s="145">
        <v>57</v>
      </c>
      <c r="F599" s="145">
        <v>78</v>
      </c>
      <c r="G599" s="145">
        <v>72</v>
      </c>
      <c r="H599" s="145">
        <v>85</v>
      </c>
      <c r="I599" s="145">
        <f>SUM(D599:H599)</f>
        <v>387</v>
      </c>
      <c r="J599" s="145">
        <v>33</v>
      </c>
      <c r="K599" s="147" t="s">
        <v>115</v>
      </c>
      <c r="L599" s="160" t="s">
        <v>123</v>
      </c>
      <c r="M599" s="147" t="s">
        <v>114</v>
      </c>
      <c r="N599" s="147" t="s">
        <v>130</v>
      </c>
      <c r="O599" s="147" t="s">
        <v>114</v>
      </c>
      <c r="P599" s="147" t="s">
        <v>115</v>
      </c>
      <c r="Q599" s="148" t="s">
        <v>915</v>
      </c>
      <c r="R599" s="148" t="s">
        <v>132</v>
      </c>
      <c r="S599" s="148" t="s">
        <v>133</v>
      </c>
      <c r="T599" s="148" t="s">
        <v>120</v>
      </c>
      <c r="U599" s="145">
        <f>D599+E599</f>
        <v>152</v>
      </c>
      <c r="V599" s="149"/>
      <c r="W599" s="145">
        <f>D599+E599+F599</f>
        <v>230</v>
      </c>
      <c r="X599" s="149"/>
    </row>
    <row r="600" customHeight="1" spans="1:24">
      <c r="A600" s="153">
        <v>525</v>
      </c>
      <c r="B600" s="154" t="s">
        <v>916</v>
      </c>
      <c r="C600" s="144">
        <v>2</v>
      </c>
      <c r="D600" s="145">
        <v>78</v>
      </c>
      <c r="E600" s="145">
        <v>62</v>
      </c>
      <c r="F600" s="145">
        <v>87</v>
      </c>
      <c r="G600" s="145">
        <v>76</v>
      </c>
      <c r="H600" s="145">
        <v>84</v>
      </c>
      <c r="I600" s="145">
        <f>SUM(D600:H600)</f>
        <v>387</v>
      </c>
      <c r="J600" s="145">
        <v>43</v>
      </c>
      <c r="K600" s="147" t="s">
        <v>130</v>
      </c>
      <c r="L600" s="147" t="s">
        <v>114</v>
      </c>
      <c r="M600" s="147" t="s">
        <v>130</v>
      </c>
      <c r="N600" s="147" t="s">
        <v>124</v>
      </c>
      <c r="O600" s="147" t="s">
        <v>114</v>
      </c>
      <c r="P600" s="147" t="s">
        <v>130</v>
      </c>
      <c r="Q600" s="148" t="s">
        <v>203</v>
      </c>
      <c r="R600" s="148" t="s">
        <v>132</v>
      </c>
      <c r="S600" s="148" t="s">
        <v>119</v>
      </c>
      <c r="T600" s="148" t="s">
        <v>120</v>
      </c>
      <c r="U600" s="145">
        <f>D600+E600</f>
        <v>140</v>
      </c>
      <c r="V600" s="149"/>
      <c r="W600" s="145">
        <f>D600+E600+F600</f>
        <v>227</v>
      </c>
      <c r="X600" s="149"/>
    </row>
    <row r="601" customHeight="1" spans="1:24">
      <c r="A601" s="153">
        <v>452</v>
      </c>
      <c r="B601" s="154" t="s">
        <v>917</v>
      </c>
      <c r="C601" s="144">
        <v>4</v>
      </c>
      <c r="D601" s="145">
        <v>77</v>
      </c>
      <c r="E601" s="145">
        <v>74</v>
      </c>
      <c r="F601" s="145">
        <v>78</v>
      </c>
      <c r="G601" s="145">
        <v>77</v>
      </c>
      <c r="H601" s="145">
        <v>84</v>
      </c>
      <c r="I601" s="145">
        <f>SUM(D601:H601)</f>
        <v>390</v>
      </c>
      <c r="J601" s="145">
        <v>6</v>
      </c>
      <c r="K601" s="147" t="s">
        <v>114</v>
      </c>
      <c r="L601" s="147" t="s">
        <v>130</v>
      </c>
      <c r="M601" s="147" t="s">
        <v>114</v>
      </c>
      <c r="N601" s="147" t="s">
        <v>130</v>
      </c>
      <c r="O601" s="147" t="s">
        <v>114</v>
      </c>
      <c r="P601" s="147" t="s">
        <v>130</v>
      </c>
      <c r="Q601" s="148" t="s">
        <v>192</v>
      </c>
      <c r="R601" s="148" t="s">
        <v>118</v>
      </c>
      <c r="S601" s="148" t="s">
        <v>119</v>
      </c>
      <c r="T601" s="148" t="s">
        <v>126</v>
      </c>
      <c r="U601" s="145">
        <f>D601+E601</f>
        <v>151</v>
      </c>
      <c r="V601" s="149"/>
      <c r="W601" s="145">
        <f>D601+E601+F601</f>
        <v>229</v>
      </c>
      <c r="X601" s="149"/>
    </row>
    <row r="602" customHeight="1" spans="1:24">
      <c r="A602" s="153">
        <v>186</v>
      </c>
      <c r="B602" s="154" t="s">
        <v>918</v>
      </c>
      <c r="C602" s="144">
        <v>22</v>
      </c>
      <c r="D602" s="145">
        <v>81</v>
      </c>
      <c r="E602" s="145">
        <v>63</v>
      </c>
      <c r="F602" s="145">
        <v>89</v>
      </c>
      <c r="G602" s="145">
        <v>77</v>
      </c>
      <c r="H602" s="145">
        <v>84</v>
      </c>
      <c r="I602" s="145">
        <f>SUM(D602:H602)</f>
        <v>394</v>
      </c>
      <c r="J602" s="145">
        <v>70</v>
      </c>
      <c r="K602" s="147" t="s">
        <v>114</v>
      </c>
      <c r="L602" s="147" t="s">
        <v>114</v>
      </c>
      <c r="M602" s="147" t="s">
        <v>114</v>
      </c>
      <c r="N602" s="147" t="s">
        <v>130</v>
      </c>
      <c r="O602" s="147" t="s">
        <v>114</v>
      </c>
      <c r="P602" s="147" t="s">
        <v>124</v>
      </c>
      <c r="Q602" s="148" t="s">
        <v>139</v>
      </c>
      <c r="R602" s="148" t="s">
        <v>118</v>
      </c>
      <c r="S602" s="148" t="s">
        <v>136</v>
      </c>
      <c r="T602" s="148" t="s">
        <v>120</v>
      </c>
      <c r="U602" s="145">
        <f>D602+E602</f>
        <v>144</v>
      </c>
      <c r="V602" s="149"/>
      <c r="W602" s="145">
        <f>D602+E602+F602</f>
        <v>233</v>
      </c>
      <c r="X602" s="149"/>
    </row>
    <row r="603" customHeight="1" spans="1:24">
      <c r="A603" s="153">
        <v>219</v>
      </c>
      <c r="B603" s="154" t="s">
        <v>919</v>
      </c>
      <c r="C603" s="144">
        <v>4</v>
      </c>
      <c r="D603" s="145">
        <v>76</v>
      </c>
      <c r="E603" s="145">
        <v>73</v>
      </c>
      <c r="F603" s="145">
        <v>66</v>
      </c>
      <c r="G603" s="145">
        <v>79</v>
      </c>
      <c r="H603" s="145">
        <v>83</v>
      </c>
      <c r="I603" s="145">
        <f>SUM(D603:H603)</f>
        <v>377</v>
      </c>
      <c r="J603" s="145">
        <v>90</v>
      </c>
      <c r="K603" s="147" t="s">
        <v>130</v>
      </c>
      <c r="L603" s="147" t="s">
        <v>130</v>
      </c>
      <c r="M603" s="147" t="s">
        <v>115</v>
      </c>
      <c r="N603" s="147" t="s">
        <v>114</v>
      </c>
      <c r="O603" s="147" t="s">
        <v>114</v>
      </c>
      <c r="P603" s="147" t="s">
        <v>130</v>
      </c>
      <c r="Q603" s="148" t="s">
        <v>203</v>
      </c>
      <c r="R603" s="148" t="s">
        <v>132</v>
      </c>
      <c r="S603" s="148" t="s">
        <v>119</v>
      </c>
      <c r="T603" s="148" t="s">
        <v>148</v>
      </c>
      <c r="U603" s="145">
        <f>D603+E603</f>
        <v>149</v>
      </c>
      <c r="V603" s="149"/>
      <c r="W603" s="145">
        <f>D603+E603+F603</f>
        <v>215</v>
      </c>
      <c r="X603" s="149"/>
    </row>
    <row r="604" customHeight="1" spans="1:24">
      <c r="A604" s="153">
        <v>667</v>
      </c>
      <c r="B604" s="154" t="s">
        <v>920</v>
      </c>
      <c r="C604" s="144">
        <v>2</v>
      </c>
      <c r="D604" s="145">
        <v>66</v>
      </c>
      <c r="E604" s="145">
        <v>67</v>
      </c>
      <c r="F604" s="145">
        <v>84</v>
      </c>
      <c r="G604" s="145">
        <v>81</v>
      </c>
      <c r="H604" s="145">
        <v>82</v>
      </c>
      <c r="I604" s="145">
        <f>SUM(D604:H604)</f>
        <v>380</v>
      </c>
      <c r="J604" s="145">
        <v>124</v>
      </c>
      <c r="K604" s="147" t="s">
        <v>130</v>
      </c>
      <c r="L604" s="147" t="s">
        <v>130</v>
      </c>
      <c r="M604" s="147" t="s">
        <v>130</v>
      </c>
      <c r="N604" s="147" t="s">
        <v>124</v>
      </c>
      <c r="O604" s="147" t="s">
        <v>114</v>
      </c>
      <c r="P604" s="147" t="s">
        <v>114</v>
      </c>
      <c r="Q604" s="148" t="s">
        <v>286</v>
      </c>
      <c r="R604" s="148" t="s">
        <v>132</v>
      </c>
      <c r="S604" s="148" t="s">
        <v>119</v>
      </c>
      <c r="T604" s="148" t="s">
        <v>148</v>
      </c>
      <c r="U604" s="145">
        <f>D604+E604</f>
        <v>133</v>
      </c>
      <c r="V604" s="149"/>
      <c r="W604" s="145">
        <f>D604+E604+F604</f>
        <v>217</v>
      </c>
      <c r="X604" s="149"/>
    </row>
    <row r="605" customHeight="1" spans="1:24">
      <c r="A605" s="153">
        <v>243</v>
      </c>
      <c r="B605" s="154" t="s">
        <v>921</v>
      </c>
      <c r="C605" s="144">
        <v>4</v>
      </c>
      <c r="D605" s="145">
        <v>78</v>
      </c>
      <c r="E605" s="145">
        <v>83</v>
      </c>
      <c r="F605" s="145">
        <v>68</v>
      </c>
      <c r="G605" s="145">
        <v>72</v>
      </c>
      <c r="H605" s="145">
        <v>82</v>
      </c>
      <c r="I605" s="145">
        <f>SUM(D605:H605)</f>
        <v>383</v>
      </c>
      <c r="J605" s="145">
        <v>140</v>
      </c>
      <c r="K605" s="147" t="s">
        <v>114</v>
      </c>
      <c r="L605" s="147" t="s">
        <v>130</v>
      </c>
      <c r="M605" s="147" t="s">
        <v>114</v>
      </c>
      <c r="N605" s="147" t="s">
        <v>114</v>
      </c>
      <c r="O605" s="147" t="s">
        <v>114</v>
      </c>
      <c r="P605" s="147" t="s">
        <v>124</v>
      </c>
      <c r="Q605" s="148" t="s">
        <v>416</v>
      </c>
      <c r="R605" s="148" t="s">
        <v>119</v>
      </c>
      <c r="S605" s="148" t="s">
        <v>136</v>
      </c>
      <c r="T605" s="148" t="s">
        <v>126</v>
      </c>
      <c r="U605" s="145">
        <f>D605+E605</f>
        <v>161</v>
      </c>
      <c r="V605" s="149"/>
      <c r="W605" s="145">
        <f>D605+E605+F605</f>
        <v>229</v>
      </c>
      <c r="X605" s="149"/>
    </row>
    <row r="606" customHeight="1" spans="1:24">
      <c r="A606" s="153">
        <v>109</v>
      </c>
      <c r="B606" s="154" t="s">
        <v>922</v>
      </c>
      <c r="C606" s="144">
        <v>10</v>
      </c>
      <c r="D606" s="145">
        <v>82</v>
      </c>
      <c r="E606" s="145">
        <v>74</v>
      </c>
      <c r="F606" s="145">
        <v>75</v>
      </c>
      <c r="G606" s="145">
        <v>79</v>
      </c>
      <c r="H606" s="145">
        <v>82</v>
      </c>
      <c r="I606" s="145">
        <f>SUM(D606:H606)</f>
        <v>392</v>
      </c>
      <c r="J606" s="145">
        <v>20</v>
      </c>
      <c r="K606" s="147" t="s">
        <v>115</v>
      </c>
      <c r="L606" s="147" t="s">
        <v>115</v>
      </c>
      <c r="M606" s="147" t="s">
        <v>130</v>
      </c>
      <c r="N606" s="147" t="s">
        <v>124</v>
      </c>
      <c r="O606" s="147" t="s">
        <v>114</v>
      </c>
      <c r="P606" s="147" t="s">
        <v>114</v>
      </c>
      <c r="Q606" s="148" t="s">
        <v>220</v>
      </c>
      <c r="R606" s="148" t="s">
        <v>175</v>
      </c>
      <c r="S606" s="148" t="s">
        <v>145</v>
      </c>
      <c r="T606" s="148" t="s">
        <v>126</v>
      </c>
      <c r="U606" s="145">
        <f>D606+E606</f>
        <v>156</v>
      </c>
      <c r="V606" s="149"/>
      <c r="W606" s="145">
        <f>D606+E606+F606</f>
        <v>231</v>
      </c>
      <c r="X606" s="149"/>
    </row>
    <row r="607" customHeight="1" spans="1:24">
      <c r="A607" s="153">
        <v>192</v>
      </c>
      <c r="B607" s="154" t="s">
        <v>923</v>
      </c>
      <c r="C607" s="144">
        <v>12</v>
      </c>
      <c r="D607" s="145">
        <v>89</v>
      </c>
      <c r="E607" s="145">
        <v>75</v>
      </c>
      <c r="F607" s="145">
        <v>79</v>
      </c>
      <c r="G607" s="145">
        <v>70</v>
      </c>
      <c r="H607" s="145">
        <v>82</v>
      </c>
      <c r="I607" s="145">
        <f>SUM(D607:H607)</f>
        <v>395</v>
      </c>
      <c r="J607" s="145">
        <v>71</v>
      </c>
      <c r="K607" s="147" t="s">
        <v>115</v>
      </c>
      <c r="L607" s="147" t="s">
        <v>114</v>
      </c>
      <c r="M607" s="147" t="s">
        <v>114</v>
      </c>
      <c r="N607" s="147" t="s">
        <v>114</v>
      </c>
      <c r="O607" s="147" t="s">
        <v>114</v>
      </c>
      <c r="P607" s="147" t="s">
        <v>124</v>
      </c>
      <c r="Q607" s="148" t="s">
        <v>172</v>
      </c>
      <c r="R607" s="148" t="s">
        <v>132</v>
      </c>
      <c r="S607" s="148" t="s">
        <v>119</v>
      </c>
      <c r="T607" s="148" t="s">
        <v>120</v>
      </c>
      <c r="U607" s="145">
        <f>D607+E607</f>
        <v>164</v>
      </c>
      <c r="V607" s="149"/>
      <c r="W607" s="145">
        <f>D607+E607+F607</f>
        <v>243</v>
      </c>
      <c r="X607" s="149"/>
    </row>
    <row r="608" customHeight="1" spans="1:24">
      <c r="A608" s="153">
        <v>360</v>
      </c>
      <c r="B608" s="154" t="s">
        <v>924</v>
      </c>
      <c r="C608" s="144">
        <v>15</v>
      </c>
      <c r="D608" s="145">
        <v>88</v>
      </c>
      <c r="E608" s="145">
        <v>69</v>
      </c>
      <c r="F608" s="145">
        <v>80</v>
      </c>
      <c r="G608" s="145">
        <v>78</v>
      </c>
      <c r="H608" s="145">
        <v>82</v>
      </c>
      <c r="I608" s="145">
        <f>SUM(D608:H608)</f>
        <v>397</v>
      </c>
      <c r="J608" s="145">
        <v>77</v>
      </c>
      <c r="K608" s="147" t="s">
        <v>114</v>
      </c>
      <c r="L608" s="147" t="s">
        <v>115</v>
      </c>
      <c r="M608" s="147" t="s">
        <v>114</v>
      </c>
      <c r="N608" s="147" t="s">
        <v>130</v>
      </c>
      <c r="O608" s="147" t="s">
        <v>114</v>
      </c>
      <c r="P608" s="147" t="s">
        <v>115</v>
      </c>
      <c r="Q608" s="158" t="s">
        <v>243</v>
      </c>
      <c r="R608" s="148" t="s">
        <v>132</v>
      </c>
      <c r="S608" s="148" t="s">
        <v>136</v>
      </c>
      <c r="T608" s="148" t="s">
        <v>120</v>
      </c>
      <c r="U608" s="145">
        <f>D608+E608</f>
        <v>157</v>
      </c>
      <c r="V608" s="149"/>
      <c r="W608" s="145">
        <f>D608+E608+F608</f>
        <v>237</v>
      </c>
      <c r="X608" s="149"/>
    </row>
    <row r="609" customHeight="1" spans="1:24">
      <c r="A609" s="153">
        <v>602</v>
      </c>
      <c r="B609" s="154" t="s">
        <v>925</v>
      </c>
      <c r="C609" s="144">
        <v>16</v>
      </c>
      <c r="D609" s="145">
        <v>90</v>
      </c>
      <c r="E609" s="145">
        <v>61</v>
      </c>
      <c r="F609" s="145">
        <v>89</v>
      </c>
      <c r="G609" s="145">
        <v>84</v>
      </c>
      <c r="H609" s="145">
        <v>82</v>
      </c>
      <c r="I609" s="145">
        <f>SUM(D609:H609)</f>
        <v>406</v>
      </c>
      <c r="J609" s="145">
        <v>126</v>
      </c>
      <c r="K609" s="147" t="s">
        <v>114</v>
      </c>
      <c r="L609" s="147" t="s">
        <v>115</v>
      </c>
      <c r="M609" s="147" t="s">
        <v>114</v>
      </c>
      <c r="N609" s="147" t="s">
        <v>124</v>
      </c>
      <c r="O609" s="147" t="s">
        <v>114</v>
      </c>
      <c r="P609" s="147" t="s">
        <v>115</v>
      </c>
      <c r="Q609" s="158" t="s">
        <v>157</v>
      </c>
      <c r="R609" s="148" t="s">
        <v>118</v>
      </c>
      <c r="S609" s="148" t="s">
        <v>119</v>
      </c>
      <c r="T609" s="148" t="s">
        <v>120</v>
      </c>
      <c r="U609" s="145">
        <f>D609+E609</f>
        <v>151</v>
      </c>
      <c r="V609" s="148" t="s">
        <v>158</v>
      </c>
      <c r="W609" s="145">
        <f>D609+E609+F609</f>
        <v>240</v>
      </c>
      <c r="X609" s="149"/>
    </row>
    <row r="610" customHeight="1" spans="1:24">
      <c r="A610" s="153">
        <v>97</v>
      </c>
      <c r="B610" s="154" t="s">
        <v>926</v>
      </c>
      <c r="C610" s="144">
        <v>2</v>
      </c>
      <c r="D610" s="145">
        <v>72</v>
      </c>
      <c r="E610" s="145">
        <v>63</v>
      </c>
      <c r="F610" s="145">
        <v>72</v>
      </c>
      <c r="G610" s="145">
        <v>82</v>
      </c>
      <c r="H610" s="145">
        <v>81</v>
      </c>
      <c r="I610" s="145">
        <f>SUM(D610:H610)</f>
        <v>370</v>
      </c>
      <c r="J610" s="145">
        <v>98</v>
      </c>
      <c r="K610" s="147" t="s">
        <v>130</v>
      </c>
      <c r="L610" s="147" t="s">
        <v>130</v>
      </c>
      <c r="M610" s="147" t="s">
        <v>124</v>
      </c>
      <c r="N610" s="147" t="s">
        <v>124</v>
      </c>
      <c r="O610" s="147" t="s">
        <v>114</v>
      </c>
      <c r="P610" s="147" t="s">
        <v>130</v>
      </c>
      <c r="Q610" s="148" t="s">
        <v>299</v>
      </c>
      <c r="R610" s="148" t="s">
        <v>132</v>
      </c>
      <c r="S610" s="148" t="s">
        <v>133</v>
      </c>
      <c r="T610" s="148" t="s">
        <v>148</v>
      </c>
      <c r="U610" s="145">
        <f>D610+E610</f>
        <v>135</v>
      </c>
      <c r="V610" s="149"/>
      <c r="W610" s="145">
        <f>D610+E610+F610</f>
        <v>207</v>
      </c>
      <c r="X610" s="149"/>
    </row>
    <row r="611" customHeight="1" spans="1:24">
      <c r="A611" s="153">
        <v>501</v>
      </c>
      <c r="B611" s="154" t="s">
        <v>927</v>
      </c>
      <c r="C611" s="144">
        <v>8</v>
      </c>
      <c r="D611" s="145">
        <v>87</v>
      </c>
      <c r="E611" s="145">
        <v>35</v>
      </c>
      <c r="F611" s="145">
        <v>83</v>
      </c>
      <c r="G611" s="145">
        <v>84</v>
      </c>
      <c r="H611" s="145">
        <v>81</v>
      </c>
      <c r="I611" s="145">
        <f>SUM(D611:H611)</f>
        <v>370</v>
      </c>
      <c r="J611" s="145">
        <v>28</v>
      </c>
      <c r="K611" s="147" t="s">
        <v>114</v>
      </c>
      <c r="L611" s="147" t="s">
        <v>130</v>
      </c>
      <c r="M611" s="147" t="s">
        <v>115</v>
      </c>
      <c r="N611" s="147" t="s">
        <v>124</v>
      </c>
      <c r="O611" s="147" t="s">
        <v>114</v>
      </c>
      <c r="P611" s="147" t="s">
        <v>115</v>
      </c>
      <c r="Q611" s="148" t="s">
        <v>318</v>
      </c>
      <c r="R611" s="148" t="s">
        <v>132</v>
      </c>
      <c r="S611" s="148" t="s">
        <v>119</v>
      </c>
      <c r="T611" s="148" t="s">
        <v>126</v>
      </c>
      <c r="U611" s="145">
        <f>D611+E611</f>
        <v>122</v>
      </c>
      <c r="V611" s="149"/>
      <c r="W611" s="145">
        <f>D611+E611+F611</f>
        <v>205</v>
      </c>
      <c r="X611" s="149"/>
    </row>
    <row r="612" customHeight="1" spans="1:24">
      <c r="A612" s="153">
        <v>514</v>
      </c>
      <c r="B612" s="154" t="s">
        <v>928</v>
      </c>
      <c r="C612" s="144">
        <v>19</v>
      </c>
      <c r="D612" s="145">
        <v>90</v>
      </c>
      <c r="E612" s="145">
        <v>83</v>
      </c>
      <c r="F612" s="145">
        <v>76</v>
      </c>
      <c r="G612" s="145">
        <v>68</v>
      </c>
      <c r="H612" s="145">
        <v>81</v>
      </c>
      <c r="I612" s="145">
        <f>SUM(D612:H612)</f>
        <v>398</v>
      </c>
      <c r="J612" s="145">
        <v>45</v>
      </c>
      <c r="K612" s="147" t="s">
        <v>130</v>
      </c>
      <c r="L612" s="147" t="s">
        <v>114</v>
      </c>
      <c r="M612" s="147" t="s">
        <v>115</v>
      </c>
      <c r="N612" s="147" t="s">
        <v>115</v>
      </c>
      <c r="O612" s="147" t="s">
        <v>114</v>
      </c>
      <c r="P612" s="147" t="s">
        <v>130</v>
      </c>
      <c r="Q612" s="158" t="s">
        <v>511</v>
      </c>
      <c r="R612" s="148" t="s">
        <v>132</v>
      </c>
      <c r="S612" s="148" t="s">
        <v>119</v>
      </c>
      <c r="T612" s="148" t="s">
        <v>120</v>
      </c>
      <c r="U612" s="145">
        <f>D612+E612</f>
        <v>173</v>
      </c>
      <c r="V612" s="148" t="s">
        <v>512</v>
      </c>
      <c r="W612" s="145">
        <f>D612+E612+F612</f>
        <v>249</v>
      </c>
      <c r="X612" s="149"/>
    </row>
    <row r="613" customHeight="1" spans="1:24">
      <c r="A613" s="153">
        <v>18</v>
      </c>
      <c r="B613" s="154" t="s">
        <v>929</v>
      </c>
      <c r="C613" s="144">
        <v>4</v>
      </c>
      <c r="D613" s="145">
        <v>73</v>
      </c>
      <c r="E613" s="145">
        <v>67</v>
      </c>
      <c r="F613" s="145">
        <v>65</v>
      </c>
      <c r="G613" s="145">
        <v>72</v>
      </c>
      <c r="H613" s="145">
        <v>80</v>
      </c>
      <c r="I613" s="145">
        <f>SUM(D613:H613)</f>
        <v>357</v>
      </c>
      <c r="J613" s="145">
        <v>67</v>
      </c>
      <c r="K613" s="147" t="s">
        <v>124</v>
      </c>
      <c r="L613" s="147" t="s">
        <v>130</v>
      </c>
      <c r="M613" s="147" t="s">
        <v>115</v>
      </c>
      <c r="N613" s="147" t="s">
        <v>124</v>
      </c>
      <c r="O613" s="147" t="s">
        <v>114</v>
      </c>
      <c r="P613" s="147" t="s">
        <v>124</v>
      </c>
      <c r="Q613" s="148" t="s">
        <v>200</v>
      </c>
      <c r="R613" s="148" t="s">
        <v>119</v>
      </c>
      <c r="S613" s="148" t="s">
        <v>145</v>
      </c>
      <c r="T613" s="148" t="s">
        <v>126</v>
      </c>
      <c r="U613" s="145">
        <f>D613+E613</f>
        <v>140</v>
      </c>
      <c r="V613" s="149"/>
      <c r="W613" s="145">
        <f>D613+E613+F613</f>
        <v>205</v>
      </c>
      <c r="X613" s="149"/>
    </row>
    <row r="614" customHeight="1" spans="1:24">
      <c r="A614" s="153">
        <v>636</v>
      </c>
      <c r="B614" s="154" t="s">
        <v>930</v>
      </c>
      <c r="C614" s="144">
        <v>6</v>
      </c>
      <c r="D614" s="145">
        <v>76</v>
      </c>
      <c r="E614" s="145">
        <v>80</v>
      </c>
      <c r="F614" s="145">
        <v>67</v>
      </c>
      <c r="G614" s="145">
        <v>74</v>
      </c>
      <c r="H614" s="145">
        <v>80</v>
      </c>
      <c r="I614" s="145">
        <f>SUM(D614:H614)</f>
        <v>377</v>
      </c>
      <c r="J614" s="145">
        <v>61</v>
      </c>
      <c r="K614" s="147" t="s">
        <v>114</v>
      </c>
      <c r="L614" s="147" t="s">
        <v>130</v>
      </c>
      <c r="M614" s="147" t="s">
        <v>115</v>
      </c>
      <c r="N614" s="147" t="s">
        <v>114</v>
      </c>
      <c r="O614" s="147" t="s">
        <v>114</v>
      </c>
      <c r="P614" s="147" t="s">
        <v>124</v>
      </c>
      <c r="Q614" s="148" t="s">
        <v>429</v>
      </c>
      <c r="R614" s="148" t="s">
        <v>132</v>
      </c>
      <c r="S614" s="148" t="s">
        <v>133</v>
      </c>
      <c r="T614" s="148" t="s">
        <v>120</v>
      </c>
      <c r="U614" s="145">
        <f>D614+E614</f>
        <v>156</v>
      </c>
      <c r="V614" s="149"/>
      <c r="W614" s="145">
        <f>D614+E614+F614</f>
        <v>223</v>
      </c>
      <c r="X614" s="149"/>
    </row>
    <row r="615" customHeight="1" spans="1:24">
      <c r="A615" s="153">
        <v>533</v>
      </c>
      <c r="B615" s="154" t="s">
        <v>931</v>
      </c>
      <c r="C615" s="144">
        <v>7</v>
      </c>
      <c r="D615" s="145">
        <v>76</v>
      </c>
      <c r="E615" s="145">
        <v>83</v>
      </c>
      <c r="F615" s="145">
        <v>67</v>
      </c>
      <c r="G615" s="145">
        <v>77</v>
      </c>
      <c r="H615" s="145">
        <v>80</v>
      </c>
      <c r="I615" s="145">
        <f>SUM(D615:H615)</f>
        <v>383</v>
      </c>
      <c r="J615" s="145">
        <v>42</v>
      </c>
      <c r="K615" s="147" t="s">
        <v>130</v>
      </c>
      <c r="L615" s="147" t="s">
        <v>114</v>
      </c>
      <c r="M615" s="147" t="s">
        <v>130</v>
      </c>
      <c r="N615" s="147" t="s">
        <v>114</v>
      </c>
      <c r="O615" s="147" t="s">
        <v>114</v>
      </c>
      <c r="P615" s="147" t="s">
        <v>124</v>
      </c>
      <c r="Q615" s="148" t="s">
        <v>294</v>
      </c>
      <c r="R615" s="148" t="s">
        <v>132</v>
      </c>
      <c r="S615" s="148" t="s">
        <v>119</v>
      </c>
      <c r="T615" s="148" t="s">
        <v>126</v>
      </c>
      <c r="U615" s="145">
        <f>D615+E615</f>
        <v>159</v>
      </c>
      <c r="V615" s="149"/>
      <c r="W615" s="145">
        <f>D615+E615+F615</f>
        <v>226</v>
      </c>
      <c r="X615" s="149"/>
    </row>
    <row r="616" customHeight="1" spans="1:24">
      <c r="A616" s="153">
        <v>340</v>
      </c>
      <c r="B616" s="154" t="s">
        <v>932</v>
      </c>
      <c r="C616" s="144">
        <v>5</v>
      </c>
      <c r="D616" s="145">
        <v>75</v>
      </c>
      <c r="E616" s="145">
        <v>68</v>
      </c>
      <c r="F616" s="145">
        <v>81</v>
      </c>
      <c r="G616" s="145">
        <v>79</v>
      </c>
      <c r="H616" s="145">
        <v>80</v>
      </c>
      <c r="I616" s="145">
        <f>SUM(D616:H616)</f>
        <v>383</v>
      </c>
      <c r="J616" s="145">
        <v>85</v>
      </c>
      <c r="K616" s="147" t="s">
        <v>130</v>
      </c>
      <c r="L616" s="147" t="s">
        <v>130</v>
      </c>
      <c r="M616" s="147" t="s">
        <v>115</v>
      </c>
      <c r="N616" s="147" t="s">
        <v>124</v>
      </c>
      <c r="O616" s="147" t="s">
        <v>114</v>
      </c>
      <c r="P616" s="147" t="s">
        <v>114</v>
      </c>
      <c r="Q616" s="148" t="s">
        <v>230</v>
      </c>
      <c r="R616" s="148" t="s">
        <v>119</v>
      </c>
      <c r="S616" s="148" t="s">
        <v>145</v>
      </c>
      <c r="T616" s="148" t="s">
        <v>120</v>
      </c>
      <c r="U616" s="145">
        <f>D616+E616</f>
        <v>143</v>
      </c>
      <c r="V616" s="149"/>
      <c r="W616" s="145">
        <f>D616+E616+F616</f>
        <v>224</v>
      </c>
      <c r="X616" s="149"/>
    </row>
    <row r="617" customHeight="1" spans="1:24">
      <c r="A617" s="153">
        <v>205</v>
      </c>
      <c r="B617" s="154" t="s">
        <v>933</v>
      </c>
      <c r="C617" s="144">
        <v>15</v>
      </c>
      <c r="D617" s="145">
        <v>89</v>
      </c>
      <c r="E617" s="145">
        <v>88</v>
      </c>
      <c r="F617" s="145">
        <v>67</v>
      </c>
      <c r="G617" s="145">
        <v>61</v>
      </c>
      <c r="H617" s="145">
        <v>80</v>
      </c>
      <c r="I617" s="145">
        <f>SUM(D617:H617)</f>
        <v>385</v>
      </c>
      <c r="J617" s="145">
        <v>90</v>
      </c>
      <c r="K617" s="147" t="s">
        <v>115</v>
      </c>
      <c r="L617" s="147" t="s">
        <v>114</v>
      </c>
      <c r="M617" s="147" t="s">
        <v>130</v>
      </c>
      <c r="N617" s="147" t="s">
        <v>115</v>
      </c>
      <c r="O617" s="147" t="s">
        <v>114</v>
      </c>
      <c r="P617" s="147" t="s">
        <v>114</v>
      </c>
      <c r="Q617" s="148" t="s">
        <v>472</v>
      </c>
      <c r="R617" s="148" t="s">
        <v>132</v>
      </c>
      <c r="S617" s="148" t="s">
        <v>119</v>
      </c>
      <c r="T617" s="148" t="s">
        <v>126</v>
      </c>
      <c r="U617" s="145">
        <f>D617+E617</f>
        <v>177</v>
      </c>
      <c r="V617" s="149"/>
      <c r="W617" s="145">
        <f>D617+E617+F617</f>
        <v>244</v>
      </c>
      <c r="X617" s="149"/>
    </row>
    <row r="618" customHeight="1" spans="1:24">
      <c r="A618" s="153">
        <v>303</v>
      </c>
      <c r="B618" s="154" t="s">
        <v>934</v>
      </c>
      <c r="C618" s="144">
        <v>5</v>
      </c>
      <c r="D618" s="145">
        <v>74</v>
      </c>
      <c r="E618" s="145">
        <v>71</v>
      </c>
      <c r="F618" s="145">
        <v>80</v>
      </c>
      <c r="G618" s="145">
        <v>84</v>
      </c>
      <c r="H618" s="145">
        <v>80</v>
      </c>
      <c r="I618" s="145">
        <f>SUM(D618:H618)</f>
        <v>389</v>
      </c>
      <c r="J618" s="145">
        <v>130</v>
      </c>
      <c r="K618" s="147" t="s">
        <v>130</v>
      </c>
      <c r="L618" s="147" t="s">
        <v>114</v>
      </c>
      <c r="M618" s="147" t="s">
        <v>114</v>
      </c>
      <c r="N618" s="147" t="s">
        <v>114</v>
      </c>
      <c r="O618" s="147" t="s">
        <v>114</v>
      </c>
      <c r="P618" s="147" t="s">
        <v>124</v>
      </c>
      <c r="Q618" s="148" t="s">
        <v>353</v>
      </c>
      <c r="R618" s="148" t="s">
        <v>132</v>
      </c>
      <c r="S618" s="148" t="s">
        <v>119</v>
      </c>
      <c r="T618" s="148" t="s">
        <v>120</v>
      </c>
      <c r="U618" s="145">
        <f>D618+E618</f>
        <v>145</v>
      </c>
      <c r="V618" s="149"/>
      <c r="W618" s="145">
        <f>D618+E618+F618</f>
        <v>225</v>
      </c>
      <c r="X618" s="149"/>
    </row>
    <row r="619" customHeight="1" spans="1:24">
      <c r="A619" s="153">
        <v>467</v>
      </c>
      <c r="B619" s="154" t="s">
        <v>935</v>
      </c>
      <c r="C619" s="144">
        <v>9</v>
      </c>
      <c r="D619" s="145">
        <v>76</v>
      </c>
      <c r="E619" s="145">
        <v>93</v>
      </c>
      <c r="F619" s="145">
        <v>43</v>
      </c>
      <c r="G619" s="145">
        <v>51</v>
      </c>
      <c r="H619" s="145">
        <v>79</v>
      </c>
      <c r="I619" s="145">
        <f>SUM(D619:H619)</f>
        <v>342</v>
      </c>
      <c r="J619" s="145">
        <v>17</v>
      </c>
      <c r="K619" s="147" t="s">
        <v>114</v>
      </c>
      <c r="L619" s="147" t="s">
        <v>114</v>
      </c>
      <c r="M619" s="147" t="s">
        <v>130</v>
      </c>
      <c r="N619" s="147" t="s">
        <v>130</v>
      </c>
      <c r="O619" s="147" t="s">
        <v>114</v>
      </c>
      <c r="P619" s="147" t="s">
        <v>130</v>
      </c>
      <c r="Q619" s="148" t="s">
        <v>486</v>
      </c>
      <c r="R619" s="148" t="s">
        <v>118</v>
      </c>
      <c r="S619" s="148" t="s">
        <v>119</v>
      </c>
      <c r="T619" s="148" t="s">
        <v>126</v>
      </c>
      <c r="U619" s="145">
        <f>D619+E619</f>
        <v>169</v>
      </c>
      <c r="V619" s="149"/>
      <c r="W619" s="145">
        <f>D619+E619+F619</f>
        <v>212</v>
      </c>
      <c r="X619" s="149"/>
    </row>
    <row r="620" customHeight="1" spans="1:24">
      <c r="A620" s="153">
        <v>310</v>
      </c>
      <c r="B620" s="154" t="s">
        <v>936</v>
      </c>
      <c r="C620" s="144">
        <v>2</v>
      </c>
      <c r="D620" s="145">
        <v>70</v>
      </c>
      <c r="E620" s="145">
        <v>54</v>
      </c>
      <c r="F620" s="145">
        <v>66</v>
      </c>
      <c r="G620" s="145">
        <v>76</v>
      </c>
      <c r="H620" s="145">
        <v>79</v>
      </c>
      <c r="I620" s="145">
        <f>SUM(D620:H620)</f>
        <v>345</v>
      </c>
      <c r="J620" s="145">
        <v>94</v>
      </c>
      <c r="K620" s="147" t="s">
        <v>130</v>
      </c>
      <c r="L620" s="147" t="s">
        <v>130</v>
      </c>
      <c r="M620" s="147" t="s">
        <v>130</v>
      </c>
      <c r="N620" s="147" t="s">
        <v>124</v>
      </c>
      <c r="O620" s="147" t="s">
        <v>114</v>
      </c>
      <c r="P620" s="147" t="s">
        <v>115</v>
      </c>
      <c r="Q620" s="148" t="s">
        <v>587</v>
      </c>
      <c r="R620" s="148" t="s">
        <v>118</v>
      </c>
      <c r="S620" s="148" t="s">
        <v>133</v>
      </c>
      <c r="T620" s="148" t="s">
        <v>120</v>
      </c>
      <c r="U620" s="145">
        <f>D620+E620</f>
        <v>124</v>
      </c>
      <c r="V620" s="149"/>
      <c r="W620" s="145">
        <f>D620+E620+F620</f>
        <v>190</v>
      </c>
      <c r="X620" s="149"/>
    </row>
    <row r="621" customHeight="1" spans="1:24">
      <c r="A621" s="153">
        <v>410</v>
      </c>
      <c r="B621" s="154" t="s">
        <v>937</v>
      </c>
      <c r="C621" s="144">
        <v>1</v>
      </c>
      <c r="D621" s="145">
        <v>69</v>
      </c>
      <c r="E621" s="145">
        <v>59</v>
      </c>
      <c r="F621" s="145">
        <v>75</v>
      </c>
      <c r="G621" s="145">
        <v>79</v>
      </c>
      <c r="H621" s="145">
        <v>79</v>
      </c>
      <c r="I621" s="145">
        <f>SUM(D621:H621)</f>
        <v>361</v>
      </c>
      <c r="J621" s="145">
        <v>121</v>
      </c>
      <c r="K621" s="147" t="s">
        <v>130</v>
      </c>
      <c r="L621" s="147" t="s">
        <v>130</v>
      </c>
      <c r="M621" s="147" t="s">
        <v>130</v>
      </c>
      <c r="N621" s="147" t="s">
        <v>124</v>
      </c>
      <c r="O621" s="147" t="s">
        <v>114</v>
      </c>
      <c r="P621" s="147" t="s">
        <v>130</v>
      </c>
      <c r="Q621" s="148" t="s">
        <v>299</v>
      </c>
      <c r="R621" s="148" t="s">
        <v>132</v>
      </c>
      <c r="S621" s="148" t="s">
        <v>119</v>
      </c>
      <c r="T621" s="148" t="s">
        <v>120</v>
      </c>
      <c r="U621" s="145">
        <f>D621+E621</f>
        <v>128</v>
      </c>
      <c r="V621" s="149"/>
      <c r="W621" s="145">
        <f>D621+E621+F621</f>
        <v>203</v>
      </c>
      <c r="X621" s="252"/>
    </row>
    <row r="622" customHeight="1" spans="1:24">
      <c r="A622" s="153">
        <v>42</v>
      </c>
      <c r="B622" s="154" t="s">
        <v>938</v>
      </c>
      <c r="C622" s="144">
        <v>4</v>
      </c>
      <c r="D622" s="145">
        <v>64</v>
      </c>
      <c r="E622" s="145">
        <v>73</v>
      </c>
      <c r="F622" s="145">
        <v>69</v>
      </c>
      <c r="G622" s="145">
        <v>81</v>
      </c>
      <c r="H622" s="145">
        <v>79</v>
      </c>
      <c r="I622" s="145">
        <f>SUM(D622:H622)</f>
        <v>366</v>
      </c>
      <c r="J622" s="145">
        <v>18</v>
      </c>
      <c r="K622" s="147" t="s">
        <v>114</v>
      </c>
      <c r="L622" s="147" t="s">
        <v>114</v>
      </c>
      <c r="M622" s="147" t="s">
        <v>114</v>
      </c>
      <c r="N622" s="147" t="s">
        <v>130</v>
      </c>
      <c r="O622" s="147" t="s">
        <v>114</v>
      </c>
      <c r="P622" s="147" t="s">
        <v>130</v>
      </c>
      <c r="Q622" s="148" t="s">
        <v>674</v>
      </c>
      <c r="R622" s="148" t="s">
        <v>132</v>
      </c>
      <c r="S622" s="148" t="s">
        <v>119</v>
      </c>
      <c r="T622" s="148" t="s">
        <v>126</v>
      </c>
      <c r="U622" s="145">
        <f>D622+E622</f>
        <v>137</v>
      </c>
      <c r="V622" s="149"/>
      <c r="W622" s="145">
        <f>D622+E622+F622</f>
        <v>206</v>
      </c>
      <c r="X622" s="149"/>
    </row>
    <row r="623" customHeight="1" spans="1:24">
      <c r="A623" s="153">
        <v>671</v>
      </c>
      <c r="B623" s="154" t="s">
        <v>939</v>
      </c>
      <c r="C623" s="144">
        <v>30</v>
      </c>
      <c r="D623" s="145">
        <v>95</v>
      </c>
      <c r="E623" s="145">
        <v>84</v>
      </c>
      <c r="F623" s="145">
        <v>82</v>
      </c>
      <c r="G623" s="145">
        <v>74</v>
      </c>
      <c r="H623" s="145">
        <v>79</v>
      </c>
      <c r="I623" s="145">
        <f>SUM(D623:H623)</f>
        <v>414</v>
      </c>
      <c r="J623" s="145">
        <v>64</v>
      </c>
      <c r="K623" s="147" t="s">
        <v>115</v>
      </c>
      <c r="L623" s="160" t="s">
        <v>123</v>
      </c>
      <c r="M623" s="147" t="s">
        <v>114</v>
      </c>
      <c r="N623" s="147" t="s">
        <v>130</v>
      </c>
      <c r="O623" s="147" t="s">
        <v>114</v>
      </c>
      <c r="P623" s="147" t="s">
        <v>115</v>
      </c>
      <c r="Q623" s="148" t="s">
        <v>915</v>
      </c>
      <c r="R623" s="148" t="s">
        <v>118</v>
      </c>
      <c r="S623" s="148" t="s">
        <v>119</v>
      </c>
      <c r="T623" s="148" t="s">
        <v>120</v>
      </c>
      <c r="U623" s="145">
        <f>D623+E623</f>
        <v>179</v>
      </c>
      <c r="V623" s="149"/>
      <c r="W623" s="145">
        <f>D623+E623+F623</f>
        <v>261</v>
      </c>
      <c r="X623" s="149"/>
    </row>
    <row r="624" customHeight="1" spans="1:24">
      <c r="A624" s="153">
        <v>238</v>
      </c>
      <c r="B624" s="154" t="s">
        <v>940</v>
      </c>
      <c r="C624" s="144">
        <v>6</v>
      </c>
      <c r="D624" s="145">
        <v>79</v>
      </c>
      <c r="E624" s="145">
        <v>71</v>
      </c>
      <c r="F624" s="145">
        <v>77</v>
      </c>
      <c r="G624" s="145">
        <v>80</v>
      </c>
      <c r="H624" s="145">
        <v>78</v>
      </c>
      <c r="I624" s="145">
        <f>SUM(D624:H624)</f>
        <v>385</v>
      </c>
      <c r="J624" s="145">
        <v>29</v>
      </c>
      <c r="K624" s="147" t="s">
        <v>114</v>
      </c>
      <c r="L624" s="147" t="s">
        <v>115</v>
      </c>
      <c r="M624" s="147" t="s">
        <v>114</v>
      </c>
      <c r="N624" s="147" t="s">
        <v>124</v>
      </c>
      <c r="O624" s="147" t="s">
        <v>114</v>
      </c>
      <c r="P624" s="147" t="s">
        <v>114</v>
      </c>
      <c r="Q624" s="148" t="s">
        <v>236</v>
      </c>
      <c r="R624" s="148" t="s">
        <v>132</v>
      </c>
      <c r="S624" s="148" t="s">
        <v>119</v>
      </c>
      <c r="T624" s="148" t="s">
        <v>126</v>
      </c>
      <c r="U624" s="145">
        <f>D624+E624</f>
        <v>150</v>
      </c>
      <c r="V624" s="149"/>
      <c r="W624" s="145">
        <f>D624+E624+F624</f>
        <v>227</v>
      </c>
      <c r="X624" s="149"/>
    </row>
    <row r="625" customHeight="1" spans="1:24">
      <c r="A625" s="153">
        <v>427</v>
      </c>
      <c r="B625" s="154" t="s">
        <v>941</v>
      </c>
      <c r="C625" s="144">
        <v>25</v>
      </c>
      <c r="D625" s="145">
        <v>93</v>
      </c>
      <c r="E625" s="145">
        <v>85</v>
      </c>
      <c r="F625" s="145">
        <v>80</v>
      </c>
      <c r="G625" s="145">
        <v>67</v>
      </c>
      <c r="H625" s="145">
        <v>78</v>
      </c>
      <c r="I625" s="145">
        <f>SUM(D625:H625)</f>
        <v>403</v>
      </c>
      <c r="J625" s="145">
        <v>1</v>
      </c>
      <c r="K625" s="147" t="s">
        <v>115</v>
      </c>
      <c r="L625" s="147" t="s">
        <v>114</v>
      </c>
      <c r="M625" s="147" t="s">
        <v>114</v>
      </c>
      <c r="N625" s="147" t="s">
        <v>115</v>
      </c>
      <c r="O625" s="147" t="s">
        <v>114</v>
      </c>
      <c r="P625" s="147" t="s">
        <v>130</v>
      </c>
      <c r="Q625" s="148" t="s">
        <v>915</v>
      </c>
      <c r="R625" s="148" t="s">
        <v>118</v>
      </c>
      <c r="S625" s="148" t="s">
        <v>119</v>
      </c>
      <c r="T625" s="148" t="s">
        <v>120</v>
      </c>
      <c r="U625" s="145">
        <f>D625+E625</f>
        <v>178</v>
      </c>
      <c r="V625" s="149"/>
      <c r="W625" s="145">
        <f>D625+E625+F625</f>
        <v>258</v>
      </c>
      <c r="X625" s="149"/>
    </row>
    <row r="626" customHeight="1" spans="1:24">
      <c r="A626" s="153">
        <v>281</v>
      </c>
      <c r="B626" s="154" t="s">
        <v>942</v>
      </c>
      <c r="C626" s="144">
        <v>1</v>
      </c>
      <c r="D626" s="145">
        <v>60</v>
      </c>
      <c r="E626" s="145">
        <v>48</v>
      </c>
      <c r="F626" s="145">
        <v>83</v>
      </c>
      <c r="G626" s="145">
        <v>86</v>
      </c>
      <c r="H626" s="145">
        <v>77</v>
      </c>
      <c r="I626" s="145">
        <f>SUM(D626:H626)</f>
        <v>354</v>
      </c>
      <c r="J626" s="145">
        <v>7</v>
      </c>
      <c r="K626" s="147" t="s">
        <v>130</v>
      </c>
      <c r="L626" s="147" t="s">
        <v>130</v>
      </c>
      <c r="M626" s="147" t="s">
        <v>130</v>
      </c>
      <c r="N626" s="147" t="s">
        <v>130</v>
      </c>
      <c r="O626" s="147" t="s">
        <v>114</v>
      </c>
      <c r="P626" s="147" t="s">
        <v>124</v>
      </c>
      <c r="Q626" s="148" t="s">
        <v>414</v>
      </c>
      <c r="R626" s="148" t="s">
        <v>132</v>
      </c>
      <c r="S626" s="148" t="s">
        <v>119</v>
      </c>
      <c r="T626" s="148" t="s">
        <v>148</v>
      </c>
      <c r="U626" s="145">
        <f>D626+E626</f>
        <v>108</v>
      </c>
      <c r="V626" s="149"/>
      <c r="W626" s="145">
        <f>D626+E626+F626</f>
        <v>191</v>
      </c>
      <c r="X626" s="149"/>
    </row>
    <row r="627" customHeight="1" spans="1:24">
      <c r="A627" s="153">
        <v>242</v>
      </c>
      <c r="B627" s="154" t="s">
        <v>943</v>
      </c>
      <c r="C627" s="144">
        <v>7</v>
      </c>
      <c r="D627" s="145">
        <v>81</v>
      </c>
      <c r="E627" s="145">
        <v>75</v>
      </c>
      <c r="F627" s="145">
        <v>63</v>
      </c>
      <c r="G627" s="145">
        <v>69</v>
      </c>
      <c r="H627" s="145">
        <v>77</v>
      </c>
      <c r="I627" s="145">
        <f>SUM(D627:H627)</f>
        <v>365</v>
      </c>
      <c r="J627" s="145">
        <v>26</v>
      </c>
      <c r="K627" s="147" t="s">
        <v>115</v>
      </c>
      <c r="L627" s="147" t="s">
        <v>114</v>
      </c>
      <c r="M627" s="147" t="s">
        <v>130</v>
      </c>
      <c r="N627" s="147" t="s">
        <v>124</v>
      </c>
      <c r="O627" s="147" t="s">
        <v>114</v>
      </c>
      <c r="P627" s="147" t="s">
        <v>114</v>
      </c>
      <c r="Q627" s="148" t="s">
        <v>550</v>
      </c>
      <c r="R627" s="148" t="s">
        <v>132</v>
      </c>
      <c r="S627" s="148" t="s">
        <v>119</v>
      </c>
      <c r="T627" s="148" t="s">
        <v>148</v>
      </c>
      <c r="U627" s="145">
        <f>D627+E627</f>
        <v>156</v>
      </c>
      <c r="V627" s="149"/>
      <c r="W627" s="145">
        <f>D627+E627+F627</f>
        <v>219</v>
      </c>
      <c r="X627" s="149"/>
    </row>
    <row r="628" customHeight="1" spans="1:24">
      <c r="A628" s="153">
        <v>388</v>
      </c>
      <c r="B628" s="154" t="s">
        <v>944</v>
      </c>
      <c r="C628" s="144">
        <v>5</v>
      </c>
      <c r="D628" s="145">
        <v>82</v>
      </c>
      <c r="E628" s="145">
        <v>67</v>
      </c>
      <c r="F628" s="145">
        <v>81</v>
      </c>
      <c r="G628" s="145">
        <v>61</v>
      </c>
      <c r="H628" s="145">
        <v>77</v>
      </c>
      <c r="I628" s="145">
        <f>SUM(D628:H628)</f>
        <v>368</v>
      </c>
      <c r="J628" s="145">
        <v>143</v>
      </c>
      <c r="K628" s="147" t="s">
        <v>130</v>
      </c>
      <c r="L628" s="147" t="s">
        <v>130</v>
      </c>
      <c r="M628" s="147" t="s">
        <v>114</v>
      </c>
      <c r="N628" s="147" t="s">
        <v>115</v>
      </c>
      <c r="O628" s="147" t="s">
        <v>114</v>
      </c>
      <c r="P628" s="147" t="s">
        <v>130</v>
      </c>
      <c r="Q628" s="148" t="s">
        <v>194</v>
      </c>
      <c r="R628" s="148" t="s">
        <v>132</v>
      </c>
      <c r="S628" s="148" t="s">
        <v>119</v>
      </c>
      <c r="T628" s="148" t="s">
        <v>120</v>
      </c>
      <c r="U628" s="145">
        <f>D628+E628</f>
        <v>149</v>
      </c>
      <c r="V628" s="149"/>
      <c r="W628" s="145">
        <f>D628+E628+F628</f>
        <v>230</v>
      </c>
      <c r="X628" s="149"/>
    </row>
    <row r="629" customHeight="1" spans="1:24">
      <c r="A629" s="153">
        <v>338</v>
      </c>
      <c r="B629" s="154" t="s">
        <v>945</v>
      </c>
      <c r="C629" s="144">
        <v>5</v>
      </c>
      <c r="D629" s="145">
        <v>78</v>
      </c>
      <c r="E629" s="145">
        <v>70</v>
      </c>
      <c r="F629" s="145">
        <v>81</v>
      </c>
      <c r="G629" s="145">
        <v>69</v>
      </c>
      <c r="H629" s="145">
        <v>77</v>
      </c>
      <c r="I629" s="145">
        <f>SUM(D629:H629)</f>
        <v>375</v>
      </c>
      <c r="J629" s="145">
        <v>24</v>
      </c>
      <c r="K629" s="147" t="s">
        <v>130</v>
      </c>
      <c r="L629" s="147" t="s">
        <v>114</v>
      </c>
      <c r="M629" s="147" t="s">
        <v>114</v>
      </c>
      <c r="N629" s="147" t="s">
        <v>130</v>
      </c>
      <c r="O629" s="147" t="s">
        <v>114</v>
      </c>
      <c r="P629" s="147" t="s">
        <v>114</v>
      </c>
      <c r="Q629" s="148" t="s">
        <v>353</v>
      </c>
      <c r="R629" s="148" t="s">
        <v>132</v>
      </c>
      <c r="S629" s="148" t="s">
        <v>119</v>
      </c>
      <c r="T629" s="148" t="s">
        <v>126</v>
      </c>
      <c r="U629" s="145">
        <f>D629+E629</f>
        <v>148</v>
      </c>
      <c r="V629" s="149"/>
      <c r="W629" s="145">
        <f>D629+E629+F629</f>
        <v>229</v>
      </c>
      <c r="X629" s="149"/>
    </row>
    <row r="630" customHeight="1" spans="1:24">
      <c r="A630" s="153">
        <v>191</v>
      </c>
      <c r="B630" s="154" t="s">
        <v>946</v>
      </c>
      <c r="C630" s="144">
        <v>12</v>
      </c>
      <c r="D630" s="145">
        <v>88</v>
      </c>
      <c r="E630" s="145">
        <v>78</v>
      </c>
      <c r="F630" s="145">
        <v>76</v>
      </c>
      <c r="G630" s="145">
        <v>56</v>
      </c>
      <c r="H630" s="145">
        <v>77</v>
      </c>
      <c r="I630" s="145">
        <f>SUM(D630:H630)</f>
        <v>375</v>
      </c>
      <c r="J630" s="145">
        <v>71</v>
      </c>
      <c r="K630" s="147" t="s">
        <v>130</v>
      </c>
      <c r="L630" s="147" t="s">
        <v>114</v>
      </c>
      <c r="M630" s="147" t="s">
        <v>115</v>
      </c>
      <c r="N630" s="147" t="s">
        <v>130</v>
      </c>
      <c r="O630" s="147" t="s">
        <v>114</v>
      </c>
      <c r="P630" s="147" t="s">
        <v>115</v>
      </c>
      <c r="Q630" s="148" t="s">
        <v>198</v>
      </c>
      <c r="R630" s="148" t="s">
        <v>132</v>
      </c>
      <c r="S630" s="148" t="s">
        <v>119</v>
      </c>
      <c r="T630" s="148" t="s">
        <v>126</v>
      </c>
      <c r="U630" s="145">
        <f>D630+E630</f>
        <v>166</v>
      </c>
      <c r="V630" s="149"/>
      <c r="W630" s="145">
        <f>D630+E630+F630</f>
        <v>242</v>
      </c>
      <c r="X630" s="149"/>
    </row>
    <row r="631" customHeight="1" spans="1:24">
      <c r="A631" s="153">
        <v>692</v>
      </c>
      <c r="B631" s="154" t="s">
        <v>947</v>
      </c>
      <c r="C631" s="144">
        <v>6</v>
      </c>
      <c r="D631" s="145">
        <v>86</v>
      </c>
      <c r="E631" s="145">
        <v>76</v>
      </c>
      <c r="F631" s="145">
        <v>60</v>
      </c>
      <c r="G631" s="145">
        <v>77</v>
      </c>
      <c r="H631" s="145">
        <v>77</v>
      </c>
      <c r="I631" s="145">
        <f>SUM(D631:H631)</f>
        <v>376</v>
      </c>
      <c r="J631" s="145">
        <v>95</v>
      </c>
      <c r="K631" s="147" t="s">
        <v>114</v>
      </c>
      <c r="L631" s="147" t="s">
        <v>130</v>
      </c>
      <c r="M631" s="147" t="s">
        <v>130</v>
      </c>
      <c r="N631" s="147" t="s">
        <v>124</v>
      </c>
      <c r="O631" s="147" t="s">
        <v>114</v>
      </c>
      <c r="P631" s="147" t="s">
        <v>115</v>
      </c>
      <c r="Q631" s="148" t="s">
        <v>186</v>
      </c>
      <c r="R631" s="148" t="s">
        <v>119</v>
      </c>
      <c r="S631" s="148" t="s">
        <v>136</v>
      </c>
      <c r="T631" s="148" t="s">
        <v>120</v>
      </c>
      <c r="U631" s="145">
        <f>D631+E631</f>
        <v>162</v>
      </c>
      <c r="V631" s="149"/>
      <c r="W631" s="145">
        <f>D631+E631+F631</f>
        <v>222</v>
      </c>
      <c r="X631" s="149"/>
    </row>
    <row r="632" customHeight="1" spans="1:24">
      <c r="A632" s="153">
        <v>190</v>
      </c>
      <c r="B632" s="154" t="s">
        <v>948</v>
      </c>
      <c r="C632" s="144">
        <v>6</v>
      </c>
      <c r="D632" s="145">
        <v>82</v>
      </c>
      <c r="E632" s="145">
        <v>63</v>
      </c>
      <c r="F632" s="145">
        <v>87</v>
      </c>
      <c r="G632" s="145">
        <v>78</v>
      </c>
      <c r="H632" s="145">
        <v>77</v>
      </c>
      <c r="I632" s="145">
        <f>SUM(D632:H632)</f>
        <v>387</v>
      </c>
      <c r="J632" s="145">
        <v>70</v>
      </c>
      <c r="K632" s="147" t="s">
        <v>114</v>
      </c>
      <c r="L632" s="147" t="s">
        <v>115</v>
      </c>
      <c r="M632" s="147" t="s">
        <v>114</v>
      </c>
      <c r="N632" s="147" t="s">
        <v>130</v>
      </c>
      <c r="O632" s="147" t="s">
        <v>114</v>
      </c>
      <c r="P632" s="147" t="s">
        <v>130</v>
      </c>
      <c r="Q632" s="148" t="s">
        <v>286</v>
      </c>
      <c r="R632" s="148" t="s">
        <v>132</v>
      </c>
      <c r="S632" s="148" t="s">
        <v>119</v>
      </c>
      <c r="T632" s="148" t="s">
        <v>126</v>
      </c>
      <c r="U632" s="145">
        <f>D632+E632</f>
        <v>145</v>
      </c>
      <c r="V632" s="149"/>
      <c r="W632" s="145">
        <f>D632+E632+F632</f>
        <v>232</v>
      </c>
      <c r="X632" s="149"/>
    </row>
    <row r="633" customHeight="1" spans="1:24">
      <c r="A633" s="153">
        <v>96</v>
      </c>
      <c r="B633" s="154" t="s">
        <v>949</v>
      </c>
      <c r="C633" s="144">
        <v>2</v>
      </c>
      <c r="D633" s="145">
        <v>78</v>
      </c>
      <c r="E633" s="145">
        <v>62</v>
      </c>
      <c r="F633" s="145">
        <v>63</v>
      </c>
      <c r="G633" s="145">
        <v>78</v>
      </c>
      <c r="H633" s="145">
        <v>76</v>
      </c>
      <c r="I633" s="145">
        <f>SUM(D633:H633)</f>
        <v>357</v>
      </c>
      <c r="J633" s="145">
        <v>98</v>
      </c>
      <c r="K633" s="147" t="s">
        <v>130</v>
      </c>
      <c r="L633" s="147" t="s">
        <v>114</v>
      </c>
      <c r="M633" s="147" t="s">
        <v>130</v>
      </c>
      <c r="N633" s="147" t="s">
        <v>124</v>
      </c>
      <c r="O633" s="147" t="s">
        <v>114</v>
      </c>
      <c r="P633" s="147" t="s">
        <v>115</v>
      </c>
      <c r="Q633" s="149"/>
      <c r="R633" s="148" t="s">
        <v>132</v>
      </c>
      <c r="S633" s="148" t="s">
        <v>119</v>
      </c>
      <c r="T633" s="148" t="s">
        <v>126</v>
      </c>
      <c r="U633" s="145">
        <f>D633+E633</f>
        <v>140</v>
      </c>
      <c r="V633" s="149"/>
      <c r="W633" s="145">
        <f>D633+E633+F633</f>
        <v>203</v>
      </c>
      <c r="X633" s="149"/>
    </row>
    <row r="634" customHeight="1" spans="1:24">
      <c r="A634" s="153">
        <v>32</v>
      </c>
      <c r="B634" s="154" t="s">
        <v>950</v>
      </c>
      <c r="C634" s="144">
        <v>7</v>
      </c>
      <c r="D634" s="145">
        <v>83</v>
      </c>
      <c r="E634" s="145">
        <v>76</v>
      </c>
      <c r="F634" s="145">
        <v>67</v>
      </c>
      <c r="G634" s="145">
        <v>71</v>
      </c>
      <c r="H634" s="145">
        <v>76</v>
      </c>
      <c r="I634" s="145">
        <f>SUM(D634:H634)</f>
        <v>373</v>
      </c>
      <c r="J634" s="145">
        <v>28</v>
      </c>
      <c r="K634" s="147" t="s">
        <v>130</v>
      </c>
      <c r="L634" s="147" t="s">
        <v>114</v>
      </c>
      <c r="M634" s="147" t="s">
        <v>130</v>
      </c>
      <c r="N634" s="147" t="s">
        <v>130</v>
      </c>
      <c r="O634" s="147" t="s">
        <v>114</v>
      </c>
      <c r="P634" s="147" t="s">
        <v>115</v>
      </c>
      <c r="Q634" s="148" t="s">
        <v>194</v>
      </c>
      <c r="R634" s="148" t="s">
        <v>118</v>
      </c>
      <c r="S634" s="148" t="s">
        <v>119</v>
      </c>
      <c r="T634" s="148" t="s">
        <v>120</v>
      </c>
      <c r="U634" s="145">
        <f>D634+E634</f>
        <v>159</v>
      </c>
      <c r="V634" s="149"/>
      <c r="W634" s="145">
        <f>D634+E634+F634</f>
        <v>226</v>
      </c>
      <c r="X634" s="149"/>
    </row>
    <row r="635" customHeight="1" spans="1:24">
      <c r="A635" s="153">
        <v>5</v>
      </c>
      <c r="B635" s="154" t="s">
        <v>951</v>
      </c>
      <c r="C635" s="144">
        <v>7</v>
      </c>
      <c r="D635" s="145">
        <v>80</v>
      </c>
      <c r="E635" s="145">
        <v>64</v>
      </c>
      <c r="F635" s="145">
        <v>80</v>
      </c>
      <c r="G635" s="145">
        <v>79</v>
      </c>
      <c r="H635" s="145">
        <v>76</v>
      </c>
      <c r="I635" s="145">
        <f>SUM(D635:H635)</f>
        <v>379</v>
      </c>
      <c r="J635" s="145">
        <v>66</v>
      </c>
      <c r="K635" s="147" t="s">
        <v>115</v>
      </c>
      <c r="L635" s="147" t="s">
        <v>115</v>
      </c>
      <c r="M635" s="147" t="s">
        <v>114</v>
      </c>
      <c r="N635" s="147" t="s">
        <v>130</v>
      </c>
      <c r="O635" s="147" t="s">
        <v>114</v>
      </c>
      <c r="P635" s="147" t="s">
        <v>114</v>
      </c>
      <c r="Q635" s="148" t="s">
        <v>856</v>
      </c>
      <c r="R635" s="148" t="s">
        <v>132</v>
      </c>
      <c r="S635" s="148" t="s">
        <v>119</v>
      </c>
      <c r="T635" s="148" t="s">
        <v>126</v>
      </c>
      <c r="U635" s="145">
        <f>D635+E635</f>
        <v>144</v>
      </c>
      <c r="V635" s="149"/>
      <c r="W635" s="145">
        <f>D635+E635+F635</f>
        <v>224</v>
      </c>
      <c r="X635" s="149"/>
    </row>
    <row r="636" customHeight="1" spans="1:24">
      <c r="A636" s="153">
        <v>647</v>
      </c>
      <c r="B636" s="154" t="s">
        <v>952</v>
      </c>
      <c r="C636" s="144">
        <v>7</v>
      </c>
      <c r="D636" s="145">
        <v>79</v>
      </c>
      <c r="E636" s="145">
        <v>74</v>
      </c>
      <c r="F636" s="145">
        <v>91</v>
      </c>
      <c r="G636" s="145">
        <v>63</v>
      </c>
      <c r="H636" s="145">
        <v>76</v>
      </c>
      <c r="I636" s="145">
        <f>SUM(D636:H636)</f>
        <v>383</v>
      </c>
      <c r="J636" s="145">
        <v>57</v>
      </c>
      <c r="K636" s="147" t="s">
        <v>130</v>
      </c>
      <c r="L636" s="147" t="s">
        <v>130</v>
      </c>
      <c r="M636" s="147" t="s">
        <v>115</v>
      </c>
      <c r="N636" s="147" t="s">
        <v>114</v>
      </c>
      <c r="O636" s="147" t="s">
        <v>114</v>
      </c>
      <c r="P636" s="147" t="s">
        <v>130</v>
      </c>
      <c r="Q636" s="148" t="s">
        <v>499</v>
      </c>
      <c r="R636" s="148" t="s">
        <v>132</v>
      </c>
      <c r="S636" s="148" t="s">
        <v>119</v>
      </c>
      <c r="T636" s="148" t="s">
        <v>120</v>
      </c>
      <c r="U636" s="145">
        <f>D636+E636</f>
        <v>153</v>
      </c>
      <c r="V636" s="149"/>
      <c r="W636" s="145">
        <f>D636+E636+F636</f>
        <v>244</v>
      </c>
      <c r="X636" s="149"/>
    </row>
    <row r="637" customHeight="1" spans="1:24">
      <c r="A637" s="153">
        <v>348</v>
      </c>
      <c r="B637" s="154" t="s">
        <v>953</v>
      </c>
      <c r="C637" s="144">
        <v>16</v>
      </c>
      <c r="D637" s="145">
        <v>89</v>
      </c>
      <c r="E637" s="145">
        <v>77</v>
      </c>
      <c r="F637" s="145">
        <v>76</v>
      </c>
      <c r="G637" s="145">
        <v>68</v>
      </c>
      <c r="H637" s="145">
        <v>76</v>
      </c>
      <c r="I637" s="145">
        <f>SUM(D637:H637)</f>
        <v>386</v>
      </c>
      <c r="J637" s="145">
        <v>115</v>
      </c>
      <c r="K637" s="147" t="s">
        <v>115</v>
      </c>
      <c r="L637" s="147" t="s">
        <v>114</v>
      </c>
      <c r="M637" s="147" t="s">
        <v>114</v>
      </c>
      <c r="N637" s="147" t="s">
        <v>130</v>
      </c>
      <c r="O637" s="147" t="s">
        <v>114</v>
      </c>
      <c r="P637" s="147" t="s">
        <v>115</v>
      </c>
      <c r="Q637" s="148" t="s">
        <v>461</v>
      </c>
      <c r="R637" s="148" t="s">
        <v>119</v>
      </c>
      <c r="S637" s="148" t="s">
        <v>145</v>
      </c>
      <c r="T637" s="148" t="s">
        <v>120</v>
      </c>
      <c r="U637" s="145">
        <f>D637+E637</f>
        <v>166</v>
      </c>
      <c r="V637" s="149"/>
      <c r="W637" s="145">
        <f>D637+E637+F637</f>
        <v>242</v>
      </c>
      <c r="X637" s="149"/>
    </row>
    <row r="638" customHeight="1" spans="1:24">
      <c r="A638" s="153">
        <v>637</v>
      </c>
      <c r="B638" s="154" t="s">
        <v>954</v>
      </c>
      <c r="C638" s="144">
        <v>12</v>
      </c>
      <c r="D638" s="145">
        <v>89</v>
      </c>
      <c r="E638" s="145">
        <v>76</v>
      </c>
      <c r="F638" s="145">
        <v>88</v>
      </c>
      <c r="G638" s="145">
        <v>67</v>
      </c>
      <c r="H638" s="145">
        <v>76</v>
      </c>
      <c r="I638" s="145">
        <f>SUM(D638:H638)</f>
        <v>396</v>
      </c>
      <c r="J638" s="145">
        <v>62</v>
      </c>
      <c r="K638" s="147" t="s">
        <v>114</v>
      </c>
      <c r="L638" s="147" t="s">
        <v>114</v>
      </c>
      <c r="M638" s="147" t="s">
        <v>115</v>
      </c>
      <c r="N638" s="147" t="s">
        <v>114</v>
      </c>
      <c r="O638" s="147" t="s">
        <v>114</v>
      </c>
      <c r="P638" s="147" t="s">
        <v>130</v>
      </c>
      <c r="Q638" s="148" t="s">
        <v>856</v>
      </c>
      <c r="R638" s="148" t="s">
        <v>132</v>
      </c>
      <c r="S638" s="148" t="s">
        <v>119</v>
      </c>
      <c r="T638" s="148" t="s">
        <v>120</v>
      </c>
      <c r="U638" s="145">
        <f>D638+E638</f>
        <v>165</v>
      </c>
      <c r="V638" s="149"/>
      <c r="W638" s="145">
        <f>D638+E638+F638</f>
        <v>253</v>
      </c>
      <c r="X638" s="149"/>
    </row>
    <row r="639" customHeight="1" spans="1:24">
      <c r="A639" s="153">
        <v>495</v>
      </c>
      <c r="B639" s="154" t="s">
        <v>955</v>
      </c>
      <c r="C639" s="144">
        <v>14</v>
      </c>
      <c r="D639" s="145">
        <v>93</v>
      </c>
      <c r="E639" s="145">
        <v>57</v>
      </c>
      <c r="F639" s="145">
        <v>89</v>
      </c>
      <c r="G639" s="145">
        <v>83</v>
      </c>
      <c r="H639" s="145">
        <v>76</v>
      </c>
      <c r="I639" s="145">
        <f>SUM(D639:H639)</f>
        <v>398</v>
      </c>
      <c r="J639" s="145">
        <v>41</v>
      </c>
      <c r="K639" s="147" t="s">
        <v>115</v>
      </c>
      <c r="L639" s="147" t="s">
        <v>114</v>
      </c>
      <c r="M639" s="147" t="s">
        <v>114</v>
      </c>
      <c r="N639" s="147" t="s">
        <v>115</v>
      </c>
      <c r="O639" s="147" t="s">
        <v>114</v>
      </c>
      <c r="P639" s="147" t="s">
        <v>130</v>
      </c>
      <c r="Q639" s="158" t="s">
        <v>226</v>
      </c>
      <c r="R639" s="148" t="s">
        <v>132</v>
      </c>
      <c r="S639" s="148" t="s">
        <v>119</v>
      </c>
      <c r="T639" s="148" t="s">
        <v>120</v>
      </c>
      <c r="U639" s="145">
        <f>D639+E639</f>
        <v>150</v>
      </c>
      <c r="V639" s="149"/>
      <c r="W639" s="145">
        <f>D639+E639+F639</f>
        <v>239</v>
      </c>
      <c r="X639" s="149"/>
    </row>
    <row r="640" customHeight="1" spans="1:24">
      <c r="A640" s="153">
        <v>208</v>
      </c>
      <c r="B640" s="154" t="s">
        <v>956</v>
      </c>
      <c r="C640" s="144">
        <v>19</v>
      </c>
      <c r="D640" s="145">
        <v>90</v>
      </c>
      <c r="E640" s="145">
        <v>78</v>
      </c>
      <c r="F640" s="145">
        <v>90</v>
      </c>
      <c r="G640" s="145">
        <v>80</v>
      </c>
      <c r="H640" s="145">
        <v>76</v>
      </c>
      <c r="I640" s="145">
        <f>SUM(D640:H640)</f>
        <v>414</v>
      </c>
      <c r="J640" s="145">
        <v>72</v>
      </c>
      <c r="K640" s="147" t="s">
        <v>115</v>
      </c>
      <c r="L640" s="147" t="s">
        <v>114</v>
      </c>
      <c r="M640" s="147" t="s">
        <v>115</v>
      </c>
      <c r="N640" s="147" t="s">
        <v>130</v>
      </c>
      <c r="O640" s="147" t="s">
        <v>114</v>
      </c>
      <c r="P640" s="147" t="s">
        <v>124</v>
      </c>
      <c r="Q640" s="158" t="s">
        <v>178</v>
      </c>
      <c r="R640" s="148" t="s">
        <v>118</v>
      </c>
      <c r="S640" s="148" t="s">
        <v>119</v>
      </c>
      <c r="T640" s="148" t="s">
        <v>126</v>
      </c>
      <c r="U640" s="145">
        <f>D640+E640</f>
        <v>168</v>
      </c>
      <c r="V640" s="148" t="s">
        <v>179</v>
      </c>
      <c r="W640" s="145">
        <f>D640+E640+F640</f>
        <v>258</v>
      </c>
      <c r="X640" s="149"/>
    </row>
    <row r="641" customHeight="1" spans="1:24">
      <c r="A641" s="153">
        <v>77</v>
      </c>
      <c r="B641" s="154" t="s">
        <v>957</v>
      </c>
      <c r="C641" s="144">
        <v>13</v>
      </c>
      <c r="D641" s="145">
        <v>90</v>
      </c>
      <c r="E641" s="145">
        <v>78</v>
      </c>
      <c r="F641" s="145">
        <v>63</v>
      </c>
      <c r="G641" s="145">
        <v>70</v>
      </c>
      <c r="H641" s="145">
        <v>75</v>
      </c>
      <c r="I641" s="145">
        <f>SUM(D641:H641)</f>
        <v>376</v>
      </c>
      <c r="J641" s="145">
        <v>2</v>
      </c>
      <c r="K641" s="147" t="s">
        <v>114</v>
      </c>
      <c r="L641" s="147" t="s">
        <v>114</v>
      </c>
      <c r="M641" s="147" t="s">
        <v>115</v>
      </c>
      <c r="N641" s="147" t="s">
        <v>115</v>
      </c>
      <c r="O641" s="147" t="s">
        <v>114</v>
      </c>
      <c r="P641" s="147" t="s">
        <v>124</v>
      </c>
      <c r="Q641" s="148" t="s">
        <v>294</v>
      </c>
      <c r="R641" s="148" t="s">
        <v>118</v>
      </c>
      <c r="S641" s="148" t="s">
        <v>133</v>
      </c>
      <c r="T641" s="148" t="s">
        <v>120</v>
      </c>
      <c r="U641" s="145">
        <f>D641+E641</f>
        <v>168</v>
      </c>
      <c r="V641" s="149"/>
      <c r="W641" s="145">
        <f>D641+E641+F641</f>
        <v>231</v>
      </c>
      <c r="X641" s="149"/>
    </row>
    <row r="642" customHeight="1" spans="1:24">
      <c r="A642" s="153">
        <v>656</v>
      </c>
      <c r="B642" s="154" t="s">
        <v>958</v>
      </c>
      <c r="C642" s="144">
        <v>13</v>
      </c>
      <c r="D642" s="145">
        <v>87</v>
      </c>
      <c r="E642" s="145">
        <v>82</v>
      </c>
      <c r="F642" s="145">
        <v>63</v>
      </c>
      <c r="G642" s="145">
        <v>70</v>
      </c>
      <c r="H642" s="145">
        <v>75</v>
      </c>
      <c r="I642" s="145">
        <f>SUM(D642:H642)</f>
        <v>377</v>
      </c>
      <c r="J642" s="145">
        <v>65</v>
      </c>
      <c r="K642" s="147" t="s">
        <v>114</v>
      </c>
      <c r="L642" s="147" t="s">
        <v>114</v>
      </c>
      <c r="M642" s="147" t="s">
        <v>115</v>
      </c>
      <c r="N642" s="147" t="s">
        <v>130</v>
      </c>
      <c r="O642" s="147" t="s">
        <v>114</v>
      </c>
      <c r="P642" s="147" t="s">
        <v>124</v>
      </c>
      <c r="Q642" s="148" t="s">
        <v>253</v>
      </c>
      <c r="R642" s="148" t="s">
        <v>132</v>
      </c>
      <c r="S642" s="148" t="s">
        <v>119</v>
      </c>
      <c r="T642" s="148" t="s">
        <v>120</v>
      </c>
      <c r="U642" s="145">
        <f>D642+E642</f>
        <v>169</v>
      </c>
      <c r="V642" s="149"/>
      <c r="W642" s="145">
        <f>D642+E642+F642</f>
        <v>232</v>
      </c>
      <c r="X642" s="149"/>
    </row>
    <row r="643" customHeight="1" spans="1:24">
      <c r="A643" s="153">
        <v>253</v>
      </c>
      <c r="B643" s="154" t="s">
        <v>959</v>
      </c>
      <c r="C643" s="144">
        <v>16</v>
      </c>
      <c r="D643" s="145">
        <v>87</v>
      </c>
      <c r="E643" s="145">
        <v>89</v>
      </c>
      <c r="F643" s="145">
        <v>63</v>
      </c>
      <c r="G643" s="145">
        <v>66</v>
      </c>
      <c r="H643" s="145">
        <v>75</v>
      </c>
      <c r="I643" s="145">
        <f>SUM(D643:H643)</f>
        <v>380</v>
      </c>
      <c r="J643" s="145">
        <v>140</v>
      </c>
      <c r="K643" s="147" t="s">
        <v>114</v>
      </c>
      <c r="L643" s="147" t="s">
        <v>124</v>
      </c>
      <c r="M643" s="147" t="s">
        <v>114</v>
      </c>
      <c r="N643" s="147" t="s">
        <v>115</v>
      </c>
      <c r="O643" s="147" t="s">
        <v>114</v>
      </c>
      <c r="P643" s="147" t="s">
        <v>130</v>
      </c>
      <c r="Q643" s="148" t="s">
        <v>220</v>
      </c>
      <c r="R643" s="148" t="s">
        <v>119</v>
      </c>
      <c r="S643" s="148" t="s">
        <v>145</v>
      </c>
      <c r="T643" s="148" t="s">
        <v>126</v>
      </c>
      <c r="U643" s="145">
        <f>D643+E643</f>
        <v>176</v>
      </c>
      <c r="V643" s="149"/>
      <c r="W643" s="145">
        <f>D643+E643+F643</f>
        <v>239</v>
      </c>
      <c r="X643" s="149"/>
    </row>
    <row r="644" customHeight="1" spans="1:24">
      <c r="A644" s="153">
        <v>248</v>
      </c>
      <c r="B644" s="154" t="s">
        <v>960</v>
      </c>
      <c r="C644" s="144">
        <v>31</v>
      </c>
      <c r="D644" s="145">
        <v>93</v>
      </c>
      <c r="E644" s="145">
        <v>77</v>
      </c>
      <c r="F644" s="145">
        <v>85</v>
      </c>
      <c r="G644" s="145">
        <v>92</v>
      </c>
      <c r="H644" s="145">
        <v>75</v>
      </c>
      <c r="I644" s="145">
        <f>SUM(D644:H644)</f>
        <v>422</v>
      </c>
      <c r="J644" s="145">
        <v>90</v>
      </c>
      <c r="K644" s="147" t="s">
        <v>115</v>
      </c>
      <c r="L644" s="147" t="s">
        <v>114</v>
      </c>
      <c r="M644" s="160" t="s">
        <v>123</v>
      </c>
      <c r="N644" s="147" t="s">
        <v>115</v>
      </c>
      <c r="O644" s="147" t="s">
        <v>114</v>
      </c>
      <c r="P644" s="147" t="s">
        <v>130</v>
      </c>
      <c r="Q644" s="158" t="s">
        <v>189</v>
      </c>
      <c r="R644" s="148" t="s">
        <v>119</v>
      </c>
      <c r="S644" s="148" t="s">
        <v>136</v>
      </c>
      <c r="T644" s="148" t="s">
        <v>126</v>
      </c>
      <c r="U644" s="145">
        <f>D644+E644</f>
        <v>170</v>
      </c>
      <c r="V644" s="172" t="s">
        <v>765</v>
      </c>
      <c r="W644" s="145">
        <f>D644+E644+F644</f>
        <v>255</v>
      </c>
      <c r="X644" s="149"/>
    </row>
    <row r="645" customHeight="1" spans="1:24">
      <c r="A645" s="153">
        <v>776</v>
      </c>
      <c r="B645" s="154" t="s">
        <v>961</v>
      </c>
      <c r="C645" s="144">
        <v>1</v>
      </c>
      <c r="D645" s="145">
        <v>70</v>
      </c>
      <c r="E645" s="145">
        <v>67</v>
      </c>
      <c r="F645" s="145">
        <v>61</v>
      </c>
      <c r="G645" s="145">
        <v>74</v>
      </c>
      <c r="H645" s="145">
        <v>74</v>
      </c>
      <c r="I645" s="145">
        <f>SUM(D645:H645)</f>
        <v>346</v>
      </c>
      <c r="J645" s="145">
        <v>21</v>
      </c>
      <c r="K645" s="147" t="s">
        <v>130</v>
      </c>
      <c r="L645" s="147" t="s">
        <v>114</v>
      </c>
      <c r="M645" s="147" t="s">
        <v>130</v>
      </c>
      <c r="N645" s="147" t="s">
        <v>130</v>
      </c>
      <c r="O645" s="147" t="s">
        <v>114</v>
      </c>
      <c r="P645" s="147" t="s">
        <v>124</v>
      </c>
      <c r="Q645" s="149"/>
      <c r="R645" s="148" t="s">
        <v>132</v>
      </c>
      <c r="S645" s="148" t="s">
        <v>136</v>
      </c>
      <c r="T645" s="148" t="s">
        <v>148</v>
      </c>
      <c r="U645" s="145">
        <f>D645+E645</f>
        <v>137</v>
      </c>
      <c r="V645" s="149"/>
      <c r="W645" s="145">
        <f>D645+E645+F645</f>
        <v>198</v>
      </c>
      <c r="X645" s="149"/>
    </row>
    <row r="646" customHeight="1" spans="1:24">
      <c r="A646" s="153">
        <v>517</v>
      </c>
      <c r="B646" s="154" t="s">
        <v>962</v>
      </c>
      <c r="C646" s="144">
        <v>9</v>
      </c>
      <c r="D646" s="145">
        <v>80</v>
      </c>
      <c r="E646" s="145">
        <v>89</v>
      </c>
      <c r="F646" s="145">
        <v>52</v>
      </c>
      <c r="G646" s="145">
        <v>58</v>
      </c>
      <c r="H646" s="145">
        <v>74</v>
      </c>
      <c r="I646" s="145">
        <f>SUM(D646:H646)</f>
        <v>353</v>
      </c>
      <c r="J646" s="145">
        <v>49</v>
      </c>
      <c r="K646" s="147" t="s">
        <v>114</v>
      </c>
      <c r="L646" s="147" t="s">
        <v>130</v>
      </c>
      <c r="M646" s="147" t="s">
        <v>114</v>
      </c>
      <c r="N646" s="147" t="s">
        <v>115</v>
      </c>
      <c r="O646" s="147" t="s">
        <v>114</v>
      </c>
      <c r="P646" s="147" t="s">
        <v>124</v>
      </c>
      <c r="Q646" s="148" t="s">
        <v>311</v>
      </c>
      <c r="R646" s="148" t="s">
        <v>118</v>
      </c>
      <c r="S646" s="148" t="s">
        <v>119</v>
      </c>
      <c r="T646" s="148" t="s">
        <v>126</v>
      </c>
      <c r="U646" s="145">
        <f>D646+E646</f>
        <v>169</v>
      </c>
      <c r="V646" s="149"/>
      <c r="W646" s="145">
        <f>D646+E646+F646</f>
        <v>221</v>
      </c>
      <c r="X646" s="149"/>
    </row>
    <row r="647" customHeight="1" spans="1:24">
      <c r="A647" s="153">
        <v>622</v>
      </c>
      <c r="B647" s="154" t="s">
        <v>963</v>
      </c>
      <c r="C647" s="144">
        <v>5</v>
      </c>
      <c r="D647" s="145">
        <v>84</v>
      </c>
      <c r="E647" s="145">
        <v>73</v>
      </c>
      <c r="F647" s="145">
        <v>60</v>
      </c>
      <c r="G647" s="145">
        <v>67</v>
      </c>
      <c r="H647" s="145">
        <v>74</v>
      </c>
      <c r="I647" s="145">
        <f>SUM(D647:H647)</f>
        <v>358</v>
      </c>
      <c r="J647" s="145">
        <v>93</v>
      </c>
      <c r="K647" s="147" t="s">
        <v>114</v>
      </c>
      <c r="L647" s="147" t="s">
        <v>130</v>
      </c>
      <c r="M647" s="147" t="s">
        <v>114</v>
      </c>
      <c r="N647" s="147" t="s">
        <v>130</v>
      </c>
      <c r="O647" s="147" t="s">
        <v>114</v>
      </c>
      <c r="P647" s="147" t="s">
        <v>115</v>
      </c>
      <c r="Q647" s="148" t="s">
        <v>245</v>
      </c>
      <c r="R647" s="148" t="s">
        <v>132</v>
      </c>
      <c r="S647" s="148" t="s">
        <v>136</v>
      </c>
      <c r="T647" s="148" t="s">
        <v>148</v>
      </c>
      <c r="U647" s="145">
        <f>D647+E647</f>
        <v>157</v>
      </c>
      <c r="V647" s="149"/>
      <c r="W647" s="145">
        <f>D647+E647+F647</f>
        <v>217</v>
      </c>
      <c r="X647" s="149"/>
    </row>
    <row r="648" customHeight="1" spans="1:24">
      <c r="A648" s="153">
        <v>619</v>
      </c>
      <c r="B648" s="154" t="s">
        <v>964</v>
      </c>
      <c r="C648" s="144">
        <v>2</v>
      </c>
      <c r="D648" s="145">
        <v>68</v>
      </c>
      <c r="E648" s="145">
        <v>71</v>
      </c>
      <c r="F648" s="145">
        <v>69</v>
      </c>
      <c r="G648" s="145">
        <v>79</v>
      </c>
      <c r="H648" s="145">
        <v>74</v>
      </c>
      <c r="I648" s="145">
        <f>SUM(D648:H648)</f>
        <v>361</v>
      </c>
      <c r="J648" s="145">
        <v>110</v>
      </c>
      <c r="K648" s="147" t="s">
        <v>130</v>
      </c>
      <c r="L648" s="147" t="s">
        <v>114</v>
      </c>
      <c r="M648" s="147" t="s">
        <v>130</v>
      </c>
      <c r="N648" s="147" t="s">
        <v>130</v>
      </c>
      <c r="O648" s="147" t="s">
        <v>114</v>
      </c>
      <c r="P648" s="147" t="s">
        <v>114</v>
      </c>
      <c r="Q648" s="148"/>
      <c r="R648" s="148" t="s">
        <v>119</v>
      </c>
      <c r="S648" s="148" t="s">
        <v>136</v>
      </c>
      <c r="T648" s="148" t="s">
        <v>120</v>
      </c>
      <c r="U648" s="145">
        <f>D648+E648</f>
        <v>139</v>
      </c>
      <c r="V648" s="149"/>
      <c r="W648" s="145">
        <f>D648+E648+F648</f>
        <v>208</v>
      </c>
      <c r="X648" s="149"/>
    </row>
    <row r="649" customHeight="1" spans="1:24">
      <c r="A649" s="153">
        <v>233</v>
      </c>
      <c r="B649" s="154" t="s">
        <v>965</v>
      </c>
      <c r="C649" s="144">
        <v>6</v>
      </c>
      <c r="D649" s="145">
        <v>84</v>
      </c>
      <c r="E649" s="145">
        <v>67</v>
      </c>
      <c r="F649" s="145">
        <v>74</v>
      </c>
      <c r="G649" s="145">
        <v>81</v>
      </c>
      <c r="H649" s="145">
        <v>74</v>
      </c>
      <c r="I649" s="145">
        <f>SUM(D649:H649)</f>
        <v>380</v>
      </c>
      <c r="J649" s="145">
        <v>34</v>
      </c>
      <c r="K649" s="147" t="s">
        <v>130</v>
      </c>
      <c r="L649" s="147" t="s">
        <v>115</v>
      </c>
      <c r="M649" s="147" t="s">
        <v>114</v>
      </c>
      <c r="N649" s="147" t="s">
        <v>124</v>
      </c>
      <c r="O649" s="147" t="s">
        <v>114</v>
      </c>
      <c r="P649" s="147" t="s">
        <v>115</v>
      </c>
      <c r="Q649" s="148" t="s">
        <v>245</v>
      </c>
      <c r="R649" s="148" t="s">
        <v>119</v>
      </c>
      <c r="S649" s="148" t="s">
        <v>119</v>
      </c>
      <c r="T649" s="148" t="s">
        <v>148</v>
      </c>
      <c r="U649" s="145">
        <f>D649+E649</f>
        <v>151</v>
      </c>
      <c r="V649" s="149"/>
      <c r="W649" s="145">
        <f>D649+E649+F649</f>
        <v>225</v>
      </c>
      <c r="X649" s="149"/>
    </row>
    <row r="650" customHeight="1" spans="1:24">
      <c r="A650" s="153">
        <v>65</v>
      </c>
      <c r="B650" s="143" t="s">
        <v>966</v>
      </c>
      <c r="C650" s="144">
        <v>1</v>
      </c>
      <c r="D650" s="145">
        <v>68</v>
      </c>
      <c r="E650" s="145">
        <v>62</v>
      </c>
      <c r="F650" s="145">
        <v>78</v>
      </c>
      <c r="G650" s="145">
        <v>74</v>
      </c>
      <c r="H650" s="145">
        <v>73</v>
      </c>
      <c r="I650" s="145">
        <f>SUM(D650:H650)</f>
        <v>355</v>
      </c>
      <c r="J650" s="145">
        <v>3</v>
      </c>
      <c r="K650" s="147" t="s">
        <v>130</v>
      </c>
      <c r="L650" s="147" t="s">
        <v>130</v>
      </c>
      <c r="M650" s="147" t="s">
        <v>130</v>
      </c>
      <c r="N650" s="147" t="s">
        <v>124</v>
      </c>
      <c r="O650" s="147" t="s">
        <v>114</v>
      </c>
      <c r="P650" s="147" t="s">
        <v>130</v>
      </c>
      <c r="Q650" s="149"/>
      <c r="R650" s="148" t="s">
        <v>119</v>
      </c>
      <c r="S650" s="148" t="s">
        <v>119</v>
      </c>
      <c r="T650" s="148" t="s">
        <v>126</v>
      </c>
      <c r="U650" s="145">
        <f>D650+E650</f>
        <v>130</v>
      </c>
      <c r="V650" s="149"/>
      <c r="W650" s="145">
        <f>D650+E650+F650</f>
        <v>208</v>
      </c>
      <c r="X650" s="149"/>
    </row>
    <row r="651" customHeight="1" spans="1:24">
      <c r="A651" s="153">
        <v>450</v>
      </c>
      <c r="B651" s="154" t="s">
        <v>967</v>
      </c>
      <c r="C651" s="144">
        <v>13</v>
      </c>
      <c r="D651" s="145">
        <v>81</v>
      </c>
      <c r="E651" s="145">
        <v>85</v>
      </c>
      <c r="F651" s="145">
        <v>81</v>
      </c>
      <c r="G651" s="145">
        <v>76</v>
      </c>
      <c r="H651" s="145">
        <v>73</v>
      </c>
      <c r="I651" s="145">
        <f>SUM(D651:H651)</f>
        <v>396</v>
      </c>
      <c r="J651" s="145">
        <v>13</v>
      </c>
      <c r="K651" s="147" t="s">
        <v>130</v>
      </c>
      <c r="L651" s="147" t="s">
        <v>114</v>
      </c>
      <c r="M651" s="147" t="s">
        <v>115</v>
      </c>
      <c r="N651" s="147" t="s">
        <v>124</v>
      </c>
      <c r="O651" s="147" t="s">
        <v>114</v>
      </c>
      <c r="P651" s="147" t="s">
        <v>130</v>
      </c>
      <c r="Q651" s="148" t="s">
        <v>160</v>
      </c>
      <c r="R651" s="148" t="s">
        <v>132</v>
      </c>
      <c r="S651" s="148" t="s">
        <v>119</v>
      </c>
      <c r="T651" s="148" t="s">
        <v>126</v>
      </c>
      <c r="U651" s="145">
        <f>D651+E651</f>
        <v>166</v>
      </c>
      <c r="V651" s="149"/>
      <c r="W651" s="145">
        <f>D651+E651+F651</f>
        <v>247</v>
      </c>
      <c r="X651" s="149"/>
    </row>
    <row r="652" customHeight="1" spans="1:24">
      <c r="A652" s="153">
        <v>171</v>
      </c>
      <c r="B652" s="154" t="s">
        <v>968</v>
      </c>
      <c r="C652" s="144">
        <v>14</v>
      </c>
      <c r="D652" s="145">
        <v>80</v>
      </c>
      <c r="E652" s="145">
        <v>82</v>
      </c>
      <c r="F652" s="145">
        <v>51</v>
      </c>
      <c r="G652" s="145">
        <v>37</v>
      </c>
      <c r="H652" s="145">
        <v>72</v>
      </c>
      <c r="I652" s="145">
        <f>SUM(D652:H652)</f>
        <v>322</v>
      </c>
      <c r="J652" s="145">
        <v>70</v>
      </c>
      <c r="K652" s="147" t="s">
        <v>114</v>
      </c>
      <c r="L652" s="147" t="s">
        <v>115</v>
      </c>
      <c r="M652" s="147" t="s">
        <v>115</v>
      </c>
      <c r="N652" s="147" t="s">
        <v>130</v>
      </c>
      <c r="O652" s="147" t="s">
        <v>114</v>
      </c>
      <c r="P652" s="147" t="s">
        <v>124</v>
      </c>
      <c r="Q652" s="158" t="s">
        <v>431</v>
      </c>
      <c r="R652" s="148" t="s">
        <v>119</v>
      </c>
      <c r="S652" s="148" t="s">
        <v>119</v>
      </c>
      <c r="T652" s="148" t="s">
        <v>126</v>
      </c>
      <c r="U652" s="145">
        <f>D652+E652</f>
        <v>162</v>
      </c>
      <c r="V652" s="148" t="s">
        <v>432</v>
      </c>
      <c r="W652" s="145">
        <f>D652+E652+F652</f>
        <v>213</v>
      </c>
      <c r="X652" s="149"/>
    </row>
    <row r="653" customHeight="1" spans="1:24">
      <c r="A653" s="153">
        <v>562</v>
      </c>
      <c r="B653" s="154" t="s">
        <v>969</v>
      </c>
      <c r="C653" s="144">
        <v>8</v>
      </c>
      <c r="D653" s="145">
        <v>82</v>
      </c>
      <c r="E653" s="145">
        <v>79</v>
      </c>
      <c r="F653" s="145">
        <v>50</v>
      </c>
      <c r="G653" s="145">
        <v>69</v>
      </c>
      <c r="H653" s="145">
        <v>72</v>
      </c>
      <c r="I653" s="145">
        <f>SUM(D653:H653)</f>
        <v>352</v>
      </c>
      <c r="J653" s="145">
        <v>36</v>
      </c>
      <c r="K653" s="147" t="s">
        <v>114</v>
      </c>
      <c r="L653" s="147" t="s">
        <v>130</v>
      </c>
      <c r="M653" s="147" t="s">
        <v>130</v>
      </c>
      <c r="N653" s="147" t="s">
        <v>115</v>
      </c>
      <c r="O653" s="147" t="s">
        <v>114</v>
      </c>
      <c r="P653" s="147" t="s">
        <v>130</v>
      </c>
      <c r="Q653" s="148" t="s">
        <v>155</v>
      </c>
      <c r="R653" s="148" t="s">
        <v>118</v>
      </c>
      <c r="S653" s="148" t="s">
        <v>119</v>
      </c>
      <c r="T653" s="148" t="s">
        <v>120</v>
      </c>
      <c r="U653" s="145">
        <f>D653+E653</f>
        <v>161</v>
      </c>
      <c r="V653" s="149"/>
      <c r="W653" s="145">
        <f>D653+E653+F653</f>
        <v>211</v>
      </c>
      <c r="X653" s="149"/>
    </row>
    <row r="654" customHeight="1" spans="1:24">
      <c r="A654" s="153">
        <v>43</v>
      </c>
      <c r="B654" s="154" t="s">
        <v>970</v>
      </c>
      <c r="C654" s="144">
        <v>8</v>
      </c>
      <c r="D654" s="145">
        <v>81</v>
      </c>
      <c r="E654" s="145">
        <v>75</v>
      </c>
      <c r="F654" s="145">
        <v>64</v>
      </c>
      <c r="G654" s="145">
        <v>75</v>
      </c>
      <c r="H654" s="145">
        <v>72</v>
      </c>
      <c r="I654" s="145">
        <f>SUM(D654:H654)</f>
        <v>367</v>
      </c>
      <c r="J654" s="145">
        <v>18</v>
      </c>
      <c r="K654" s="147" t="s">
        <v>114</v>
      </c>
      <c r="L654" s="147" t="s">
        <v>115</v>
      </c>
      <c r="M654" s="147" t="s">
        <v>114</v>
      </c>
      <c r="N654" s="147" t="s">
        <v>124</v>
      </c>
      <c r="O654" s="147" t="s">
        <v>114</v>
      </c>
      <c r="P654" s="147" t="s">
        <v>130</v>
      </c>
      <c r="Q654" s="148" t="s">
        <v>721</v>
      </c>
      <c r="R654" s="148" t="s">
        <v>132</v>
      </c>
      <c r="S654" s="148" t="s">
        <v>119</v>
      </c>
      <c r="T654" s="148" t="s">
        <v>120</v>
      </c>
      <c r="U654" s="145">
        <f>D654+E654</f>
        <v>156</v>
      </c>
      <c r="V654" s="149"/>
      <c r="W654" s="145">
        <f>D654+E654+F654</f>
        <v>220</v>
      </c>
      <c r="X654" s="149"/>
    </row>
    <row r="655" customHeight="1" spans="1:24">
      <c r="A655" s="153">
        <v>679</v>
      </c>
      <c r="B655" s="154" t="s">
        <v>971</v>
      </c>
      <c r="C655" s="144">
        <v>7</v>
      </c>
      <c r="D655" s="145">
        <v>82</v>
      </c>
      <c r="E655" s="145">
        <v>72</v>
      </c>
      <c r="F655" s="145">
        <v>72</v>
      </c>
      <c r="G655" s="145">
        <v>69</v>
      </c>
      <c r="H655" s="145">
        <v>71</v>
      </c>
      <c r="I655" s="145">
        <f>SUM(D655:H655)</f>
        <v>366</v>
      </c>
      <c r="J655" s="145">
        <v>90</v>
      </c>
      <c r="K655" s="147" t="s">
        <v>130</v>
      </c>
      <c r="L655" s="147" t="s">
        <v>114</v>
      </c>
      <c r="M655" s="147" t="s">
        <v>114</v>
      </c>
      <c r="N655" s="147" t="s">
        <v>130</v>
      </c>
      <c r="O655" s="147" t="s">
        <v>114</v>
      </c>
      <c r="P655" s="147" t="s">
        <v>115</v>
      </c>
      <c r="Q655" s="148" t="s">
        <v>260</v>
      </c>
      <c r="R655" s="148" t="s">
        <v>132</v>
      </c>
      <c r="S655" s="148" t="s">
        <v>119</v>
      </c>
      <c r="T655" s="148" t="s">
        <v>120</v>
      </c>
      <c r="U655" s="145">
        <f>D655+E655</f>
        <v>154</v>
      </c>
      <c r="V655" s="149"/>
      <c r="W655" s="145">
        <f>D655+E655+F655</f>
        <v>226</v>
      </c>
      <c r="X655" s="149"/>
    </row>
    <row r="656" customHeight="1" spans="1:24">
      <c r="A656" s="153">
        <v>783</v>
      </c>
      <c r="B656" s="154" t="s">
        <v>972</v>
      </c>
      <c r="C656" s="144">
        <v>11</v>
      </c>
      <c r="D656" s="145">
        <v>78</v>
      </c>
      <c r="E656" s="145">
        <v>91</v>
      </c>
      <c r="F656" s="145">
        <v>68</v>
      </c>
      <c r="G656" s="145">
        <v>69</v>
      </c>
      <c r="H656" s="145">
        <v>71</v>
      </c>
      <c r="I656" s="145">
        <f>SUM(D656:H656)</f>
        <v>377</v>
      </c>
      <c r="J656" s="145">
        <v>63</v>
      </c>
      <c r="K656" s="147" t="s">
        <v>130</v>
      </c>
      <c r="L656" s="147" t="s">
        <v>130</v>
      </c>
      <c r="M656" s="147" t="s">
        <v>115</v>
      </c>
      <c r="N656" s="147" t="s">
        <v>114</v>
      </c>
      <c r="O656" s="147" t="s">
        <v>114</v>
      </c>
      <c r="P656" s="147" t="s">
        <v>114</v>
      </c>
      <c r="Q656" s="148" t="s">
        <v>266</v>
      </c>
      <c r="R656" s="148" t="s">
        <v>132</v>
      </c>
      <c r="S656" s="148" t="s">
        <v>119</v>
      </c>
      <c r="T656" s="148" t="s">
        <v>148</v>
      </c>
      <c r="U656" s="145">
        <f>D656+E656</f>
        <v>169</v>
      </c>
      <c r="V656" s="149"/>
      <c r="W656" s="145">
        <f>D656+E656+F656</f>
        <v>237</v>
      </c>
      <c r="X656" s="149"/>
    </row>
    <row r="657" customHeight="1" spans="1:24">
      <c r="A657" s="153">
        <v>494</v>
      </c>
      <c r="B657" s="154" t="s">
        <v>973</v>
      </c>
      <c r="C657" s="144">
        <v>13</v>
      </c>
      <c r="D657" s="145">
        <v>87</v>
      </c>
      <c r="E657" s="145">
        <v>68</v>
      </c>
      <c r="F657" s="145">
        <v>76</v>
      </c>
      <c r="G657" s="145">
        <v>80</v>
      </c>
      <c r="H657" s="145">
        <v>71</v>
      </c>
      <c r="I657" s="145">
        <f>SUM(D657:H657)</f>
        <v>382</v>
      </c>
      <c r="J657" s="145">
        <v>46</v>
      </c>
      <c r="K657" s="147" t="s">
        <v>130</v>
      </c>
      <c r="L657" s="147" t="s">
        <v>130</v>
      </c>
      <c r="M657" s="147" t="s">
        <v>115</v>
      </c>
      <c r="N657" s="147" t="s">
        <v>130</v>
      </c>
      <c r="O657" s="147" t="s">
        <v>114</v>
      </c>
      <c r="P657" s="147" t="s">
        <v>115</v>
      </c>
      <c r="Q657" s="158" t="s">
        <v>157</v>
      </c>
      <c r="R657" s="148" t="s">
        <v>132</v>
      </c>
      <c r="S657" s="148" t="s">
        <v>119</v>
      </c>
      <c r="T657" s="148" t="s">
        <v>126</v>
      </c>
      <c r="U657" s="145">
        <f>D657+E657</f>
        <v>155</v>
      </c>
      <c r="V657" s="172" t="s">
        <v>974</v>
      </c>
      <c r="W657" s="145">
        <f>D657+E657+F657</f>
        <v>231</v>
      </c>
      <c r="X657" s="149"/>
    </row>
    <row r="658" customHeight="1" spans="1:24">
      <c r="A658" s="153">
        <v>629</v>
      </c>
      <c r="B658" s="154" t="s">
        <v>975</v>
      </c>
      <c r="C658" s="144">
        <v>5</v>
      </c>
      <c r="D658" s="145">
        <v>78</v>
      </c>
      <c r="E658" s="145">
        <v>78</v>
      </c>
      <c r="F658" s="145">
        <v>57</v>
      </c>
      <c r="G658" s="145">
        <v>26</v>
      </c>
      <c r="H658" s="145">
        <v>70</v>
      </c>
      <c r="I658" s="145">
        <f>SUM(D658:H658)</f>
        <v>309</v>
      </c>
      <c r="J658" s="145">
        <v>65</v>
      </c>
      <c r="K658" s="147" t="s">
        <v>114</v>
      </c>
      <c r="L658" s="147" t="s">
        <v>130</v>
      </c>
      <c r="M658" s="147" t="s">
        <v>114</v>
      </c>
      <c r="N658" s="147" t="s">
        <v>114</v>
      </c>
      <c r="O658" s="147" t="s">
        <v>114</v>
      </c>
      <c r="P658" s="147" t="s">
        <v>124</v>
      </c>
      <c r="Q658" s="148" t="s">
        <v>606</v>
      </c>
      <c r="R658" s="148" t="s">
        <v>132</v>
      </c>
      <c r="S658" s="148" t="s">
        <v>119</v>
      </c>
      <c r="T658" s="148" t="s">
        <v>250</v>
      </c>
      <c r="U658" s="145">
        <f>D658+E658</f>
        <v>156</v>
      </c>
      <c r="V658" s="149"/>
      <c r="W658" s="145">
        <f>D658+E658+F658</f>
        <v>213</v>
      </c>
      <c r="X658" s="149"/>
    </row>
    <row r="659" customHeight="1" spans="1:24">
      <c r="A659" s="153">
        <v>611</v>
      </c>
      <c r="B659" s="154" t="s">
        <v>976</v>
      </c>
      <c r="C659" s="144">
        <v>2</v>
      </c>
      <c r="D659" s="145">
        <v>73</v>
      </c>
      <c r="E659" s="145">
        <v>77</v>
      </c>
      <c r="F659" s="145">
        <v>67</v>
      </c>
      <c r="G659" s="145">
        <v>70</v>
      </c>
      <c r="H659" s="145">
        <v>70</v>
      </c>
      <c r="I659" s="145">
        <f>SUM(D659:H659)</f>
        <v>357</v>
      </c>
      <c r="J659" s="145">
        <v>108</v>
      </c>
      <c r="K659" s="147" t="s">
        <v>130</v>
      </c>
      <c r="L659" s="147" t="s">
        <v>130</v>
      </c>
      <c r="M659" s="147" t="s">
        <v>124</v>
      </c>
      <c r="N659" s="147" t="s">
        <v>124</v>
      </c>
      <c r="O659" s="147" t="s">
        <v>114</v>
      </c>
      <c r="P659" s="147" t="s">
        <v>114</v>
      </c>
      <c r="Q659" s="148" t="s">
        <v>587</v>
      </c>
      <c r="R659" s="148" t="s">
        <v>132</v>
      </c>
      <c r="S659" s="148" t="s">
        <v>119</v>
      </c>
      <c r="T659" s="148" t="s">
        <v>120</v>
      </c>
      <c r="U659" s="145">
        <f>D659+E659</f>
        <v>150</v>
      </c>
      <c r="V659" s="149"/>
      <c r="W659" s="145">
        <f>D659+E659+F659</f>
        <v>217</v>
      </c>
      <c r="X659" s="149"/>
    </row>
    <row r="660" customHeight="1" spans="1:24">
      <c r="A660" s="153">
        <v>291</v>
      </c>
      <c r="B660" s="154" t="s">
        <v>977</v>
      </c>
      <c r="C660" s="144">
        <v>3</v>
      </c>
      <c r="D660" s="145">
        <v>76</v>
      </c>
      <c r="E660" s="145">
        <v>66</v>
      </c>
      <c r="F660" s="145">
        <v>65</v>
      </c>
      <c r="G660" s="145">
        <v>80</v>
      </c>
      <c r="H660" s="145">
        <v>70</v>
      </c>
      <c r="I660" s="145">
        <f>SUM(D660:H660)</f>
        <v>357</v>
      </c>
      <c r="J660" s="145">
        <v>135</v>
      </c>
      <c r="K660" s="147" t="s">
        <v>130</v>
      </c>
      <c r="L660" s="147" t="s">
        <v>114</v>
      </c>
      <c r="M660" s="147" t="s">
        <v>130</v>
      </c>
      <c r="N660" s="147" t="s">
        <v>114</v>
      </c>
      <c r="O660" s="147" t="s">
        <v>114</v>
      </c>
      <c r="P660" s="147" t="s">
        <v>124</v>
      </c>
      <c r="Q660" s="148" t="s">
        <v>579</v>
      </c>
      <c r="R660" s="148" t="s">
        <v>132</v>
      </c>
      <c r="S660" s="148" t="s">
        <v>119</v>
      </c>
      <c r="T660" s="148" t="s">
        <v>120</v>
      </c>
      <c r="U660" s="145">
        <f>D660+E660</f>
        <v>142</v>
      </c>
      <c r="V660" s="149"/>
      <c r="W660" s="145">
        <f>D660+E660+F660</f>
        <v>207</v>
      </c>
      <c r="X660" s="149"/>
    </row>
    <row r="661" customHeight="1" spans="1:24">
      <c r="A661" s="153">
        <v>195</v>
      </c>
      <c r="B661" s="154" t="s">
        <v>978</v>
      </c>
      <c r="C661" s="144">
        <v>6</v>
      </c>
      <c r="D661" s="145">
        <v>79</v>
      </c>
      <c r="E661" s="145">
        <v>77</v>
      </c>
      <c r="F661" s="145">
        <v>65</v>
      </c>
      <c r="G661" s="145">
        <v>68</v>
      </c>
      <c r="H661" s="145">
        <v>70</v>
      </c>
      <c r="I661" s="145">
        <f>SUM(D661:H661)</f>
        <v>359</v>
      </c>
      <c r="J661" s="145">
        <v>74</v>
      </c>
      <c r="K661" s="147" t="s">
        <v>114</v>
      </c>
      <c r="L661" s="147" t="s">
        <v>130</v>
      </c>
      <c r="M661" s="147" t="s">
        <v>130</v>
      </c>
      <c r="N661" s="147" t="s">
        <v>114</v>
      </c>
      <c r="O661" s="147" t="s">
        <v>114</v>
      </c>
      <c r="P661" s="147" t="s">
        <v>130</v>
      </c>
      <c r="Q661" s="148" t="s">
        <v>856</v>
      </c>
      <c r="R661" s="148" t="s">
        <v>132</v>
      </c>
      <c r="S661" s="148" t="s">
        <v>119</v>
      </c>
      <c r="T661" s="148" t="s">
        <v>148</v>
      </c>
      <c r="U661" s="145">
        <f>D661+E661</f>
        <v>156</v>
      </c>
      <c r="V661" s="149"/>
      <c r="W661" s="145">
        <f>D661+E661+F661</f>
        <v>221</v>
      </c>
      <c r="X661" s="149"/>
    </row>
    <row r="662" customHeight="1" spans="1:24">
      <c r="A662" s="153">
        <v>550</v>
      </c>
      <c r="B662" s="154" t="s">
        <v>979</v>
      </c>
      <c r="C662" s="144">
        <v>3</v>
      </c>
      <c r="D662" s="145">
        <v>76</v>
      </c>
      <c r="E662" s="145">
        <v>75</v>
      </c>
      <c r="F662" s="145">
        <v>79</v>
      </c>
      <c r="G662" s="145">
        <v>60</v>
      </c>
      <c r="H662" s="145">
        <v>70</v>
      </c>
      <c r="I662" s="145">
        <f>SUM(D662:H662)</f>
        <v>360</v>
      </c>
      <c r="J662" s="145">
        <v>134</v>
      </c>
      <c r="K662" s="147" t="s">
        <v>130</v>
      </c>
      <c r="L662" s="147" t="s">
        <v>114</v>
      </c>
      <c r="M662" s="147" t="s">
        <v>130</v>
      </c>
      <c r="N662" s="147" t="s">
        <v>124</v>
      </c>
      <c r="O662" s="147" t="s">
        <v>114</v>
      </c>
      <c r="P662" s="147" t="s">
        <v>114</v>
      </c>
      <c r="Q662" s="148" t="s">
        <v>503</v>
      </c>
      <c r="R662" s="148" t="s">
        <v>132</v>
      </c>
      <c r="S662" s="148" t="s">
        <v>119</v>
      </c>
      <c r="T662" s="148" t="s">
        <v>148</v>
      </c>
      <c r="U662" s="145">
        <f>D662+E662</f>
        <v>151</v>
      </c>
      <c r="V662" s="149"/>
      <c r="W662" s="145">
        <f>D662+E662+F662</f>
        <v>230</v>
      </c>
      <c r="X662" s="149"/>
    </row>
    <row r="663" customHeight="1" spans="1:24">
      <c r="A663" s="153">
        <v>94</v>
      </c>
      <c r="B663" s="143" t="s">
        <v>980</v>
      </c>
      <c r="C663" s="144">
        <v>1</v>
      </c>
      <c r="D663" s="145">
        <v>76</v>
      </c>
      <c r="E663" s="145">
        <v>70</v>
      </c>
      <c r="F663" s="145">
        <v>77</v>
      </c>
      <c r="G663" s="145">
        <v>71</v>
      </c>
      <c r="H663" s="145">
        <v>70</v>
      </c>
      <c r="I663" s="145">
        <f>SUM(D663:H663)</f>
        <v>364</v>
      </c>
      <c r="J663" s="145">
        <v>100</v>
      </c>
      <c r="K663" s="147" t="s">
        <v>130</v>
      </c>
      <c r="L663" s="147" t="s">
        <v>114</v>
      </c>
      <c r="M663" s="147" t="s">
        <v>130</v>
      </c>
      <c r="N663" s="147" t="s">
        <v>124</v>
      </c>
      <c r="O663" s="147" t="s">
        <v>114</v>
      </c>
      <c r="P663" s="147" t="s">
        <v>114</v>
      </c>
      <c r="Q663" s="149"/>
      <c r="R663" s="148" t="s">
        <v>118</v>
      </c>
      <c r="S663" s="148" t="s">
        <v>119</v>
      </c>
      <c r="T663" s="148" t="s">
        <v>120</v>
      </c>
      <c r="U663" s="145">
        <f>D663+E663</f>
        <v>146</v>
      </c>
      <c r="V663" s="149"/>
      <c r="W663" s="145">
        <f>D663+E663+F663</f>
        <v>223</v>
      </c>
      <c r="X663" s="252"/>
    </row>
    <row r="664" customHeight="1" spans="1:24">
      <c r="A664" s="153">
        <v>265</v>
      </c>
      <c r="B664" s="154" t="s">
        <v>981</v>
      </c>
      <c r="C664" s="144">
        <v>2</v>
      </c>
      <c r="D664" s="145">
        <v>77</v>
      </c>
      <c r="E664" s="145">
        <v>70</v>
      </c>
      <c r="F664" s="145">
        <v>78</v>
      </c>
      <c r="G664" s="145">
        <v>85</v>
      </c>
      <c r="H664" s="145">
        <v>70</v>
      </c>
      <c r="I664" s="145">
        <f>SUM(D664:H664)</f>
        <v>380</v>
      </c>
      <c r="J664" s="145">
        <v>5</v>
      </c>
      <c r="K664" s="147" t="s">
        <v>130</v>
      </c>
      <c r="L664" s="147" t="s">
        <v>130</v>
      </c>
      <c r="M664" s="147" t="s">
        <v>130</v>
      </c>
      <c r="N664" s="147" t="s">
        <v>114</v>
      </c>
      <c r="O664" s="147" t="s">
        <v>114</v>
      </c>
      <c r="P664" s="147" t="s">
        <v>124</v>
      </c>
      <c r="Q664" s="148" t="s">
        <v>217</v>
      </c>
      <c r="R664" s="148" t="s">
        <v>119</v>
      </c>
      <c r="S664" s="148" t="s">
        <v>136</v>
      </c>
      <c r="T664" s="148" t="s">
        <v>126</v>
      </c>
      <c r="U664" s="145">
        <f>D664+E664</f>
        <v>147</v>
      </c>
      <c r="V664" s="149"/>
      <c r="W664" s="145">
        <f>D664+E664+F664</f>
        <v>225</v>
      </c>
      <c r="X664" s="149"/>
    </row>
    <row r="665" customHeight="1" spans="1:24">
      <c r="A665" s="153">
        <v>489</v>
      </c>
      <c r="B665" s="154" t="s">
        <v>982</v>
      </c>
      <c r="C665" s="144">
        <v>10</v>
      </c>
      <c r="D665" s="145">
        <v>65</v>
      </c>
      <c r="E665" s="145">
        <v>98</v>
      </c>
      <c r="F665" s="145">
        <v>50</v>
      </c>
      <c r="G665" s="145">
        <v>31</v>
      </c>
      <c r="H665" s="145">
        <v>69</v>
      </c>
      <c r="I665" s="145">
        <f>SUM(D665:H665)</f>
        <v>313</v>
      </c>
      <c r="J665" s="145">
        <v>41</v>
      </c>
      <c r="K665" s="147" t="s">
        <v>115</v>
      </c>
      <c r="L665" s="147" t="s">
        <v>130</v>
      </c>
      <c r="M665" s="147" t="s">
        <v>124</v>
      </c>
      <c r="N665" s="147" t="s">
        <v>130</v>
      </c>
      <c r="O665" s="147" t="s">
        <v>114</v>
      </c>
      <c r="P665" s="147" t="s">
        <v>124</v>
      </c>
      <c r="Q665" s="148" t="s">
        <v>783</v>
      </c>
      <c r="R665" s="148" t="s">
        <v>118</v>
      </c>
      <c r="S665" s="148" t="s">
        <v>119</v>
      </c>
      <c r="T665" s="148" t="s">
        <v>250</v>
      </c>
      <c r="U665" s="145">
        <f>D665+E665</f>
        <v>163</v>
      </c>
      <c r="V665" s="149"/>
      <c r="W665" s="145">
        <f>D665+E665+F665</f>
        <v>213</v>
      </c>
      <c r="X665" s="149"/>
    </row>
    <row r="666" customHeight="1" spans="1:24">
      <c r="A666" s="153">
        <v>403</v>
      </c>
      <c r="B666" s="154" t="s">
        <v>983</v>
      </c>
      <c r="C666" s="144">
        <v>4</v>
      </c>
      <c r="D666" s="145">
        <v>81</v>
      </c>
      <c r="E666" s="145">
        <v>48</v>
      </c>
      <c r="F666" s="145">
        <v>84</v>
      </c>
      <c r="G666" s="145">
        <v>79</v>
      </c>
      <c r="H666" s="145">
        <v>69</v>
      </c>
      <c r="I666" s="145">
        <f>SUM(D666:H666)</f>
        <v>361</v>
      </c>
      <c r="J666" s="145">
        <v>143</v>
      </c>
      <c r="K666" s="147" t="s">
        <v>114</v>
      </c>
      <c r="L666" s="147" t="s">
        <v>114</v>
      </c>
      <c r="M666" s="147" t="s">
        <v>130</v>
      </c>
      <c r="N666" s="147" t="s">
        <v>130</v>
      </c>
      <c r="O666" s="147" t="s">
        <v>114</v>
      </c>
      <c r="P666" s="147" t="s">
        <v>115</v>
      </c>
      <c r="Q666" s="148" t="s">
        <v>186</v>
      </c>
      <c r="R666" s="148" t="s">
        <v>132</v>
      </c>
      <c r="S666" s="148" t="s">
        <v>119</v>
      </c>
      <c r="T666" s="148" t="s">
        <v>120</v>
      </c>
      <c r="U666" s="145">
        <f>D666+E666</f>
        <v>129</v>
      </c>
      <c r="V666" s="149"/>
      <c r="W666" s="145">
        <f>D666+E666+F666</f>
        <v>213</v>
      </c>
      <c r="X666" s="149"/>
    </row>
    <row r="667" customHeight="1" spans="1:24">
      <c r="A667" s="153">
        <v>440</v>
      </c>
      <c r="B667" s="156" t="s">
        <v>984</v>
      </c>
      <c r="C667" s="144">
        <v>7</v>
      </c>
      <c r="D667" s="145">
        <v>70</v>
      </c>
      <c r="E667" s="145">
        <v>88</v>
      </c>
      <c r="F667" s="145">
        <v>67</v>
      </c>
      <c r="G667" s="145">
        <v>71</v>
      </c>
      <c r="H667" s="145">
        <v>69</v>
      </c>
      <c r="I667" s="145">
        <f>SUM(D667:H667)</f>
        <v>365</v>
      </c>
      <c r="J667" s="145">
        <v>80</v>
      </c>
      <c r="K667" s="147" t="s">
        <v>114</v>
      </c>
      <c r="L667" s="147" t="s">
        <v>130</v>
      </c>
      <c r="M667" s="147" t="s">
        <v>114</v>
      </c>
      <c r="N667" s="147" t="s">
        <v>124</v>
      </c>
      <c r="O667" s="147" t="s">
        <v>114</v>
      </c>
      <c r="P667" s="160" t="s">
        <v>123</v>
      </c>
      <c r="Q667" s="148" t="s">
        <v>198</v>
      </c>
      <c r="R667" s="148" t="s">
        <v>132</v>
      </c>
      <c r="S667" s="148" t="s">
        <v>119</v>
      </c>
      <c r="T667" s="148" t="s">
        <v>120</v>
      </c>
      <c r="U667" s="145">
        <f>D667+E667</f>
        <v>158</v>
      </c>
      <c r="V667" s="149"/>
      <c r="W667" s="145">
        <f>D667+E667+F667</f>
        <v>225</v>
      </c>
      <c r="X667" s="149"/>
    </row>
    <row r="668" customHeight="1" spans="1:24">
      <c r="A668" s="153">
        <v>330</v>
      </c>
      <c r="B668" s="154" t="s">
        <v>985</v>
      </c>
      <c r="C668" s="144">
        <v>8</v>
      </c>
      <c r="D668" s="145">
        <v>82</v>
      </c>
      <c r="E668" s="145">
        <v>79</v>
      </c>
      <c r="F668" s="145">
        <v>57</v>
      </c>
      <c r="G668" s="145">
        <v>44</v>
      </c>
      <c r="H668" s="145">
        <v>68</v>
      </c>
      <c r="I668" s="145">
        <f>SUM(D668:H668)</f>
        <v>330</v>
      </c>
      <c r="J668" s="145">
        <v>66</v>
      </c>
      <c r="K668" s="147" t="s">
        <v>114</v>
      </c>
      <c r="L668" s="147" t="s">
        <v>114</v>
      </c>
      <c r="M668" s="147" t="s">
        <v>114</v>
      </c>
      <c r="N668" s="147" t="s">
        <v>124</v>
      </c>
      <c r="O668" s="147" t="s">
        <v>114</v>
      </c>
      <c r="P668" s="147" t="s">
        <v>115</v>
      </c>
      <c r="Q668" s="158" t="s">
        <v>210</v>
      </c>
      <c r="R668" s="148" t="s">
        <v>132</v>
      </c>
      <c r="S668" s="148" t="s">
        <v>119</v>
      </c>
      <c r="T668" s="148" t="s">
        <v>120</v>
      </c>
      <c r="U668" s="145">
        <f>D668+E668</f>
        <v>161</v>
      </c>
      <c r="V668" s="148" t="s">
        <v>211</v>
      </c>
      <c r="W668" s="145">
        <f>D668+E668+F668</f>
        <v>218</v>
      </c>
      <c r="X668" s="149"/>
    </row>
    <row r="669" customHeight="1" spans="1:24">
      <c r="A669" s="153">
        <v>673</v>
      </c>
      <c r="B669" s="154" t="s">
        <v>986</v>
      </c>
      <c r="C669" s="144">
        <v>8</v>
      </c>
      <c r="D669" s="145">
        <v>73</v>
      </c>
      <c r="E669" s="145">
        <v>85</v>
      </c>
      <c r="F669" s="145">
        <v>62</v>
      </c>
      <c r="G669" s="145">
        <v>54</v>
      </c>
      <c r="H669" s="145">
        <v>68</v>
      </c>
      <c r="I669" s="145">
        <f>SUM(D669:H669)</f>
        <v>342</v>
      </c>
      <c r="J669" s="145">
        <v>10</v>
      </c>
      <c r="K669" s="147" t="s">
        <v>114</v>
      </c>
      <c r="L669" s="147" t="s">
        <v>130</v>
      </c>
      <c r="M669" s="147" t="s">
        <v>124</v>
      </c>
      <c r="N669" s="147" t="s">
        <v>130</v>
      </c>
      <c r="O669" s="147" t="s">
        <v>114</v>
      </c>
      <c r="P669" s="147" t="s">
        <v>114</v>
      </c>
      <c r="Q669" s="148" t="s">
        <v>256</v>
      </c>
      <c r="R669" s="148" t="s">
        <v>132</v>
      </c>
      <c r="S669" s="148" t="s">
        <v>119</v>
      </c>
      <c r="T669" s="148" t="s">
        <v>126</v>
      </c>
      <c r="U669" s="145">
        <f>D669+E669</f>
        <v>158</v>
      </c>
      <c r="V669" s="149"/>
      <c r="W669" s="145">
        <f>D669+E669+F669</f>
        <v>220</v>
      </c>
      <c r="X669" s="149"/>
    </row>
    <row r="670" customHeight="1" spans="1:24">
      <c r="A670" s="153">
        <v>411</v>
      </c>
      <c r="B670" s="154" t="s">
        <v>987</v>
      </c>
      <c r="C670" s="144">
        <v>10</v>
      </c>
      <c r="D670" s="145">
        <v>83</v>
      </c>
      <c r="E670" s="145">
        <v>83</v>
      </c>
      <c r="F670" s="145">
        <v>63</v>
      </c>
      <c r="G670" s="145">
        <v>52</v>
      </c>
      <c r="H670" s="145">
        <v>68</v>
      </c>
      <c r="I670" s="145">
        <f>SUM(D670:H670)</f>
        <v>349</v>
      </c>
      <c r="J670" s="145">
        <v>27</v>
      </c>
      <c r="K670" s="147" t="s">
        <v>114</v>
      </c>
      <c r="L670" s="147" t="s">
        <v>115</v>
      </c>
      <c r="M670" s="147" t="s">
        <v>130</v>
      </c>
      <c r="N670" s="147" t="s">
        <v>114</v>
      </c>
      <c r="O670" s="147" t="s">
        <v>114</v>
      </c>
      <c r="P670" s="147" t="s">
        <v>124</v>
      </c>
      <c r="Q670" s="148" t="s">
        <v>721</v>
      </c>
      <c r="R670" s="148" t="s">
        <v>119</v>
      </c>
      <c r="S670" s="148" t="s">
        <v>119</v>
      </c>
      <c r="T670" s="148" t="s">
        <v>126</v>
      </c>
      <c r="U670" s="145">
        <f>D670+E670</f>
        <v>166</v>
      </c>
      <c r="V670" s="149"/>
      <c r="W670" s="145">
        <f>D670+E670+F670</f>
        <v>229</v>
      </c>
      <c r="X670" s="149"/>
    </row>
    <row r="671" customHeight="1" spans="1:24">
      <c r="A671" s="153">
        <v>209</v>
      </c>
      <c r="B671" s="154" t="s">
        <v>988</v>
      </c>
      <c r="C671" s="144">
        <v>8</v>
      </c>
      <c r="D671" s="145">
        <v>83</v>
      </c>
      <c r="E671" s="145">
        <v>57</v>
      </c>
      <c r="F671" s="145">
        <v>93</v>
      </c>
      <c r="G671" s="145">
        <v>81</v>
      </c>
      <c r="H671" s="145">
        <v>68</v>
      </c>
      <c r="I671" s="145">
        <f>SUM(D671:H671)</f>
        <v>382</v>
      </c>
      <c r="J671" s="145">
        <v>71</v>
      </c>
      <c r="K671" s="147" t="s">
        <v>114</v>
      </c>
      <c r="L671" s="147" t="s">
        <v>114</v>
      </c>
      <c r="M671" s="147" t="s">
        <v>115</v>
      </c>
      <c r="N671" s="147" t="s">
        <v>130</v>
      </c>
      <c r="O671" s="147" t="s">
        <v>114</v>
      </c>
      <c r="P671" s="147" t="s">
        <v>130</v>
      </c>
      <c r="Q671" s="148" t="s">
        <v>266</v>
      </c>
      <c r="R671" s="148" t="s">
        <v>118</v>
      </c>
      <c r="S671" s="148" t="s">
        <v>119</v>
      </c>
      <c r="T671" s="148" t="s">
        <v>126</v>
      </c>
      <c r="U671" s="145">
        <f>D671+E671</f>
        <v>140</v>
      </c>
      <c r="V671" s="149"/>
      <c r="W671" s="145">
        <f>D671+E671+F671</f>
        <v>233</v>
      </c>
      <c r="X671" s="149"/>
    </row>
    <row r="672" customHeight="1" spans="1:24">
      <c r="A672" s="153">
        <v>607</v>
      </c>
      <c r="B672" s="154" t="s">
        <v>989</v>
      </c>
      <c r="C672" s="144">
        <v>4</v>
      </c>
      <c r="D672" s="145">
        <v>80</v>
      </c>
      <c r="E672" s="145">
        <v>78</v>
      </c>
      <c r="F672" s="145">
        <v>71</v>
      </c>
      <c r="G672" s="145">
        <v>67</v>
      </c>
      <c r="H672" s="145">
        <v>67</v>
      </c>
      <c r="I672" s="145">
        <f>SUM(D672:H672)</f>
        <v>363</v>
      </c>
      <c r="J672" s="145">
        <v>50</v>
      </c>
      <c r="K672" s="147" t="s">
        <v>114</v>
      </c>
      <c r="L672" s="147" t="s">
        <v>114</v>
      </c>
      <c r="M672" s="147" t="s">
        <v>130</v>
      </c>
      <c r="N672" s="147" t="s">
        <v>130</v>
      </c>
      <c r="O672" s="147" t="s">
        <v>114</v>
      </c>
      <c r="P672" s="147" t="s">
        <v>130</v>
      </c>
      <c r="Q672" s="148" t="s">
        <v>203</v>
      </c>
      <c r="R672" s="148" t="s">
        <v>119</v>
      </c>
      <c r="S672" s="148" t="s">
        <v>145</v>
      </c>
      <c r="T672" s="148" t="s">
        <v>126</v>
      </c>
      <c r="U672" s="145">
        <f>D672+E672</f>
        <v>158</v>
      </c>
      <c r="V672" s="149"/>
      <c r="W672" s="145">
        <f>D672+E672+F672</f>
        <v>229</v>
      </c>
      <c r="X672" s="149"/>
    </row>
    <row r="673" customHeight="1" spans="1:24">
      <c r="A673" s="153">
        <v>688</v>
      </c>
      <c r="B673" s="154" t="s">
        <v>990</v>
      </c>
      <c r="C673" s="144">
        <v>6</v>
      </c>
      <c r="D673" s="145">
        <v>69</v>
      </c>
      <c r="E673" s="145">
        <v>56</v>
      </c>
      <c r="F673" s="145">
        <v>86</v>
      </c>
      <c r="G673" s="145">
        <v>78</v>
      </c>
      <c r="H673" s="145">
        <v>66</v>
      </c>
      <c r="I673" s="145">
        <f>SUM(D673:H673)</f>
        <v>355</v>
      </c>
      <c r="J673" s="145">
        <v>88</v>
      </c>
      <c r="K673" s="147" t="s">
        <v>124</v>
      </c>
      <c r="L673" s="147" t="s">
        <v>130</v>
      </c>
      <c r="M673" s="147" t="s">
        <v>124</v>
      </c>
      <c r="N673" s="147" t="s">
        <v>130</v>
      </c>
      <c r="O673" s="147" t="s">
        <v>114</v>
      </c>
      <c r="P673" s="147" t="s">
        <v>130</v>
      </c>
      <c r="Q673" s="148" t="s">
        <v>294</v>
      </c>
      <c r="R673" s="148" t="s">
        <v>118</v>
      </c>
      <c r="S673" s="148" t="s">
        <v>119</v>
      </c>
      <c r="T673" s="148" t="s">
        <v>120</v>
      </c>
      <c r="U673" s="145">
        <f>D673+E673</f>
        <v>125</v>
      </c>
      <c r="V673" s="149"/>
      <c r="W673" s="145">
        <f>D673+E673+F673</f>
        <v>211</v>
      </c>
      <c r="X673" s="149"/>
    </row>
    <row r="674" customHeight="1" spans="1:24">
      <c r="A674" s="153">
        <v>402</v>
      </c>
      <c r="B674" s="154" t="s">
        <v>991</v>
      </c>
      <c r="C674" s="144">
        <v>10</v>
      </c>
      <c r="D674" s="145">
        <v>83</v>
      </c>
      <c r="E674" s="145">
        <v>52</v>
      </c>
      <c r="F674" s="145">
        <v>88</v>
      </c>
      <c r="G674" s="145">
        <v>76</v>
      </c>
      <c r="H674" s="145">
        <v>66</v>
      </c>
      <c r="I674" s="145">
        <f>SUM(D674:H674)</f>
        <v>365</v>
      </c>
      <c r="J674" s="145">
        <v>143</v>
      </c>
      <c r="K674" s="147" t="s">
        <v>114</v>
      </c>
      <c r="L674" s="147" t="s">
        <v>130</v>
      </c>
      <c r="M674" s="147" t="s">
        <v>114</v>
      </c>
      <c r="N674" s="147" t="s">
        <v>115</v>
      </c>
      <c r="O674" s="147" t="s">
        <v>114</v>
      </c>
      <c r="P674" s="147" t="s">
        <v>130</v>
      </c>
      <c r="Q674" s="158" t="s">
        <v>655</v>
      </c>
      <c r="R674" s="148" t="s">
        <v>132</v>
      </c>
      <c r="S674" s="148" t="s">
        <v>119</v>
      </c>
      <c r="T674" s="148" t="s">
        <v>120</v>
      </c>
      <c r="U674" s="145">
        <f>D674+E674</f>
        <v>135</v>
      </c>
      <c r="V674" s="149"/>
      <c r="W674" s="145">
        <f>D674+E674+F674</f>
        <v>223</v>
      </c>
      <c r="X674" s="149"/>
    </row>
    <row r="675" customHeight="1" spans="1:24">
      <c r="A675" s="153">
        <v>658</v>
      </c>
      <c r="B675" s="154" t="s">
        <v>992</v>
      </c>
      <c r="C675" s="144">
        <v>18</v>
      </c>
      <c r="D675" s="145">
        <v>86</v>
      </c>
      <c r="E675" s="145">
        <v>86</v>
      </c>
      <c r="F675" s="145">
        <v>65</v>
      </c>
      <c r="G675" s="145">
        <v>65</v>
      </c>
      <c r="H675" s="145">
        <v>66</v>
      </c>
      <c r="I675" s="145">
        <f>SUM(D675:H675)</f>
        <v>368</v>
      </c>
      <c r="J675" s="145">
        <v>59</v>
      </c>
      <c r="K675" s="147" t="s">
        <v>115</v>
      </c>
      <c r="L675" s="147" t="s">
        <v>114</v>
      </c>
      <c r="M675" s="147" t="s">
        <v>115</v>
      </c>
      <c r="N675" s="147" t="s">
        <v>124</v>
      </c>
      <c r="O675" s="147" t="s">
        <v>114</v>
      </c>
      <c r="P675" s="147" t="s">
        <v>114</v>
      </c>
      <c r="Q675" s="148" t="s">
        <v>490</v>
      </c>
      <c r="R675" s="148" t="s">
        <v>132</v>
      </c>
      <c r="S675" s="148" t="s">
        <v>119</v>
      </c>
      <c r="T675" s="148" t="s">
        <v>126</v>
      </c>
      <c r="U675" s="145">
        <f>D675+E675</f>
        <v>172</v>
      </c>
      <c r="V675" s="149"/>
      <c r="W675" s="145">
        <f>D675+E675+F675</f>
        <v>237</v>
      </c>
      <c r="X675" s="149"/>
    </row>
    <row r="676" customHeight="1" spans="1:24">
      <c r="A676" s="153">
        <v>89</v>
      </c>
      <c r="B676" s="154" t="s">
        <v>993</v>
      </c>
      <c r="C676" s="144">
        <v>9</v>
      </c>
      <c r="D676" s="145">
        <v>73</v>
      </c>
      <c r="E676" s="145">
        <v>92</v>
      </c>
      <c r="F676" s="145">
        <v>51</v>
      </c>
      <c r="G676" s="145">
        <v>52</v>
      </c>
      <c r="H676" s="145">
        <v>65</v>
      </c>
      <c r="I676" s="145">
        <f>SUM(D676:H676)</f>
        <v>333</v>
      </c>
      <c r="J676" s="145">
        <v>26</v>
      </c>
      <c r="K676" s="147" t="s">
        <v>114</v>
      </c>
      <c r="L676" s="147" t="s">
        <v>130</v>
      </c>
      <c r="M676" s="147" t="s">
        <v>130</v>
      </c>
      <c r="N676" s="147" t="s">
        <v>130</v>
      </c>
      <c r="O676" s="147" t="s">
        <v>114</v>
      </c>
      <c r="P676" s="147" t="s">
        <v>114</v>
      </c>
      <c r="Q676" s="148" t="s">
        <v>459</v>
      </c>
      <c r="R676" s="148" t="s">
        <v>132</v>
      </c>
      <c r="S676" s="148" t="s">
        <v>119</v>
      </c>
      <c r="T676" s="148" t="s">
        <v>126</v>
      </c>
      <c r="U676" s="145">
        <f>D676+E676</f>
        <v>165</v>
      </c>
      <c r="V676" s="149"/>
      <c r="W676" s="145">
        <f>D676+E676+F676</f>
        <v>216</v>
      </c>
      <c r="X676" s="149"/>
    </row>
    <row r="677" customHeight="1" spans="1:24">
      <c r="A677" s="153">
        <v>630</v>
      </c>
      <c r="B677" s="154" t="s">
        <v>994</v>
      </c>
      <c r="C677" s="144">
        <v>14</v>
      </c>
      <c r="D677" s="145">
        <v>88</v>
      </c>
      <c r="E677" s="145">
        <v>83</v>
      </c>
      <c r="F677" s="145">
        <v>66</v>
      </c>
      <c r="G677" s="145">
        <v>64</v>
      </c>
      <c r="H677" s="145">
        <v>65</v>
      </c>
      <c r="I677" s="145">
        <f>SUM(D677:H677)</f>
        <v>366</v>
      </c>
      <c r="J677" s="145">
        <v>59</v>
      </c>
      <c r="K677" s="147" t="s">
        <v>114</v>
      </c>
      <c r="L677" s="147" t="s">
        <v>114</v>
      </c>
      <c r="M677" s="147" t="s">
        <v>115</v>
      </c>
      <c r="N677" s="147" t="s">
        <v>114</v>
      </c>
      <c r="O677" s="147" t="s">
        <v>114</v>
      </c>
      <c r="P677" s="147" t="s">
        <v>114</v>
      </c>
      <c r="Q677" s="148" t="s">
        <v>337</v>
      </c>
      <c r="R677" s="148" t="s">
        <v>132</v>
      </c>
      <c r="S677" s="148" t="s">
        <v>119</v>
      </c>
      <c r="T677" s="148" t="s">
        <v>126</v>
      </c>
      <c r="U677" s="145">
        <f>D677+E677</f>
        <v>171</v>
      </c>
      <c r="V677" s="149"/>
      <c r="W677" s="145">
        <f>D677+E677+F677</f>
        <v>237</v>
      </c>
      <c r="X677" s="149"/>
    </row>
    <row r="678" customHeight="1" spans="1:24">
      <c r="A678" s="153">
        <v>23</v>
      </c>
      <c r="B678" s="154" t="s">
        <v>995</v>
      </c>
      <c r="C678" s="144">
        <v>28</v>
      </c>
      <c r="D678" s="145">
        <v>94</v>
      </c>
      <c r="E678" s="145">
        <v>79</v>
      </c>
      <c r="F678" s="145">
        <v>85</v>
      </c>
      <c r="G678" s="145">
        <v>62</v>
      </c>
      <c r="H678" s="145">
        <v>65</v>
      </c>
      <c r="I678" s="145">
        <f>SUM(D678:H678)</f>
        <v>385</v>
      </c>
      <c r="J678" s="145">
        <v>21</v>
      </c>
      <c r="K678" s="147" t="s">
        <v>115</v>
      </c>
      <c r="L678" s="160" t="s">
        <v>123</v>
      </c>
      <c r="M678" s="147" t="s">
        <v>130</v>
      </c>
      <c r="N678" s="147" t="s">
        <v>114</v>
      </c>
      <c r="O678" s="147" t="s">
        <v>114</v>
      </c>
      <c r="P678" s="147" t="s">
        <v>130</v>
      </c>
      <c r="Q678" s="158" t="s">
        <v>996</v>
      </c>
      <c r="R678" s="148" t="s">
        <v>118</v>
      </c>
      <c r="S678" s="148" t="s">
        <v>119</v>
      </c>
      <c r="T678" s="148" t="s">
        <v>126</v>
      </c>
      <c r="U678" s="145">
        <f>D678+E678</f>
        <v>173</v>
      </c>
      <c r="V678" s="172" t="s">
        <v>997</v>
      </c>
      <c r="W678" s="145">
        <f>D678+E678+F678</f>
        <v>258</v>
      </c>
      <c r="X678" s="149"/>
    </row>
    <row r="679" customHeight="1" spans="1:24">
      <c r="A679" s="153">
        <v>584</v>
      </c>
      <c r="B679" s="154" t="s">
        <v>998</v>
      </c>
      <c r="C679" s="144">
        <v>12</v>
      </c>
      <c r="D679" s="145">
        <v>80</v>
      </c>
      <c r="E679" s="145">
        <v>86</v>
      </c>
      <c r="F679" s="145">
        <v>56</v>
      </c>
      <c r="G679" s="145">
        <v>52</v>
      </c>
      <c r="H679" s="145">
        <v>64</v>
      </c>
      <c r="I679" s="145">
        <f>SUM(D679:H679)</f>
        <v>338</v>
      </c>
      <c r="J679" s="145">
        <v>51</v>
      </c>
      <c r="K679" s="147" t="s">
        <v>130</v>
      </c>
      <c r="L679" s="147" t="s">
        <v>130</v>
      </c>
      <c r="M679" s="147" t="s">
        <v>130</v>
      </c>
      <c r="N679" s="147" t="s">
        <v>115</v>
      </c>
      <c r="O679" s="147" t="s">
        <v>114</v>
      </c>
      <c r="P679" s="147" t="s">
        <v>124</v>
      </c>
      <c r="Q679" s="158" t="s">
        <v>210</v>
      </c>
      <c r="R679" s="148" t="s">
        <v>132</v>
      </c>
      <c r="S679" s="148" t="s">
        <v>119</v>
      </c>
      <c r="T679" s="148" t="s">
        <v>126</v>
      </c>
      <c r="U679" s="145">
        <f>D679+E679</f>
        <v>166</v>
      </c>
      <c r="V679" s="148" t="s">
        <v>211</v>
      </c>
      <c r="W679" s="145">
        <f>D679+E679+F679</f>
        <v>222</v>
      </c>
      <c r="X679" s="149"/>
    </row>
    <row r="680" customHeight="1" spans="1:24">
      <c r="A680" s="153">
        <v>81</v>
      </c>
      <c r="B680" s="154" t="s">
        <v>999</v>
      </c>
      <c r="C680" s="144">
        <v>2</v>
      </c>
      <c r="D680" s="145">
        <v>70</v>
      </c>
      <c r="E680" s="145">
        <v>46</v>
      </c>
      <c r="F680" s="145">
        <v>91</v>
      </c>
      <c r="G680" s="145">
        <v>77</v>
      </c>
      <c r="H680" s="145">
        <v>64</v>
      </c>
      <c r="I680" s="145">
        <f>SUM(D680:H680)</f>
        <v>348</v>
      </c>
      <c r="J680" s="145">
        <v>3</v>
      </c>
      <c r="K680" s="147" t="s">
        <v>114</v>
      </c>
      <c r="L680" s="147" t="s">
        <v>114</v>
      </c>
      <c r="M680" s="147" t="s">
        <v>130</v>
      </c>
      <c r="N680" s="147" t="s">
        <v>130</v>
      </c>
      <c r="O680" s="147" t="s">
        <v>114</v>
      </c>
      <c r="P680" s="147" t="s">
        <v>130</v>
      </c>
      <c r="Q680" s="148" t="s">
        <v>168</v>
      </c>
      <c r="R680" s="148" t="s">
        <v>119</v>
      </c>
      <c r="S680" s="148" t="s">
        <v>119</v>
      </c>
      <c r="T680" s="148" t="s">
        <v>120</v>
      </c>
      <c r="U680" s="145">
        <f>D680+E680</f>
        <v>116</v>
      </c>
      <c r="V680" s="149"/>
      <c r="W680" s="145">
        <f>D680+E680+F680</f>
        <v>207</v>
      </c>
      <c r="X680" s="149"/>
    </row>
    <row r="681" customHeight="1" spans="1:24">
      <c r="A681" s="153">
        <v>657</v>
      </c>
      <c r="B681" s="154" t="s">
        <v>1000</v>
      </c>
      <c r="C681" s="144">
        <v>11</v>
      </c>
      <c r="D681" s="145">
        <v>83</v>
      </c>
      <c r="E681" s="145">
        <v>84</v>
      </c>
      <c r="F681" s="145">
        <v>59</v>
      </c>
      <c r="G681" s="145">
        <v>60</v>
      </c>
      <c r="H681" s="145">
        <v>64</v>
      </c>
      <c r="I681" s="145">
        <f>SUM(D681:H681)</f>
        <v>350</v>
      </c>
      <c r="J681" s="145">
        <v>65</v>
      </c>
      <c r="K681" s="147" t="s">
        <v>130</v>
      </c>
      <c r="L681" s="147" t="s">
        <v>114</v>
      </c>
      <c r="M681" s="147" t="s">
        <v>115</v>
      </c>
      <c r="N681" s="147" t="s">
        <v>114</v>
      </c>
      <c r="O681" s="147" t="s">
        <v>114</v>
      </c>
      <c r="P681" s="147" t="s">
        <v>124</v>
      </c>
      <c r="Q681" s="148" t="s">
        <v>260</v>
      </c>
      <c r="R681" s="148" t="s">
        <v>132</v>
      </c>
      <c r="S681" s="148" t="s">
        <v>119</v>
      </c>
      <c r="T681" s="148" t="s">
        <v>126</v>
      </c>
      <c r="U681" s="145">
        <f>D681+E681</f>
        <v>167</v>
      </c>
      <c r="V681" s="149"/>
      <c r="W681" s="145">
        <f>D681+E681+F681</f>
        <v>226</v>
      </c>
      <c r="X681" s="149"/>
    </row>
    <row r="682" customHeight="1" spans="1:24">
      <c r="A682" s="153">
        <v>567</v>
      </c>
      <c r="B682" s="154" t="s">
        <v>1001</v>
      </c>
      <c r="C682" s="144">
        <v>14</v>
      </c>
      <c r="D682" s="145">
        <v>88</v>
      </c>
      <c r="E682" s="145">
        <v>83</v>
      </c>
      <c r="F682" s="145">
        <v>66</v>
      </c>
      <c r="G682" s="145">
        <v>56</v>
      </c>
      <c r="H682" s="145">
        <v>64</v>
      </c>
      <c r="I682" s="145">
        <f>SUM(D682:H682)</f>
        <v>357</v>
      </c>
      <c r="J682" s="145">
        <v>34</v>
      </c>
      <c r="K682" s="147" t="s">
        <v>115</v>
      </c>
      <c r="L682" s="147" t="s">
        <v>114</v>
      </c>
      <c r="M682" s="147" t="s">
        <v>115</v>
      </c>
      <c r="N682" s="147" t="s">
        <v>114</v>
      </c>
      <c r="O682" s="147" t="s">
        <v>114</v>
      </c>
      <c r="P682" s="147" t="s">
        <v>130</v>
      </c>
      <c r="Q682" s="148" t="s">
        <v>208</v>
      </c>
      <c r="R682" s="148" t="s">
        <v>132</v>
      </c>
      <c r="S682" s="148" t="s">
        <v>133</v>
      </c>
      <c r="T682" s="148" t="s">
        <v>120</v>
      </c>
      <c r="U682" s="145">
        <f>D682+E682</f>
        <v>171</v>
      </c>
      <c r="V682" s="149"/>
      <c r="W682" s="145">
        <f>D682+E682+F682</f>
        <v>237</v>
      </c>
      <c r="X682" s="149"/>
    </row>
    <row r="683" customHeight="1" spans="1:24">
      <c r="A683" s="153">
        <v>423</v>
      </c>
      <c r="B683" s="154" t="s">
        <v>1002</v>
      </c>
      <c r="C683" s="144">
        <v>11</v>
      </c>
      <c r="D683" s="145">
        <v>86</v>
      </c>
      <c r="E683" s="145">
        <v>68</v>
      </c>
      <c r="F683" s="145">
        <v>83</v>
      </c>
      <c r="G683" s="145">
        <v>71</v>
      </c>
      <c r="H683" s="145">
        <v>64</v>
      </c>
      <c r="I683" s="145">
        <f>SUM(D683:H683)</f>
        <v>372</v>
      </c>
      <c r="J683" s="145">
        <v>3</v>
      </c>
      <c r="K683" s="147" t="s">
        <v>114</v>
      </c>
      <c r="L683" s="147" t="s">
        <v>114</v>
      </c>
      <c r="M683" s="147" t="s">
        <v>115</v>
      </c>
      <c r="N683" s="147" t="s">
        <v>114</v>
      </c>
      <c r="O683" s="147" t="s">
        <v>114</v>
      </c>
      <c r="P683" s="147" t="s">
        <v>114</v>
      </c>
      <c r="Q683" s="158" t="s">
        <v>232</v>
      </c>
      <c r="R683" s="148" t="s">
        <v>132</v>
      </c>
      <c r="S683" s="148" t="s">
        <v>119</v>
      </c>
      <c r="T683" s="148" t="s">
        <v>126</v>
      </c>
      <c r="U683" s="145">
        <f>D683+E683</f>
        <v>154</v>
      </c>
      <c r="V683" s="148" t="s">
        <v>233</v>
      </c>
      <c r="W683" s="145">
        <f>D683+E683+F683</f>
        <v>237</v>
      </c>
      <c r="X683" s="149"/>
    </row>
    <row r="684" customHeight="1" spans="1:24">
      <c r="A684" s="153">
        <v>275</v>
      </c>
      <c r="B684" s="154" t="s">
        <v>1003</v>
      </c>
      <c r="C684" s="144">
        <v>3</v>
      </c>
      <c r="D684" s="145">
        <v>78</v>
      </c>
      <c r="E684" s="145">
        <v>76</v>
      </c>
      <c r="F684" s="145">
        <v>61</v>
      </c>
      <c r="G684" s="145">
        <v>59</v>
      </c>
      <c r="H684" s="145">
        <v>63</v>
      </c>
      <c r="I684" s="145">
        <f>SUM(D684:H684)</f>
        <v>337</v>
      </c>
      <c r="J684" s="145">
        <v>5</v>
      </c>
      <c r="K684" s="147" t="s">
        <v>114</v>
      </c>
      <c r="L684" s="147" t="s">
        <v>124</v>
      </c>
      <c r="M684" s="147" t="s">
        <v>130</v>
      </c>
      <c r="N684" s="147" t="s">
        <v>115</v>
      </c>
      <c r="O684" s="147" t="s">
        <v>114</v>
      </c>
      <c r="P684" s="147" t="s">
        <v>124</v>
      </c>
      <c r="Q684" s="149"/>
      <c r="R684" s="148" t="s">
        <v>132</v>
      </c>
      <c r="S684" s="148" t="s">
        <v>119</v>
      </c>
      <c r="T684" s="148" t="s">
        <v>126</v>
      </c>
      <c r="U684" s="145">
        <f>D684+E684</f>
        <v>154</v>
      </c>
      <c r="V684" s="149"/>
      <c r="W684" s="145">
        <f>D684+E684+F684</f>
        <v>215</v>
      </c>
      <c r="X684" s="149"/>
    </row>
    <row r="685" customHeight="1" spans="1:24">
      <c r="A685" s="153">
        <v>606</v>
      </c>
      <c r="B685" s="154" t="s">
        <v>1004</v>
      </c>
      <c r="C685" s="144">
        <v>3</v>
      </c>
      <c r="D685" s="145">
        <v>80</v>
      </c>
      <c r="E685" s="145">
        <v>74</v>
      </c>
      <c r="F685" s="145">
        <v>59</v>
      </c>
      <c r="G685" s="145">
        <v>64</v>
      </c>
      <c r="H685" s="145">
        <v>63</v>
      </c>
      <c r="I685" s="145">
        <f>SUM(D685:H685)</f>
        <v>340</v>
      </c>
      <c r="J685" s="145">
        <v>106</v>
      </c>
      <c r="K685" s="147" t="s">
        <v>124</v>
      </c>
      <c r="L685" s="147" t="s">
        <v>114</v>
      </c>
      <c r="M685" s="147" t="s">
        <v>130</v>
      </c>
      <c r="N685" s="147" t="s">
        <v>124</v>
      </c>
      <c r="O685" s="147" t="s">
        <v>114</v>
      </c>
      <c r="P685" s="147" t="s">
        <v>115</v>
      </c>
      <c r="Q685" s="149"/>
      <c r="R685" s="148" t="s">
        <v>132</v>
      </c>
      <c r="S685" s="148" t="s">
        <v>119</v>
      </c>
      <c r="T685" s="148" t="s">
        <v>126</v>
      </c>
      <c r="U685" s="145">
        <f>D685+E685</f>
        <v>154</v>
      </c>
      <c r="V685" s="149"/>
      <c r="W685" s="145">
        <f>D685+E685+F685</f>
        <v>213</v>
      </c>
      <c r="X685" s="149"/>
    </row>
    <row r="686" customHeight="1" spans="1:24">
      <c r="A686" s="153">
        <v>222</v>
      </c>
      <c r="B686" s="154" t="s">
        <v>1005</v>
      </c>
      <c r="C686" s="144">
        <v>3</v>
      </c>
      <c r="D686" s="145">
        <v>69</v>
      </c>
      <c r="E686" s="145">
        <v>84</v>
      </c>
      <c r="F686" s="145">
        <v>65</v>
      </c>
      <c r="G686" s="145">
        <v>73</v>
      </c>
      <c r="H686" s="145">
        <v>62</v>
      </c>
      <c r="I686" s="145">
        <f>SUM(D686:H686)</f>
        <v>353</v>
      </c>
      <c r="J686" s="145">
        <v>35</v>
      </c>
      <c r="K686" s="147" t="s">
        <v>124</v>
      </c>
      <c r="L686" s="147" t="s">
        <v>130</v>
      </c>
      <c r="M686" s="147" t="s">
        <v>124</v>
      </c>
      <c r="N686" s="147" t="s">
        <v>130</v>
      </c>
      <c r="O686" s="147" t="s">
        <v>114</v>
      </c>
      <c r="P686" s="147" t="s">
        <v>115</v>
      </c>
      <c r="Q686" s="148" t="s">
        <v>587</v>
      </c>
      <c r="R686" s="148" t="s">
        <v>132</v>
      </c>
      <c r="S686" s="148" t="s">
        <v>119</v>
      </c>
      <c r="T686" s="148" t="s">
        <v>126</v>
      </c>
      <c r="U686" s="145">
        <f>D686+E686</f>
        <v>153</v>
      </c>
      <c r="V686" s="149"/>
      <c r="W686" s="145">
        <f>D686+E686+F686</f>
        <v>218</v>
      </c>
      <c r="X686" s="149"/>
    </row>
    <row r="687" customHeight="1" spans="1:24">
      <c r="A687" s="153">
        <v>198</v>
      </c>
      <c r="B687" s="154" t="s">
        <v>1006</v>
      </c>
      <c r="C687" s="144">
        <v>38</v>
      </c>
      <c r="D687" s="145">
        <v>94</v>
      </c>
      <c r="E687" s="145">
        <v>96</v>
      </c>
      <c r="F687" s="145">
        <v>62</v>
      </c>
      <c r="G687" s="145">
        <v>54</v>
      </c>
      <c r="H687" s="145">
        <v>62</v>
      </c>
      <c r="I687" s="145">
        <f>SUM(D687:H687)</f>
        <v>368</v>
      </c>
      <c r="J687" s="145">
        <v>91</v>
      </c>
      <c r="K687" s="147" t="s">
        <v>115</v>
      </c>
      <c r="L687" s="147" t="s">
        <v>114</v>
      </c>
      <c r="M687" s="147" t="s">
        <v>114</v>
      </c>
      <c r="N687" s="147" t="s">
        <v>115</v>
      </c>
      <c r="O687" s="147" t="s">
        <v>114</v>
      </c>
      <c r="P687" s="147" t="s">
        <v>115</v>
      </c>
      <c r="Q687" s="158" t="s">
        <v>534</v>
      </c>
      <c r="R687" s="148" t="s">
        <v>132</v>
      </c>
      <c r="S687" s="148" t="s">
        <v>119</v>
      </c>
      <c r="T687" s="148" t="s">
        <v>126</v>
      </c>
      <c r="U687" s="145">
        <f>D687+E687</f>
        <v>190</v>
      </c>
      <c r="V687" s="148" t="s">
        <v>535</v>
      </c>
      <c r="W687" s="145">
        <f>D687+E687+F687</f>
        <v>252</v>
      </c>
      <c r="X687" s="149"/>
    </row>
    <row r="688" customHeight="1" spans="1:24">
      <c r="A688" s="153">
        <v>659</v>
      </c>
      <c r="B688" s="154" t="s">
        <v>1007</v>
      </c>
      <c r="C688" s="144">
        <v>10</v>
      </c>
      <c r="D688" s="145">
        <v>68</v>
      </c>
      <c r="E688" s="145">
        <v>97</v>
      </c>
      <c r="F688" s="145">
        <v>42</v>
      </c>
      <c r="G688" s="145">
        <v>53</v>
      </c>
      <c r="H688" s="145">
        <v>61</v>
      </c>
      <c r="I688" s="145">
        <f>SUM(D688:H688)</f>
        <v>321</v>
      </c>
      <c r="J688" s="145">
        <v>60</v>
      </c>
      <c r="K688" s="147" t="s">
        <v>130</v>
      </c>
      <c r="L688" s="147" t="s">
        <v>130</v>
      </c>
      <c r="M688" s="147" t="s">
        <v>130</v>
      </c>
      <c r="N688" s="147" t="s">
        <v>114</v>
      </c>
      <c r="O688" s="147" t="s">
        <v>114</v>
      </c>
      <c r="P688" s="147" t="s">
        <v>130</v>
      </c>
      <c r="Q688" s="148" t="s">
        <v>228</v>
      </c>
      <c r="R688" s="148" t="s">
        <v>118</v>
      </c>
      <c r="S688" s="148" t="s">
        <v>133</v>
      </c>
      <c r="T688" s="148" t="s">
        <v>126</v>
      </c>
      <c r="U688" s="145">
        <f>D688+E688</f>
        <v>165</v>
      </c>
      <c r="V688" s="149"/>
      <c r="W688" s="145">
        <f>D688+E688+F688</f>
        <v>207</v>
      </c>
      <c r="X688" s="149"/>
    </row>
    <row r="689" customHeight="1" spans="1:24">
      <c r="A689" s="153">
        <v>24</v>
      </c>
      <c r="B689" s="154" t="s">
        <v>1008</v>
      </c>
      <c r="C689" s="144">
        <v>2</v>
      </c>
      <c r="D689" s="145">
        <v>50</v>
      </c>
      <c r="E689" s="145">
        <v>71</v>
      </c>
      <c r="F689" s="145">
        <v>83</v>
      </c>
      <c r="G689" s="145">
        <v>60</v>
      </c>
      <c r="H689" s="145">
        <v>60</v>
      </c>
      <c r="I689" s="145">
        <f>SUM(D689:H689)</f>
        <v>324</v>
      </c>
      <c r="J689" s="145">
        <v>61</v>
      </c>
      <c r="K689" s="147" t="s">
        <v>124</v>
      </c>
      <c r="L689" s="147" t="s">
        <v>124</v>
      </c>
      <c r="M689" s="147" t="s">
        <v>124</v>
      </c>
      <c r="N689" s="147" t="s">
        <v>124</v>
      </c>
      <c r="O689" s="147" t="s">
        <v>114</v>
      </c>
      <c r="P689" s="147" t="s">
        <v>130</v>
      </c>
      <c r="Q689" s="148" t="s">
        <v>360</v>
      </c>
      <c r="R689" s="148" t="s">
        <v>119</v>
      </c>
      <c r="S689" s="148" t="s">
        <v>119</v>
      </c>
      <c r="T689" s="148" t="s">
        <v>148</v>
      </c>
      <c r="U689" s="145">
        <f>D689+E689</f>
        <v>121</v>
      </c>
      <c r="V689" s="149"/>
      <c r="W689" s="145">
        <f>D689+E689+F689</f>
        <v>204</v>
      </c>
      <c r="X689" s="149"/>
    </row>
    <row r="690" customHeight="1" spans="1:24">
      <c r="A690" s="153">
        <v>691</v>
      </c>
      <c r="B690" s="154" t="s">
        <v>1009</v>
      </c>
      <c r="C690" s="144">
        <v>2</v>
      </c>
      <c r="D690" s="145">
        <v>58</v>
      </c>
      <c r="E690" s="145">
        <v>47</v>
      </c>
      <c r="F690" s="145">
        <v>78</v>
      </c>
      <c r="G690" s="145">
        <v>81</v>
      </c>
      <c r="H690" s="145">
        <v>60</v>
      </c>
      <c r="I690" s="145">
        <f>SUM(D690:H690)</f>
        <v>324</v>
      </c>
      <c r="J690" s="145">
        <v>93</v>
      </c>
      <c r="K690" s="147" t="s">
        <v>124</v>
      </c>
      <c r="L690" s="147" t="s">
        <v>130</v>
      </c>
      <c r="M690" s="147" t="s">
        <v>124</v>
      </c>
      <c r="N690" s="147" t="s">
        <v>124</v>
      </c>
      <c r="O690" s="147" t="s">
        <v>114</v>
      </c>
      <c r="P690" s="147" t="s">
        <v>130</v>
      </c>
      <c r="Q690" s="148" t="s">
        <v>360</v>
      </c>
      <c r="R690" s="148" t="s">
        <v>132</v>
      </c>
      <c r="S690" s="148" t="s">
        <v>119</v>
      </c>
      <c r="T690" s="148" t="s">
        <v>120</v>
      </c>
      <c r="U690" s="145">
        <f>D690+E690</f>
        <v>105</v>
      </c>
      <c r="V690" s="149"/>
      <c r="W690" s="145">
        <f>D690+E690+F690</f>
        <v>183</v>
      </c>
      <c r="X690" s="149"/>
    </row>
    <row r="691" customHeight="1" spans="1:24">
      <c r="A691" s="153">
        <v>91</v>
      </c>
      <c r="B691" s="143" t="s">
        <v>1010</v>
      </c>
      <c r="C691" s="144">
        <v>1</v>
      </c>
      <c r="D691" s="145">
        <v>62</v>
      </c>
      <c r="E691" s="145">
        <v>66</v>
      </c>
      <c r="F691" s="145">
        <v>86</v>
      </c>
      <c r="G691" s="145">
        <v>70</v>
      </c>
      <c r="H691" s="145">
        <v>60</v>
      </c>
      <c r="I691" s="145">
        <f>SUM(D691:H691)</f>
        <v>344</v>
      </c>
      <c r="J691" s="145">
        <v>104</v>
      </c>
      <c r="K691" s="147" t="s">
        <v>124</v>
      </c>
      <c r="L691" s="147" t="s">
        <v>130</v>
      </c>
      <c r="M691" s="147" t="s">
        <v>124</v>
      </c>
      <c r="N691" s="147" t="s">
        <v>124</v>
      </c>
      <c r="O691" s="147" t="s">
        <v>114</v>
      </c>
      <c r="P691" s="147" t="s">
        <v>114</v>
      </c>
      <c r="Q691" s="148" t="s">
        <v>168</v>
      </c>
      <c r="R691" s="148" t="s">
        <v>175</v>
      </c>
      <c r="S691" s="148" t="s">
        <v>119</v>
      </c>
      <c r="T691" s="148" t="s">
        <v>126</v>
      </c>
      <c r="U691" s="145">
        <f>D691+E691</f>
        <v>128</v>
      </c>
      <c r="V691" s="149"/>
      <c r="W691" s="145">
        <f>D691+E691+F691</f>
        <v>214</v>
      </c>
      <c r="X691" s="149"/>
    </row>
    <row r="692" customHeight="1" spans="1:24">
      <c r="A692" s="153">
        <v>328</v>
      </c>
      <c r="B692" s="156" t="s">
        <v>1011</v>
      </c>
      <c r="C692" s="144">
        <v>9</v>
      </c>
      <c r="D692" s="145">
        <v>78</v>
      </c>
      <c r="E692" s="145">
        <v>88</v>
      </c>
      <c r="F692" s="145">
        <v>80</v>
      </c>
      <c r="G692" s="145">
        <v>61</v>
      </c>
      <c r="H692" s="145">
        <v>60</v>
      </c>
      <c r="I692" s="145">
        <f>SUM(D692:H692)</f>
        <v>367</v>
      </c>
      <c r="J692" s="145">
        <v>29</v>
      </c>
      <c r="K692" s="147" t="s">
        <v>114</v>
      </c>
      <c r="L692" s="147" t="s">
        <v>130</v>
      </c>
      <c r="M692" s="147" t="s">
        <v>114</v>
      </c>
      <c r="N692" s="147" t="s">
        <v>115</v>
      </c>
      <c r="O692" s="147" t="s">
        <v>114</v>
      </c>
      <c r="P692" s="147" t="s">
        <v>124</v>
      </c>
      <c r="Q692" s="148" t="s">
        <v>472</v>
      </c>
      <c r="R692" s="148" t="s">
        <v>119</v>
      </c>
      <c r="S692" s="148" t="s">
        <v>145</v>
      </c>
      <c r="T692" s="148" t="s">
        <v>126</v>
      </c>
      <c r="U692" s="145">
        <f>D692+E692</f>
        <v>166</v>
      </c>
      <c r="V692" s="149"/>
      <c r="W692" s="145">
        <f>D692+E692+F692</f>
        <v>246</v>
      </c>
      <c r="X692" s="149"/>
    </row>
    <row r="693" customHeight="1" spans="1:24">
      <c r="A693" s="153">
        <v>132</v>
      </c>
      <c r="B693" s="154" t="s">
        <v>1012</v>
      </c>
      <c r="C693" s="144">
        <v>46</v>
      </c>
      <c r="D693" s="167">
        <v>108</v>
      </c>
      <c r="E693" s="145">
        <v>74</v>
      </c>
      <c r="F693" s="145">
        <v>86</v>
      </c>
      <c r="G693" s="145">
        <v>44</v>
      </c>
      <c r="H693" s="145">
        <v>60</v>
      </c>
      <c r="I693" s="145">
        <f>SUM(D693:H693)</f>
        <v>372</v>
      </c>
      <c r="J693" s="145">
        <v>80</v>
      </c>
      <c r="K693" s="160" t="s">
        <v>123</v>
      </c>
      <c r="L693" s="160" t="s">
        <v>116</v>
      </c>
      <c r="M693" s="147" t="s">
        <v>115</v>
      </c>
      <c r="N693" s="147" t="s">
        <v>114</v>
      </c>
      <c r="O693" s="147" t="s">
        <v>114</v>
      </c>
      <c r="P693" s="147" t="s">
        <v>114</v>
      </c>
      <c r="Q693" s="158" t="s">
        <v>1013</v>
      </c>
      <c r="R693" s="148" t="s">
        <v>119</v>
      </c>
      <c r="S693" s="148" t="s">
        <v>136</v>
      </c>
      <c r="T693" s="148" t="s">
        <v>120</v>
      </c>
      <c r="U693" s="145">
        <f>D693+E693</f>
        <v>182</v>
      </c>
      <c r="V693" s="172" t="s">
        <v>1014</v>
      </c>
      <c r="W693" s="145">
        <f>D693+E693+F693</f>
        <v>268</v>
      </c>
      <c r="X693" s="149"/>
    </row>
    <row r="694" customHeight="1" spans="1:24">
      <c r="A694" s="153">
        <v>230</v>
      </c>
      <c r="B694" s="154" t="s">
        <v>1015</v>
      </c>
      <c r="C694" s="144">
        <v>18</v>
      </c>
      <c r="D694" s="145">
        <v>91</v>
      </c>
      <c r="E694" s="145">
        <v>76</v>
      </c>
      <c r="F694" s="145">
        <v>90</v>
      </c>
      <c r="G694" s="145">
        <v>68</v>
      </c>
      <c r="H694" s="145">
        <v>60</v>
      </c>
      <c r="I694" s="145">
        <f>SUM(D694:H694)</f>
        <v>385</v>
      </c>
      <c r="J694" s="145">
        <v>26</v>
      </c>
      <c r="K694" s="147" t="s">
        <v>115</v>
      </c>
      <c r="L694" s="147" t="s">
        <v>115</v>
      </c>
      <c r="M694" s="147" t="s">
        <v>114</v>
      </c>
      <c r="N694" s="147" t="s">
        <v>130</v>
      </c>
      <c r="O694" s="147" t="s">
        <v>114</v>
      </c>
      <c r="P694" s="147" t="s">
        <v>114</v>
      </c>
      <c r="Q694" s="148" t="s">
        <v>461</v>
      </c>
      <c r="R694" s="148" t="s">
        <v>175</v>
      </c>
      <c r="S694" s="148" t="s">
        <v>136</v>
      </c>
      <c r="T694" s="148" t="s">
        <v>126</v>
      </c>
      <c r="U694" s="145">
        <f>D694+E694</f>
        <v>167</v>
      </c>
      <c r="V694" s="149"/>
      <c r="W694" s="145">
        <f>D694+E694+F694</f>
        <v>257</v>
      </c>
      <c r="X694" s="149"/>
    </row>
    <row r="695" customHeight="1" spans="1:24">
      <c r="A695" s="153">
        <v>566</v>
      </c>
      <c r="B695" s="154" t="s">
        <v>1016</v>
      </c>
      <c r="C695" s="144">
        <v>16</v>
      </c>
      <c r="D695" s="145">
        <v>85</v>
      </c>
      <c r="E695" s="145">
        <v>95</v>
      </c>
      <c r="F695" s="145">
        <v>61</v>
      </c>
      <c r="G695" s="145">
        <v>50</v>
      </c>
      <c r="H695" s="145">
        <v>59</v>
      </c>
      <c r="I695" s="145">
        <f>SUM(D695:H695)</f>
        <v>350</v>
      </c>
      <c r="J695" s="145">
        <v>34</v>
      </c>
      <c r="K695" s="147" t="s">
        <v>115</v>
      </c>
      <c r="L695" s="147" t="s">
        <v>114</v>
      </c>
      <c r="M695" s="147" t="s">
        <v>130</v>
      </c>
      <c r="N695" s="147" t="s">
        <v>115</v>
      </c>
      <c r="O695" s="147" t="s">
        <v>114</v>
      </c>
      <c r="P695" s="147" t="s">
        <v>124</v>
      </c>
      <c r="Q695" s="148" t="s">
        <v>198</v>
      </c>
      <c r="R695" s="148" t="s">
        <v>118</v>
      </c>
      <c r="S695" s="148" t="s">
        <v>119</v>
      </c>
      <c r="T695" s="148" t="s">
        <v>126</v>
      </c>
      <c r="U695" s="145">
        <f>D695+E695</f>
        <v>180</v>
      </c>
      <c r="V695" s="149"/>
      <c r="W695" s="145">
        <f>D695+E695+F695</f>
        <v>241</v>
      </c>
      <c r="X695" s="149"/>
    </row>
    <row r="696" customHeight="1" spans="1:24">
      <c r="A696" s="153">
        <v>185</v>
      </c>
      <c r="B696" s="154" t="s">
        <v>1017</v>
      </c>
      <c r="C696" s="144">
        <v>9</v>
      </c>
      <c r="D696" s="145">
        <v>73</v>
      </c>
      <c r="E696" s="145">
        <v>91</v>
      </c>
      <c r="F696" s="145">
        <v>47</v>
      </c>
      <c r="G696" s="145">
        <v>47</v>
      </c>
      <c r="H696" s="145">
        <v>58</v>
      </c>
      <c r="I696" s="145">
        <f>SUM(D696:H696)</f>
        <v>316</v>
      </c>
      <c r="J696" s="145">
        <v>72</v>
      </c>
      <c r="K696" s="147" t="s">
        <v>114</v>
      </c>
      <c r="L696" s="147" t="s">
        <v>130</v>
      </c>
      <c r="M696" s="147" t="s">
        <v>114</v>
      </c>
      <c r="N696" s="147" t="s">
        <v>124</v>
      </c>
      <c r="O696" s="147" t="s">
        <v>114</v>
      </c>
      <c r="P696" s="147" t="s">
        <v>130</v>
      </c>
      <c r="Q696" s="148" t="s">
        <v>239</v>
      </c>
      <c r="R696" s="148" t="s">
        <v>132</v>
      </c>
      <c r="S696" s="148" t="s">
        <v>119</v>
      </c>
      <c r="T696" s="148" t="s">
        <v>126</v>
      </c>
      <c r="U696" s="145">
        <f>D696+E696</f>
        <v>164</v>
      </c>
      <c r="V696" s="149"/>
      <c r="W696" s="145">
        <f>D696+E696+F696</f>
        <v>211</v>
      </c>
      <c r="X696" s="149"/>
    </row>
    <row r="697" customHeight="1" spans="1:24">
      <c r="A697" s="153">
        <v>364</v>
      </c>
      <c r="B697" s="154" t="s">
        <v>1018</v>
      </c>
      <c r="C697" s="144">
        <v>5</v>
      </c>
      <c r="D697" s="145">
        <v>77</v>
      </c>
      <c r="E697" s="145">
        <v>86</v>
      </c>
      <c r="F697" s="145">
        <v>64</v>
      </c>
      <c r="G697" s="145">
        <v>58</v>
      </c>
      <c r="H697" s="145">
        <v>58</v>
      </c>
      <c r="I697" s="145">
        <f>SUM(D697:H697)</f>
        <v>343</v>
      </c>
      <c r="J697" s="145">
        <v>76</v>
      </c>
      <c r="K697" s="147" t="s">
        <v>130</v>
      </c>
      <c r="L697" s="147" t="s">
        <v>114</v>
      </c>
      <c r="M697" s="147" t="s">
        <v>114</v>
      </c>
      <c r="N697" s="147" t="s">
        <v>130</v>
      </c>
      <c r="O697" s="147" t="s">
        <v>114</v>
      </c>
      <c r="P697" s="147" t="s">
        <v>124</v>
      </c>
      <c r="Q697" s="148" t="s">
        <v>337</v>
      </c>
      <c r="R697" s="148" t="s">
        <v>118</v>
      </c>
      <c r="S697" s="148" t="s">
        <v>119</v>
      </c>
      <c r="T697" s="148" t="s">
        <v>126</v>
      </c>
      <c r="U697" s="145">
        <f>D697+E697</f>
        <v>163</v>
      </c>
      <c r="V697" s="149"/>
      <c r="W697" s="145">
        <f>D697+E697+F697</f>
        <v>227</v>
      </c>
      <c r="X697" s="149"/>
    </row>
    <row r="698" customHeight="1" spans="1:24">
      <c r="A698" s="153">
        <v>537</v>
      </c>
      <c r="B698" s="154" t="s">
        <v>1019</v>
      </c>
      <c r="C698" s="144">
        <v>16</v>
      </c>
      <c r="D698" s="145">
        <v>90</v>
      </c>
      <c r="E698" s="145">
        <v>83</v>
      </c>
      <c r="F698" s="145">
        <v>89</v>
      </c>
      <c r="G698" s="145">
        <v>64</v>
      </c>
      <c r="H698" s="145">
        <v>58</v>
      </c>
      <c r="I698" s="145">
        <f>SUM(D698:H698)</f>
        <v>384</v>
      </c>
      <c r="J698" s="145">
        <v>130</v>
      </c>
      <c r="K698" s="147" t="s">
        <v>115</v>
      </c>
      <c r="L698" s="147" t="s">
        <v>114</v>
      </c>
      <c r="M698" s="147" t="s">
        <v>114</v>
      </c>
      <c r="N698" s="147" t="s">
        <v>130</v>
      </c>
      <c r="O698" s="147" t="s">
        <v>114</v>
      </c>
      <c r="P698" s="147" t="s">
        <v>130</v>
      </c>
      <c r="Q698" s="158" t="s">
        <v>226</v>
      </c>
      <c r="R698" s="148" t="s">
        <v>275</v>
      </c>
      <c r="S698" s="148" t="s">
        <v>145</v>
      </c>
      <c r="T698" s="148" t="s">
        <v>120</v>
      </c>
      <c r="U698" s="145">
        <f>D698+E698</f>
        <v>173</v>
      </c>
      <c r="V698" s="149"/>
      <c r="W698" s="145">
        <f>D698+E698+F698</f>
        <v>262</v>
      </c>
      <c r="X698" s="149"/>
    </row>
    <row r="699" customHeight="1" spans="1:24">
      <c r="A699" s="153">
        <v>295</v>
      </c>
      <c r="B699" s="154" t="s">
        <v>1020</v>
      </c>
      <c r="C699" s="144">
        <v>5</v>
      </c>
      <c r="D699" s="145">
        <v>80</v>
      </c>
      <c r="E699" s="145">
        <v>73</v>
      </c>
      <c r="F699" s="145">
        <v>89</v>
      </c>
      <c r="G699" s="145">
        <v>71</v>
      </c>
      <c r="H699" s="145">
        <v>57</v>
      </c>
      <c r="I699" s="145">
        <f>SUM(D699:H699)</f>
        <v>370</v>
      </c>
      <c r="J699" s="145">
        <v>139</v>
      </c>
      <c r="K699" s="147" t="s">
        <v>114</v>
      </c>
      <c r="L699" s="147" t="s">
        <v>114</v>
      </c>
      <c r="M699" s="147" t="s">
        <v>114</v>
      </c>
      <c r="N699" s="147" t="s">
        <v>115</v>
      </c>
      <c r="O699" s="147" t="s">
        <v>114</v>
      </c>
      <c r="P699" s="147" t="s">
        <v>124</v>
      </c>
      <c r="Q699" s="148" t="s">
        <v>165</v>
      </c>
      <c r="R699" s="148" t="s">
        <v>175</v>
      </c>
      <c r="S699" s="148" t="s">
        <v>145</v>
      </c>
      <c r="T699" s="148" t="s">
        <v>120</v>
      </c>
      <c r="U699" s="145">
        <f>D699+E699</f>
        <v>153</v>
      </c>
      <c r="V699" s="149"/>
      <c r="W699" s="145">
        <f>D699+E699+F699</f>
        <v>242</v>
      </c>
      <c r="X699" s="149"/>
    </row>
    <row r="700" customHeight="1" spans="1:24">
      <c r="A700" s="153">
        <v>503</v>
      </c>
      <c r="B700" s="154" t="s">
        <v>1021</v>
      </c>
      <c r="C700" s="144">
        <v>4</v>
      </c>
      <c r="D700" s="145">
        <v>76</v>
      </c>
      <c r="E700" s="145">
        <v>59</v>
      </c>
      <c r="F700" s="145">
        <v>70</v>
      </c>
      <c r="G700" s="145">
        <v>57</v>
      </c>
      <c r="H700" s="145">
        <v>56</v>
      </c>
      <c r="I700" s="145">
        <f>SUM(D700:H700)</f>
        <v>318</v>
      </c>
      <c r="J700" s="145">
        <v>40</v>
      </c>
      <c r="K700" s="147" t="s">
        <v>130</v>
      </c>
      <c r="L700" s="147" t="s">
        <v>130</v>
      </c>
      <c r="M700" s="147" t="s">
        <v>114</v>
      </c>
      <c r="N700" s="147" t="s">
        <v>114</v>
      </c>
      <c r="O700" s="147" t="s">
        <v>114</v>
      </c>
      <c r="P700" s="147" t="s">
        <v>124</v>
      </c>
      <c r="Q700" s="148" t="s">
        <v>856</v>
      </c>
      <c r="R700" s="148" t="s">
        <v>132</v>
      </c>
      <c r="S700" s="148" t="s">
        <v>119</v>
      </c>
      <c r="T700" s="148" t="s">
        <v>126</v>
      </c>
      <c r="U700" s="145">
        <f>D700+E700</f>
        <v>135</v>
      </c>
      <c r="V700" s="149"/>
      <c r="W700" s="145">
        <f>D700+E700+F700</f>
        <v>205</v>
      </c>
      <c r="X700" s="149"/>
    </row>
    <row r="701" customHeight="1" spans="1:24">
      <c r="A701" s="153">
        <v>312</v>
      </c>
      <c r="B701" s="154" t="s">
        <v>1022</v>
      </c>
      <c r="C701" s="144">
        <v>11</v>
      </c>
      <c r="D701" s="145">
        <v>81</v>
      </c>
      <c r="E701" s="145">
        <v>87</v>
      </c>
      <c r="F701" s="145">
        <v>51</v>
      </c>
      <c r="G701" s="145">
        <v>53</v>
      </c>
      <c r="H701" s="145">
        <v>56</v>
      </c>
      <c r="I701" s="145">
        <f>SUM(D701:H701)</f>
        <v>328</v>
      </c>
      <c r="J701" s="145">
        <v>132</v>
      </c>
      <c r="K701" s="147" t="s">
        <v>114</v>
      </c>
      <c r="L701" s="147" t="s">
        <v>114</v>
      </c>
      <c r="M701" s="147" t="s">
        <v>130</v>
      </c>
      <c r="N701" s="147" t="s">
        <v>115</v>
      </c>
      <c r="O701" s="147" t="s">
        <v>114</v>
      </c>
      <c r="P701" s="147" t="s">
        <v>124</v>
      </c>
      <c r="Q701" s="148" t="s">
        <v>577</v>
      </c>
      <c r="R701" s="148" t="s">
        <v>119</v>
      </c>
      <c r="S701" s="148" t="s">
        <v>136</v>
      </c>
      <c r="T701" s="148" t="s">
        <v>120</v>
      </c>
      <c r="U701" s="145">
        <f>D701+E701</f>
        <v>168</v>
      </c>
      <c r="V701" s="149"/>
      <c r="W701" s="145">
        <f>D701+E701+F701</f>
        <v>219</v>
      </c>
      <c r="X701" s="149"/>
    </row>
    <row r="702" customHeight="1" spans="1:24">
      <c r="A702" s="153">
        <v>444</v>
      </c>
      <c r="B702" s="154" t="s">
        <v>1023</v>
      </c>
      <c r="C702" s="144">
        <v>15</v>
      </c>
      <c r="D702" s="145">
        <v>78</v>
      </c>
      <c r="E702" s="145">
        <v>90</v>
      </c>
      <c r="F702" s="145">
        <v>55</v>
      </c>
      <c r="G702" s="145">
        <v>51</v>
      </c>
      <c r="H702" s="145">
        <v>55</v>
      </c>
      <c r="I702" s="145">
        <f>SUM(D702:H702)</f>
        <v>329</v>
      </c>
      <c r="J702" s="145">
        <v>11</v>
      </c>
      <c r="K702" s="147" t="s">
        <v>130</v>
      </c>
      <c r="L702" s="147" t="s">
        <v>115</v>
      </c>
      <c r="M702" s="147" t="s">
        <v>130</v>
      </c>
      <c r="N702" s="147" t="s">
        <v>114</v>
      </c>
      <c r="O702" s="147" t="s">
        <v>114</v>
      </c>
      <c r="P702" s="147" t="s">
        <v>130</v>
      </c>
      <c r="Q702" s="158" t="s">
        <v>505</v>
      </c>
      <c r="R702" s="148" t="s">
        <v>132</v>
      </c>
      <c r="S702" s="148" t="s">
        <v>119</v>
      </c>
      <c r="T702" s="148" t="s">
        <v>250</v>
      </c>
      <c r="U702" s="145">
        <f>D702+E702</f>
        <v>168</v>
      </c>
      <c r="V702" s="148" t="s">
        <v>506</v>
      </c>
      <c r="W702" s="145">
        <f>D702+E702+F702</f>
        <v>223</v>
      </c>
      <c r="X702" s="149"/>
    </row>
    <row r="703" customHeight="1" spans="1:24">
      <c r="A703" s="153">
        <v>263</v>
      </c>
      <c r="B703" s="154" t="s">
        <v>1024</v>
      </c>
      <c r="C703" s="144">
        <v>1</v>
      </c>
      <c r="D703" s="145">
        <v>70</v>
      </c>
      <c r="E703" s="145">
        <v>52</v>
      </c>
      <c r="F703" s="145">
        <v>80</v>
      </c>
      <c r="G703" s="145">
        <v>74</v>
      </c>
      <c r="H703" s="145">
        <v>55</v>
      </c>
      <c r="I703" s="145">
        <f>SUM(D703:H703)</f>
        <v>331</v>
      </c>
      <c r="J703" s="145">
        <v>22</v>
      </c>
      <c r="K703" s="147" t="s">
        <v>130</v>
      </c>
      <c r="L703" s="147" t="s">
        <v>130</v>
      </c>
      <c r="M703" s="147" t="s">
        <v>114</v>
      </c>
      <c r="N703" s="147" t="s">
        <v>124</v>
      </c>
      <c r="O703" s="147" t="s">
        <v>114</v>
      </c>
      <c r="P703" s="147" t="s">
        <v>124</v>
      </c>
      <c r="Q703" s="148" t="s">
        <v>205</v>
      </c>
      <c r="R703" s="148" t="s">
        <v>175</v>
      </c>
      <c r="S703" s="148" t="s">
        <v>145</v>
      </c>
      <c r="T703" s="148" t="s">
        <v>250</v>
      </c>
      <c r="U703" s="145">
        <f>D703+E703</f>
        <v>122</v>
      </c>
      <c r="V703" s="149"/>
      <c r="W703" s="145">
        <f>D703+E703+F703</f>
        <v>202</v>
      </c>
      <c r="X703" s="252"/>
    </row>
    <row r="704" customHeight="1" spans="1:24">
      <c r="A704" s="153">
        <v>82</v>
      </c>
      <c r="B704" s="154" t="s">
        <v>1025</v>
      </c>
      <c r="C704" s="144">
        <v>6</v>
      </c>
      <c r="D704" s="145">
        <v>81</v>
      </c>
      <c r="E704" s="145">
        <v>75</v>
      </c>
      <c r="F704" s="145">
        <v>49</v>
      </c>
      <c r="G704" s="145">
        <v>52</v>
      </c>
      <c r="H704" s="145">
        <v>54</v>
      </c>
      <c r="I704" s="145">
        <f>SUM(D704:H704)</f>
        <v>311</v>
      </c>
      <c r="J704" s="145">
        <v>146</v>
      </c>
      <c r="K704" s="147" t="s">
        <v>114</v>
      </c>
      <c r="L704" s="147" t="s">
        <v>114</v>
      </c>
      <c r="M704" s="147" t="s">
        <v>130</v>
      </c>
      <c r="N704" s="147" t="s">
        <v>114</v>
      </c>
      <c r="O704" s="147" t="s">
        <v>114</v>
      </c>
      <c r="P704" s="147" t="s">
        <v>130</v>
      </c>
      <c r="Q704" s="148" t="s">
        <v>194</v>
      </c>
      <c r="R704" s="148" t="s">
        <v>119</v>
      </c>
      <c r="S704" s="148" t="s">
        <v>145</v>
      </c>
      <c r="T704" s="148" t="s">
        <v>126</v>
      </c>
      <c r="U704" s="145">
        <f>D704+E704</f>
        <v>156</v>
      </c>
      <c r="V704" s="149"/>
      <c r="W704" s="145">
        <f>D704+E704+F704</f>
        <v>205</v>
      </c>
      <c r="X704" s="149"/>
    </row>
    <row r="705" customHeight="1" spans="1:24">
      <c r="A705" s="153">
        <v>279</v>
      </c>
      <c r="B705" s="156" t="s">
        <v>1026</v>
      </c>
      <c r="C705" s="144">
        <v>31</v>
      </c>
      <c r="D705" s="145">
        <v>83</v>
      </c>
      <c r="E705" s="145">
        <v>97</v>
      </c>
      <c r="F705" s="145">
        <v>91</v>
      </c>
      <c r="G705" s="145">
        <v>82</v>
      </c>
      <c r="H705" s="145">
        <v>54</v>
      </c>
      <c r="I705" s="145">
        <f>SUM(D705:H705)</f>
        <v>407</v>
      </c>
      <c r="J705" s="145">
        <v>140</v>
      </c>
      <c r="K705" s="160" t="s">
        <v>123</v>
      </c>
      <c r="L705" s="147" t="s">
        <v>115</v>
      </c>
      <c r="M705" s="147" t="s">
        <v>115</v>
      </c>
      <c r="N705" s="147" t="s">
        <v>114</v>
      </c>
      <c r="O705" s="147" t="s">
        <v>114</v>
      </c>
      <c r="P705" s="147" t="s">
        <v>114</v>
      </c>
      <c r="Q705" s="148" t="s">
        <v>461</v>
      </c>
      <c r="R705" s="148" t="s">
        <v>175</v>
      </c>
      <c r="S705" s="148" t="s">
        <v>145</v>
      </c>
      <c r="T705" s="148" t="s">
        <v>148</v>
      </c>
      <c r="U705" s="145">
        <f>D705+E705</f>
        <v>180</v>
      </c>
      <c r="V705" s="149"/>
      <c r="W705" s="145">
        <f>D705+E705+F705</f>
        <v>271</v>
      </c>
      <c r="X705" s="149"/>
    </row>
    <row r="706" customHeight="1" spans="1:24">
      <c r="A706" s="153">
        <v>114</v>
      </c>
      <c r="B706" s="154" t="s">
        <v>1027</v>
      </c>
      <c r="C706" s="144">
        <v>23</v>
      </c>
      <c r="D706" s="145">
        <v>92</v>
      </c>
      <c r="E706" s="145">
        <v>88</v>
      </c>
      <c r="F706" s="145">
        <v>84</v>
      </c>
      <c r="G706" s="145">
        <v>90</v>
      </c>
      <c r="H706" s="145">
        <v>54</v>
      </c>
      <c r="I706" s="145">
        <f>SUM(D706:H706)</f>
        <v>408</v>
      </c>
      <c r="J706" s="145">
        <v>16</v>
      </c>
      <c r="K706" s="147" t="s">
        <v>115</v>
      </c>
      <c r="L706" s="147" t="s">
        <v>115</v>
      </c>
      <c r="M706" s="147" t="s">
        <v>114</v>
      </c>
      <c r="N706" s="147" t="s">
        <v>130</v>
      </c>
      <c r="O706" s="147" t="s">
        <v>114</v>
      </c>
      <c r="P706" s="147" t="s">
        <v>114</v>
      </c>
      <c r="Q706" s="148" t="s">
        <v>411</v>
      </c>
      <c r="R706" s="148" t="s">
        <v>132</v>
      </c>
      <c r="S706" s="148" t="s">
        <v>136</v>
      </c>
      <c r="T706" s="148" t="s">
        <v>126</v>
      </c>
      <c r="U706" s="145">
        <f>D706+E706</f>
        <v>180</v>
      </c>
      <c r="V706" s="149"/>
      <c r="W706" s="145">
        <f>D706+E706+F706</f>
        <v>264</v>
      </c>
      <c r="X706" s="149"/>
    </row>
    <row r="707" customHeight="1" spans="1:24">
      <c r="A707" s="153">
        <v>147</v>
      </c>
      <c r="B707" s="154" t="s">
        <v>1028</v>
      </c>
      <c r="C707" s="144">
        <v>12</v>
      </c>
      <c r="D707" s="145">
        <v>81</v>
      </c>
      <c r="E707" s="145">
        <v>86</v>
      </c>
      <c r="F707" s="145">
        <v>45</v>
      </c>
      <c r="G707" s="145">
        <v>52</v>
      </c>
      <c r="H707" s="145">
        <v>53</v>
      </c>
      <c r="I707" s="145">
        <f>SUM(D707:H707)</f>
        <v>317</v>
      </c>
      <c r="J707" s="145">
        <v>74</v>
      </c>
      <c r="K707" s="147" t="s">
        <v>130</v>
      </c>
      <c r="L707" s="147" t="s">
        <v>130</v>
      </c>
      <c r="M707" s="147" t="s">
        <v>130</v>
      </c>
      <c r="N707" s="147" t="s">
        <v>115</v>
      </c>
      <c r="O707" s="147" t="s">
        <v>114</v>
      </c>
      <c r="P707" s="147" t="s">
        <v>124</v>
      </c>
      <c r="Q707" s="148" t="s">
        <v>228</v>
      </c>
      <c r="R707" s="148" t="s">
        <v>132</v>
      </c>
      <c r="S707" s="148" t="s">
        <v>119</v>
      </c>
      <c r="T707" s="148" t="s">
        <v>126</v>
      </c>
      <c r="U707" s="145">
        <f>D707+E707</f>
        <v>167</v>
      </c>
      <c r="V707" s="149"/>
      <c r="W707" s="145">
        <f>D707+E707+F707</f>
        <v>212</v>
      </c>
      <c r="X707" s="149"/>
    </row>
    <row r="708" customHeight="1" spans="1:24">
      <c r="A708" s="153">
        <v>634</v>
      </c>
      <c r="B708" s="154" t="s">
        <v>1029</v>
      </c>
      <c r="C708" s="144">
        <v>12</v>
      </c>
      <c r="D708" s="145">
        <v>51</v>
      </c>
      <c r="E708" s="145">
        <v>55</v>
      </c>
      <c r="F708" s="145">
        <v>89</v>
      </c>
      <c r="G708" s="145">
        <v>75</v>
      </c>
      <c r="H708" s="145">
        <v>53</v>
      </c>
      <c r="I708" s="145">
        <f>SUM(D708:H708)</f>
        <v>323</v>
      </c>
      <c r="J708" s="145">
        <v>58</v>
      </c>
      <c r="K708" s="147" t="s">
        <v>124</v>
      </c>
      <c r="L708" s="147" t="s">
        <v>130</v>
      </c>
      <c r="M708" s="147" t="s">
        <v>130</v>
      </c>
      <c r="N708" s="147" t="s">
        <v>124</v>
      </c>
      <c r="O708" s="147" t="s">
        <v>114</v>
      </c>
      <c r="P708" s="147" t="s">
        <v>124</v>
      </c>
      <c r="Q708" s="148" t="s">
        <v>263</v>
      </c>
      <c r="R708" s="148" t="s">
        <v>118</v>
      </c>
      <c r="S708" s="148" t="s">
        <v>119</v>
      </c>
      <c r="T708" s="148" t="s">
        <v>126</v>
      </c>
      <c r="U708" s="145">
        <f>D708+E708</f>
        <v>106</v>
      </c>
      <c r="V708" s="149"/>
      <c r="W708" s="145">
        <f>D708+E708+F708</f>
        <v>195</v>
      </c>
      <c r="X708" s="149"/>
    </row>
    <row r="709" customHeight="1" spans="1:24">
      <c r="A709" s="153">
        <v>553</v>
      </c>
      <c r="B709" s="154" t="s">
        <v>1030</v>
      </c>
      <c r="C709" s="144">
        <v>25</v>
      </c>
      <c r="D709" s="145">
        <v>96</v>
      </c>
      <c r="E709" s="145">
        <v>85</v>
      </c>
      <c r="F709" s="145">
        <v>54</v>
      </c>
      <c r="G709" s="145">
        <v>30</v>
      </c>
      <c r="H709" s="145">
        <v>52</v>
      </c>
      <c r="I709" s="145">
        <f>SUM(D709:H709)</f>
        <v>317</v>
      </c>
      <c r="J709" s="145">
        <v>35</v>
      </c>
      <c r="K709" s="147" t="s">
        <v>115</v>
      </c>
      <c r="L709" s="147" t="s">
        <v>114</v>
      </c>
      <c r="M709" s="147" t="s">
        <v>114</v>
      </c>
      <c r="N709" s="147" t="s">
        <v>115</v>
      </c>
      <c r="O709" s="147" t="s">
        <v>114</v>
      </c>
      <c r="P709" s="147" t="s">
        <v>130</v>
      </c>
      <c r="Q709" s="148" t="s">
        <v>184</v>
      </c>
      <c r="R709" s="148" t="s">
        <v>119</v>
      </c>
      <c r="S709" s="148" t="s">
        <v>119</v>
      </c>
      <c r="T709" s="148" t="s">
        <v>250</v>
      </c>
      <c r="U709" s="145">
        <f>D709+E709</f>
        <v>181</v>
      </c>
      <c r="V709" s="149"/>
      <c r="W709" s="145">
        <f>D709+E709+F709</f>
        <v>235</v>
      </c>
      <c r="X709" s="149"/>
    </row>
    <row r="710" customHeight="1" spans="1:24">
      <c r="A710" s="153">
        <v>286</v>
      </c>
      <c r="B710" s="154" t="s">
        <v>1031</v>
      </c>
      <c r="C710" s="144">
        <v>4</v>
      </c>
      <c r="D710" s="145">
        <v>72</v>
      </c>
      <c r="E710" s="145">
        <v>62</v>
      </c>
      <c r="F710" s="145">
        <v>89</v>
      </c>
      <c r="G710" s="145">
        <v>71</v>
      </c>
      <c r="H710" s="145">
        <v>52</v>
      </c>
      <c r="I710" s="145">
        <f>SUM(D710:H710)</f>
        <v>346</v>
      </c>
      <c r="J710" s="145">
        <v>135</v>
      </c>
      <c r="K710" s="147" t="s">
        <v>114</v>
      </c>
      <c r="L710" s="147" t="s">
        <v>130</v>
      </c>
      <c r="M710" s="147" t="s">
        <v>130</v>
      </c>
      <c r="N710" s="147" t="s">
        <v>114</v>
      </c>
      <c r="O710" s="147" t="s">
        <v>114</v>
      </c>
      <c r="P710" s="147" t="s">
        <v>124</v>
      </c>
      <c r="Q710" s="148" t="s">
        <v>499</v>
      </c>
      <c r="R710" s="148" t="s">
        <v>175</v>
      </c>
      <c r="S710" s="148" t="s">
        <v>145</v>
      </c>
      <c r="T710" s="148" t="s">
        <v>120</v>
      </c>
      <c r="U710" s="145">
        <f>D710+E710</f>
        <v>134</v>
      </c>
      <c r="V710" s="149"/>
      <c r="W710" s="145">
        <f>D710+E710+F710</f>
        <v>223</v>
      </c>
      <c r="X710" s="149"/>
    </row>
    <row r="711" customHeight="1" spans="1:24">
      <c r="A711" s="153">
        <v>41</v>
      </c>
      <c r="B711" s="154" t="s">
        <v>1032</v>
      </c>
      <c r="C711" s="144">
        <v>3</v>
      </c>
      <c r="D711" s="145">
        <v>76</v>
      </c>
      <c r="E711" s="145">
        <v>74</v>
      </c>
      <c r="F711" s="145">
        <v>58</v>
      </c>
      <c r="G711" s="145">
        <v>60</v>
      </c>
      <c r="H711" s="145">
        <v>51</v>
      </c>
      <c r="I711" s="145">
        <f>SUM(D711:H711)</f>
        <v>319</v>
      </c>
      <c r="J711" s="145">
        <v>16</v>
      </c>
      <c r="K711" s="147" t="s">
        <v>114</v>
      </c>
      <c r="L711" s="147" t="s">
        <v>115</v>
      </c>
      <c r="M711" s="147" t="s">
        <v>114</v>
      </c>
      <c r="N711" s="147" t="s">
        <v>124</v>
      </c>
      <c r="O711" s="147" t="s">
        <v>114</v>
      </c>
      <c r="P711" s="147" t="s">
        <v>124</v>
      </c>
      <c r="Q711" s="149"/>
      <c r="R711" s="148" t="s">
        <v>119</v>
      </c>
      <c r="S711" s="148" t="s">
        <v>136</v>
      </c>
      <c r="T711" s="148" t="s">
        <v>250</v>
      </c>
      <c r="U711" s="145">
        <f>D711+E711</f>
        <v>150</v>
      </c>
      <c r="V711" s="149"/>
      <c r="W711" s="145">
        <f>D711+E711+F711</f>
        <v>208</v>
      </c>
      <c r="X711" s="149"/>
    </row>
    <row r="712" customHeight="1" spans="1:24">
      <c r="A712" s="153">
        <v>324</v>
      </c>
      <c r="B712" s="154" t="s">
        <v>1033</v>
      </c>
      <c r="C712" s="144">
        <v>14</v>
      </c>
      <c r="D712" s="145">
        <v>89</v>
      </c>
      <c r="E712" s="145">
        <v>60</v>
      </c>
      <c r="F712" s="145">
        <v>77</v>
      </c>
      <c r="G712" s="145">
        <v>59</v>
      </c>
      <c r="H712" s="145">
        <v>51</v>
      </c>
      <c r="I712" s="145">
        <f>SUM(D712:H712)</f>
        <v>336</v>
      </c>
      <c r="J712" s="145">
        <v>61</v>
      </c>
      <c r="K712" s="147" t="s">
        <v>115</v>
      </c>
      <c r="L712" s="147" t="s">
        <v>114</v>
      </c>
      <c r="M712" s="147" t="s">
        <v>130</v>
      </c>
      <c r="N712" s="147" t="s">
        <v>130</v>
      </c>
      <c r="O712" s="147" t="s">
        <v>114</v>
      </c>
      <c r="P712" s="147" t="s">
        <v>115</v>
      </c>
      <c r="Q712" s="158" t="s">
        <v>178</v>
      </c>
      <c r="R712" s="148" t="s">
        <v>132</v>
      </c>
      <c r="S712" s="148" t="s">
        <v>119</v>
      </c>
      <c r="T712" s="148" t="s">
        <v>126</v>
      </c>
      <c r="U712" s="145">
        <f>D712+E712</f>
        <v>149</v>
      </c>
      <c r="V712" s="148" t="s">
        <v>179</v>
      </c>
      <c r="W712" s="145">
        <f>D712+E712+F712</f>
        <v>226</v>
      </c>
      <c r="X712" s="149"/>
    </row>
    <row r="713" customHeight="1" spans="1:24">
      <c r="A713" s="153">
        <v>247</v>
      </c>
      <c r="B713" s="154" t="s">
        <v>1034</v>
      </c>
      <c r="C713" s="144">
        <v>12</v>
      </c>
      <c r="D713" s="145">
        <v>79</v>
      </c>
      <c r="E713" s="145">
        <v>94</v>
      </c>
      <c r="F713" s="145">
        <v>54</v>
      </c>
      <c r="G713" s="145">
        <v>59</v>
      </c>
      <c r="H713" s="145">
        <v>51</v>
      </c>
      <c r="I713" s="145">
        <f>SUM(D713:H713)</f>
        <v>337</v>
      </c>
      <c r="J713" s="145">
        <v>141</v>
      </c>
      <c r="K713" s="147" t="s">
        <v>130</v>
      </c>
      <c r="L713" s="147" t="s">
        <v>130</v>
      </c>
      <c r="M713" s="147" t="s">
        <v>115</v>
      </c>
      <c r="N713" s="147" t="s">
        <v>114</v>
      </c>
      <c r="O713" s="147" t="s">
        <v>114</v>
      </c>
      <c r="P713" s="147" t="s">
        <v>124</v>
      </c>
      <c r="Q713" s="148" t="s">
        <v>266</v>
      </c>
      <c r="R713" s="148" t="s">
        <v>119</v>
      </c>
      <c r="S713" s="148" t="s">
        <v>136</v>
      </c>
      <c r="T713" s="148" t="s">
        <v>250</v>
      </c>
      <c r="U713" s="145">
        <f>D713+E713</f>
        <v>173</v>
      </c>
      <c r="V713" s="149"/>
      <c r="W713" s="145">
        <f>D713+E713+F713</f>
        <v>227</v>
      </c>
      <c r="X713" s="149"/>
    </row>
    <row r="714" customHeight="1" spans="1:24">
      <c r="A714" s="153">
        <v>118</v>
      </c>
      <c r="B714" s="154" t="s">
        <v>1035</v>
      </c>
      <c r="C714" s="144">
        <v>8</v>
      </c>
      <c r="D714" s="145">
        <v>75</v>
      </c>
      <c r="E714" s="145">
        <v>92</v>
      </c>
      <c r="F714" s="145">
        <v>58</v>
      </c>
      <c r="G714" s="145">
        <v>32</v>
      </c>
      <c r="H714" s="145">
        <v>50</v>
      </c>
      <c r="I714" s="145">
        <f>SUM(D714:H714)</f>
        <v>307</v>
      </c>
      <c r="J714" s="145">
        <v>129</v>
      </c>
      <c r="K714" s="147" t="s">
        <v>114</v>
      </c>
      <c r="L714" s="147" t="s">
        <v>130</v>
      </c>
      <c r="M714" s="147" t="s">
        <v>130</v>
      </c>
      <c r="N714" s="147" t="s">
        <v>130</v>
      </c>
      <c r="O714" s="147" t="s">
        <v>114</v>
      </c>
      <c r="P714" s="147" t="s">
        <v>115</v>
      </c>
      <c r="Q714" s="148" t="s">
        <v>776</v>
      </c>
      <c r="R714" s="148" t="s">
        <v>119</v>
      </c>
      <c r="S714" s="148" t="s">
        <v>119</v>
      </c>
      <c r="T714" s="148" t="s">
        <v>126</v>
      </c>
      <c r="U714" s="145">
        <f>D714+E714</f>
        <v>167</v>
      </c>
      <c r="V714" s="149"/>
      <c r="W714" s="145">
        <f>D714+E714+F714</f>
        <v>225</v>
      </c>
      <c r="X714" s="149"/>
    </row>
    <row r="715" customHeight="1" spans="1:24">
      <c r="A715" s="153">
        <v>151</v>
      </c>
      <c r="B715" s="154" t="s">
        <v>1036</v>
      </c>
      <c r="C715" s="144">
        <v>13</v>
      </c>
      <c r="D715" s="145">
        <v>94</v>
      </c>
      <c r="E715" s="145">
        <v>69</v>
      </c>
      <c r="F715" s="145">
        <v>61</v>
      </c>
      <c r="G715" s="145">
        <v>39</v>
      </c>
      <c r="H715" s="145">
        <v>50</v>
      </c>
      <c r="I715" s="145">
        <f>SUM(D715:H715)</f>
        <v>313</v>
      </c>
      <c r="J715" s="145">
        <v>74</v>
      </c>
      <c r="K715" s="147" t="s">
        <v>114</v>
      </c>
      <c r="L715" s="147" t="s">
        <v>115</v>
      </c>
      <c r="M715" s="147" t="s">
        <v>115</v>
      </c>
      <c r="N715" s="147" t="s">
        <v>114</v>
      </c>
      <c r="O715" s="147" t="s">
        <v>114</v>
      </c>
      <c r="P715" s="147" t="s">
        <v>130</v>
      </c>
      <c r="Q715" s="148" t="s">
        <v>856</v>
      </c>
      <c r="R715" s="148" t="s">
        <v>132</v>
      </c>
      <c r="S715" s="148" t="s">
        <v>119</v>
      </c>
      <c r="T715" s="148" t="s">
        <v>126</v>
      </c>
      <c r="U715" s="145">
        <f>D715+E715</f>
        <v>163</v>
      </c>
      <c r="V715" s="149"/>
      <c r="W715" s="145">
        <f>D715+E715+F715</f>
        <v>224</v>
      </c>
      <c r="X715" s="149"/>
    </row>
    <row r="716" customHeight="1" spans="1:24">
      <c r="A716" s="153">
        <v>645</v>
      </c>
      <c r="B716" s="154" t="s">
        <v>1037</v>
      </c>
      <c r="C716" s="144">
        <v>6</v>
      </c>
      <c r="D716" s="145">
        <v>83</v>
      </c>
      <c r="E716" s="145">
        <v>70</v>
      </c>
      <c r="F716" s="145">
        <v>83</v>
      </c>
      <c r="G716" s="145">
        <v>59</v>
      </c>
      <c r="H716" s="145">
        <v>47</v>
      </c>
      <c r="I716" s="145">
        <f>SUM(D716:H716)</f>
        <v>342</v>
      </c>
      <c r="J716" s="145">
        <v>62</v>
      </c>
      <c r="K716" s="147" t="s">
        <v>114</v>
      </c>
      <c r="L716" s="147" t="s">
        <v>114</v>
      </c>
      <c r="M716" s="147" t="s">
        <v>130</v>
      </c>
      <c r="N716" s="147" t="s">
        <v>115</v>
      </c>
      <c r="O716" s="147" t="s">
        <v>114</v>
      </c>
      <c r="P716" s="147" t="s">
        <v>124</v>
      </c>
      <c r="Q716" s="148" t="s">
        <v>550</v>
      </c>
      <c r="R716" s="148" t="s">
        <v>132</v>
      </c>
      <c r="S716" s="148" t="s">
        <v>136</v>
      </c>
      <c r="T716" s="148" t="s">
        <v>120</v>
      </c>
      <c r="U716" s="145">
        <f>D716+E716</f>
        <v>153</v>
      </c>
      <c r="V716" s="149"/>
      <c r="W716" s="145">
        <f>D716+E716+F716</f>
        <v>236</v>
      </c>
      <c r="X716" s="149"/>
    </row>
    <row r="717" customHeight="1" spans="1:24">
      <c r="A717" s="153">
        <v>366</v>
      </c>
      <c r="B717" s="154" t="s">
        <v>1038</v>
      </c>
      <c r="C717" s="144">
        <v>6</v>
      </c>
      <c r="D717" s="145">
        <v>85</v>
      </c>
      <c r="E717" s="145">
        <v>44</v>
      </c>
      <c r="F717" s="145">
        <v>70</v>
      </c>
      <c r="G717" s="145">
        <v>41</v>
      </c>
      <c r="H717" s="145">
        <v>46</v>
      </c>
      <c r="I717" s="145">
        <f>SUM(D717:H717)</f>
        <v>286</v>
      </c>
      <c r="J717" s="145">
        <v>77</v>
      </c>
      <c r="K717" s="147" t="s">
        <v>130</v>
      </c>
      <c r="L717" s="147" t="s">
        <v>114</v>
      </c>
      <c r="M717" s="147" t="s">
        <v>115</v>
      </c>
      <c r="N717" s="147" t="s">
        <v>130</v>
      </c>
      <c r="O717" s="147" t="s">
        <v>114</v>
      </c>
      <c r="P717" s="147" t="s">
        <v>115</v>
      </c>
      <c r="Q717" s="148" t="s">
        <v>194</v>
      </c>
      <c r="R717" s="148" t="s">
        <v>119</v>
      </c>
      <c r="S717" s="148" t="s">
        <v>119</v>
      </c>
      <c r="T717" s="148" t="s">
        <v>120</v>
      </c>
      <c r="U717" s="145">
        <f>D717+E717</f>
        <v>129</v>
      </c>
      <c r="V717" s="149"/>
      <c r="W717" s="145">
        <f>D717+E717+F717</f>
        <v>199</v>
      </c>
      <c r="X717" s="149"/>
    </row>
    <row r="718" customHeight="1" spans="1:24">
      <c r="A718" s="153">
        <v>556</v>
      </c>
      <c r="B718" s="154" t="s">
        <v>1039</v>
      </c>
      <c r="C718" s="144">
        <v>2</v>
      </c>
      <c r="D718" s="145">
        <v>55</v>
      </c>
      <c r="E718" s="145">
        <v>47</v>
      </c>
      <c r="F718" s="145">
        <v>88</v>
      </c>
      <c r="G718" s="145">
        <v>67</v>
      </c>
      <c r="H718" s="145">
        <v>44</v>
      </c>
      <c r="I718" s="145">
        <f>SUM(D718:H718)</f>
        <v>301</v>
      </c>
      <c r="J718" s="145">
        <v>73</v>
      </c>
      <c r="K718" s="147" t="s">
        <v>130</v>
      </c>
      <c r="L718" s="147" t="s">
        <v>130</v>
      </c>
      <c r="M718" s="147" t="s">
        <v>124</v>
      </c>
      <c r="N718" s="147" t="s">
        <v>124</v>
      </c>
      <c r="O718" s="147" t="s">
        <v>114</v>
      </c>
      <c r="P718" s="147" t="s">
        <v>124</v>
      </c>
      <c r="Q718" s="148" t="s">
        <v>217</v>
      </c>
      <c r="R718" s="148" t="s">
        <v>119</v>
      </c>
      <c r="S718" s="148" t="s">
        <v>119</v>
      </c>
      <c r="T718" s="148" t="s">
        <v>120</v>
      </c>
      <c r="U718" s="145">
        <f>D718+E718</f>
        <v>102</v>
      </c>
      <c r="V718" s="149"/>
      <c r="W718" s="145">
        <f>D718+E718+F718</f>
        <v>190</v>
      </c>
      <c r="X718" s="149"/>
    </row>
    <row r="719" customHeight="1" spans="1:24">
      <c r="A719" s="153">
        <v>217</v>
      </c>
      <c r="B719" s="154" t="s">
        <v>1040</v>
      </c>
      <c r="C719" s="144">
        <v>25</v>
      </c>
      <c r="D719" s="145">
        <v>90</v>
      </c>
      <c r="E719" s="145">
        <v>95</v>
      </c>
      <c r="F719" s="145">
        <v>50</v>
      </c>
      <c r="G719" s="145">
        <v>40</v>
      </c>
      <c r="H719" s="145">
        <v>44</v>
      </c>
      <c r="I719" s="145">
        <f>SUM(D719:H719)</f>
        <v>319</v>
      </c>
      <c r="J719" s="145">
        <v>92</v>
      </c>
      <c r="K719" s="147" t="s">
        <v>114</v>
      </c>
      <c r="L719" s="147" t="s">
        <v>130</v>
      </c>
      <c r="M719" s="147" t="s">
        <v>115</v>
      </c>
      <c r="N719" s="147" t="s">
        <v>114</v>
      </c>
      <c r="O719" s="147" t="s">
        <v>114</v>
      </c>
      <c r="P719" s="147" t="s">
        <v>115</v>
      </c>
      <c r="Q719" s="158" t="s">
        <v>431</v>
      </c>
      <c r="R719" s="148" t="s">
        <v>119</v>
      </c>
      <c r="S719" s="148" t="s">
        <v>119</v>
      </c>
      <c r="T719" s="148" t="s">
        <v>250</v>
      </c>
      <c r="U719" s="145">
        <f>D719+E719</f>
        <v>185</v>
      </c>
      <c r="V719" s="172" t="s">
        <v>1041</v>
      </c>
      <c r="W719" s="145">
        <f>D719+E719+F719</f>
        <v>235</v>
      </c>
      <c r="X719" s="149"/>
    </row>
    <row r="720" customHeight="1" spans="1:24">
      <c r="A720" s="153">
        <v>502</v>
      </c>
      <c r="B720" s="154" t="s">
        <v>1042</v>
      </c>
      <c r="C720" s="144">
        <v>12</v>
      </c>
      <c r="D720" s="145">
        <v>83</v>
      </c>
      <c r="E720" s="145">
        <v>83</v>
      </c>
      <c r="F720" s="145">
        <v>49</v>
      </c>
      <c r="G720" s="145">
        <v>31</v>
      </c>
      <c r="H720" s="145">
        <v>43</v>
      </c>
      <c r="I720" s="145">
        <f>SUM(D720:H720)</f>
        <v>289</v>
      </c>
      <c r="J720" s="145">
        <v>40</v>
      </c>
      <c r="K720" s="147" t="s">
        <v>114</v>
      </c>
      <c r="L720" s="147" t="s">
        <v>130</v>
      </c>
      <c r="M720" s="147" t="s">
        <v>114</v>
      </c>
      <c r="N720" s="147" t="s">
        <v>114</v>
      </c>
      <c r="O720" s="147" t="s">
        <v>114</v>
      </c>
      <c r="P720" s="147" t="s">
        <v>124</v>
      </c>
      <c r="Q720" s="158" t="s">
        <v>232</v>
      </c>
      <c r="R720" s="148" t="s">
        <v>132</v>
      </c>
      <c r="S720" s="148" t="s">
        <v>119</v>
      </c>
      <c r="T720" s="148" t="s">
        <v>250</v>
      </c>
      <c r="U720" s="145">
        <f>D720+E720</f>
        <v>166</v>
      </c>
      <c r="V720" s="148" t="s">
        <v>233</v>
      </c>
      <c r="W720" s="145">
        <f>D720+E720+F720</f>
        <v>215</v>
      </c>
      <c r="X720" s="149"/>
    </row>
    <row r="721" customHeight="1" spans="1:24">
      <c r="A721" s="153">
        <v>683</v>
      </c>
      <c r="B721" s="154" t="s">
        <v>1043</v>
      </c>
      <c r="C721" s="144">
        <v>7</v>
      </c>
      <c r="D721" s="145">
        <v>82</v>
      </c>
      <c r="E721" s="145">
        <v>80</v>
      </c>
      <c r="F721" s="145">
        <v>49</v>
      </c>
      <c r="G721" s="145">
        <v>56</v>
      </c>
      <c r="H721" s="145">
        <v>43</v>
      </c>
      <c r="I721" s="145">
        <f>SUM(D721:H721)</f>
        <v>310</v>
      </c>
      <c r="J721" s="145">
        <v>95</v>
      </c>
      <c r="K721" s="147" t="s">
        <v>130</v>
      </c>
      <c r="L721" s="147" t="s">
        <v>130</v>
      </c>
      <c r="M721" s="147" t="s">
        <v>114</v>
      </c>
      <c r="N721" s="147" t="s">
        <v>115</v>
      </c>
      <c r="O721" s="147" t="s">
        <v>114</v>
      </c>
      <c r="P721" s="147" t="s">
        <v>124</v>
      </c>
      <c r="Q721" s="148" t="s">
        <v>339</v>
      </c>
      <c r="R721" s="148" t="s">
        <v>119</v>
      </c>
      <c r="S721" s="148" t="s">
        <v>119</v>
      </c>
      <c r="T721" s="148" t="s">
        <v>126</v>
      </c>
      <c r="U721" s="145">
        <f>D721+E721</f>
        <v>162</v>
      </c>
      <c r="V721" s="149"/>
      <c r="W721" s="145">
        <f>D721+E721+F721</f>
        <v>211</v>
      </c>
      <c r="X721" s="149"/>
    </row>
    <row r="722" customHeight="1" spans="1:24">
      <c r="A722" s="153">
        <v>686</v>
      </c>
      <c r="B722" s="154" t="s">
        <v>1044</v>
      </c>
      <c r="C722" s="144">
        <v>6</v>
      </c>
      <c r="D722" s="145">
        <v>79</v>
      </c>
      <c r="E722" s="145">
        <v>80</v>
      </c>
      <c r="F722" s="145">
        <v>61</v>
      </c>
      <c r="G722" s="145">
        <v>36</v>
      </c>
      <c r="H722" s="145">
        <v>42</v>
      </c>
      <c r="I722" s="145">
        <f>SUM(D722:H722)</f>
        <v>298</v>
      </c>
      <c r="J722" s="145">
        <v>87</v>
      </c>
      <c r="K722" s="147" t="s">
        <v>130</v>
      </c>
      <c r="L722" s="147" t="s">
        <v>130</v>
      </c>
      <c r="M722" s="147" t="s">
        <v>130</v>
      </c>
      <c r="N722" s="147" t="s">
        <v>124</v>
      </c>
      <c r="O722" s="147" t="s">
        <v>114</v>
      </c>
      <c r="P722" s="147" t="s">
        <v>115</v>
      </c>
      <c r="Q722" s="148" t="s">
        <v>776</v>
      </c>
      <c r="R722" s="148" t="s">
        <v>132</v>
      </c>
      <c r="S722" s="148" t="s">
        <v>119</v>
      </c>
      <c r="T722" s="148" t="s">
        <v>126</v>
      </c>
      <c r="U722" s="145">
        <f>D722+E722</f>
        <v>159</v>
      </c>
      <c r="V722" s="149"/>
      <c r="W722" s="145">
        <f>D722+E722+F722</f>
        <v>220</v>
      </c>
      <c r="X722" s="149"/>
    </row>
    <row r="723" customHeight="1" spans="1:24">
      <c r="A723" s="153">
        <v>51</v>
      </c>
      <c r="B723" s="154" t="s">
        <v>1045</v>
      </c>
      <c r="C723" s="144">
        <v>6</v>
      </c>
      <c r="D723" s="145">
        <v>80</v>
      </c>
      <c r="E723" s="145">
        <v>72</v>
      </c>
      <c r="F723" s="145">
        <v>68</v>
      </c>
      <c r="G723" s="145">
        <v>48</v>
      </c>
      <c r="H723" s="145">
        <v>42</v>
      </c>
      <c r="I723" s="145">
        <f>SUM(D723:H723)</f>
        <v>310</v>
      </c>
      <c r="J723" s="145">
        <v>16</v>
      </c>
      <c r="K723" s="147" t="s">
        <v>130</v>
      </c>
      <c r="L723" s="147" t="s">
        <v>114</v>
      </c>
      <c r="M723" s="147" t="s">
        <v>114</v>
      </c>
      <c r="N723" s="147" t="s">
        <v>130</v>
      </c>
      <c r="O723" s="147" t="s">
        <v>114</v>
      </c>
      <c r="P723" s="147" t="s">
        <v>130</v>
      </c>
      <c r="Q723" s="148" t="s">
        <v>260</v>
      </c>
      <c r="R723" s="148" t="s">
        <v>119</v>
      </c>
      <c r="S723" s="148" t="s">
        <v>136</v>
      </c>
      <c r="T723" s="148" t="s">
        <v>250</v>
      </c>
      <c r="U723" s="145">
        <f>D723+E723</f>
        <v>152</v>
      </c>
      <c r="V723" s="149"/>
      <c r="W723" s="145">
        <f>D723+E723+F723</f>
        <v>220</v>
      </c>
      <c r="X723" s="149"/>
    </row>
    <row r="724" customHeight="1" spans="1:24">
      <c r="A724" s="153">
        <v>236</v>
      </c>
      <c r="B724" s="143" t="s">
        <v>1046</v>
      </c>
      <c r="C724" s="144">
        <v>1</v>
      </c>
      <c r="D724" s="145">
        <v>65</v>
      </c>
      <c r="E724" s="145">
        <v>60</v>
      </c>
      <c r="F724" s="145">
        <v>76</v>
      </c>
      <c r="G724" s="145">
        <v>73</v>
      </c>
      <c r="H724" s="145">
        <v>42</v>
      </c>
      <c r="I724" s="145">
        <f>SUM(D724:H724)</f>
        <v>316</v>
      </c>
      <c r="J724" s="145">
        <v>32</v>
      </c>
      <c r="K724" s="147" t="s">
        <v>130</v>
      </c>
      <c r="L724" s="147" t="s">
        <v>114</v>
      </c>
      <c r="M724" s="147" t="s">
        <v>130</v>
      </c>
      <c r="N724" s="147" t="s">
        <v>124</v>
      </c>
      <c r="O724" s="147" t="s">
        <v>114</v>
      </c>
      <c r="P724" s="147" t="s">
        <v>114</v>
      </c>
      <c r="Q724" s="149"/>
      <c r="R724" s="148" t="s">
        <v>175</v>
      </c>
      <c r="S724" s="148" t="s">
        <v>145</v>
      </c>
      <c r="T724" s="148" t="s">
        <v>126</v>
      </c>
      <c r="U724" s="145">
        <f>D724+E724</f>
        <v>125</v>
      </c>
      <c r="V724" s="149"/>
      <c r="W724" s="145">
        <f>D724+E724+F724</f>
        <v>201</v>
      </c>
      <c r="X724" s="149"/>
    </row>
    <row r="725" customHeight="1" spans="1:24">
      <c r="A725" s="153">
        <v>614</v>
      </c>
      <c r="B725" s="154" t="s">
        <v>1047</v>
      </c>
      <c r="C725" s="144">
        <v>3</v>
      </c>
      <c r="D725" s="145">
        <v>75</v>
      </c>
      <c r="E725" s="145">
        <v>81</v>
      </c>
      <c r="F725" s="145">
        <v>38</v>
      </c>
      <c r="G725" s="145">
        <v>27</v>
      </c>
      <c r="H725" s="145">
        <v>40</v>
      </c>
      <c r="I725" s="145">
        <f>SUM(D725:H725)</f>
        <v>261</v>
      </c>
      <c r="J725" s="145">
        <v>37</v>
      </c>
      <c r="K725" s="147" t="s">
        <v>130</v>
      </c>
      <c r="L725" s="147" t="s">
        <v>124</v>
      </c>
      <c r="M725" s="147" t="s">
        <v>130</v>
      </c>
      <c r="N725" s="147" t="s">
        <v>130</v>
      </c>
      <c r="O725" s="147" t="s">
        <v>114</v>
      </c>
      <c r="P725" s="147" t="s">
        <v>114</v>
      </c>
      <c r="Q725" s="148" t="s">
        <v>587</v>
      </c>
      <c r="R725" s="148" t="s">
        <v>119</v>
      </c>
      <c r="S725" s="148" t="s">
        <v>119</v>
      </c>
      <c r="T725" s="148" t="s">
        <v>250</v>
      </c>
      <c r="U725" s="145">
        <f>D725+E725</f>
        <v>156</v>
      </c>
      <c r="V725" s="149"/>
      <c r="W725" s="145">
        <f>D725+E725+F725</f>
        <v>194</v>
      </c>
      <c r="X725" s="149"/>
    </row>
    <row r="726" customHeight="1" spans="1:24">
      <c r="A726" s="153">
        <v>146</v>
      </c>
      <c r="B726" s="154" t="s">
        <v>1048</v>
      </c>
      <c r="C726" s="144">
        <v>10</v>
      </c>
      <c r="D726" s="145">
        <v>77</v>
      </c>
      <c r="E726" s="145">
        <v>96</v>
      </c>
      <c r="F726" s="145">
        <v>31</v>
      </c>
      <c r="G726" s="145">
        <v>37</v>
      </c>
      <c r="H726" s="145">
        <v>40</v>
      </c>
      <c r="I726" s="145">
        <f>SUM(D726:H726)</f>
        <v>281</v>
      </c>
      <c r="J726" s="145">
        <v>75</v>
      </c>
      <c r="K726" s="147" t="s">
        <v>114</v>
      </c>
      <c r="L726" s="147" t="s">
        <v>114</v>
      </c>
      <c r="M726" s="147" t="s">
        <v>124</v>
      </c>
      <c r="N726" s="147" t="s">
        <v>124</v>
      </c>
      <c r="O726" s="147" t="s">
        <v>114</v>
      </c>
      <c r="P726" s="147" t="s">
        <v>124</v>
      </c>
      <c r="Q726" s="148" t="s">
        <v>459</v>
      </c>
      <c r="R726" s="148" t="s">
        <v>132</v>
      </c>
      <c r="S726" s="148" t="s">
        <v>133</v>
      </c>
      <c r="T726" s="148" t="s">
        <v>250</v>
      </c>
      <c r="U726" s="145">
        <f>D726+E726</f>
        <v>173</v>
      </c>
      <c r="V726" s="149"/>
      <c r="W726" s="145">
        <f>D726+E726+F726</f>
        <v>204</v>
      </c>
      <c r="X726" s="149"/>
    </row>
    <row r="727" customHeight="1" spans="1:24">
      <c r="A727" s="153">
        <v>124</v>
      </c>
      <c r="B727" s="154" t="s">
        <v>1049</v>
      </c>
      <c r="C727" s="144">
        <v>4</v>
      </c>
      <c r="D727" s="145">
        <v>76</v>
      </c>
      <c r="E727" s="145">
        <v>82</v>
      </c>
      <c r="F727" s="145">
        <v>55</v>
      </c>
      <c r="G727" s="145">
        <v>34</v>
      </c>
      <c r="H727" s="145">
        <v>39</v>
      </c>
      <c r="I727" s="145">
        <f>SUM(D727:H727)</f>
        <v>286</v>
      </c>
      <c r="J727" s="145">
        <v>80</v>
      </c>
      <c r="K727" s="147" t="s">
        <v>114</v>
      </c>
      <c r="L727" s="147" t="s">
        <v>114</v>
      </c>
      <c r="M727" s="147" t="s">
        <v>114</v>
      </c>
      <c r="N727" s="147" t="s">
        <v>130</v>
      </c>
      <c r="O727" s="147" t="s">
        <v>114</v>
      </c>
      <c r="P727" s="147" t="s">
        <v>130</v>
      </c>
      <c r="Q727" s="148" t="s">
        <v>192</v>
      </c>
      <c r="R727" s="148" t="s">
        <v>119</v>
      </c>
      <c r="S727" s="148" t="s">
        <v>136</v>
      </c>
      <c r="T727" s="148" t="s">
        <v>250</v>
      </c>
      <c r="U727" s="145">
        <f>D727+E727</f>
        <v>158</v>
      </c>
      <c r="V727" s="149"/>
      <c r="W727" s="145">
        <f>D727+E727+F727</f>
        <v>213</v>
      </c>
      <c r="X727" s="149"/>
    </row>
    <row r="728" customHeight="1" spans="1:24">
      <c r="A728" s="153">
        <v>772</v>
      </c>
      <c r="B728" s="154" t="s">
        <v>1050</v>
      </c>
      <c r="C728" s="144">
        <v>6</v>
      </c>
      <c r="D728" s="145">
        <v>81</v>
      </c>
      <c r="E728" s="145">
        <v>80</v>
      </c>
      <c r="F728" s="145">
        <v>61</v>
      </c>
      <c r="G728" s="145">
        <v>33</v>
      </c>
      <c r="H728" s="145">
        <v>39</v>
      </c>
      <c r="I728" s="145">
        <f>SUM(D728:H728)</f>
        <v>294</v>
      </c>
      <c r="J728" s="145">
        <v>91</v>
      </c>
      <c r="K728" s="147" t="s">
        <v>114</v>
      </c>
      <c r="L728" s="147" t="s">
        <v>130</v>
      </c>
      <c r="M728" s="147" t="s">
        <v>130</v>
      </c>
      <c r="N728" s="147" t="s">
        <v>114</v>
      </c>
      <c r="O728" s="147" t="s">
        <v>114</v>
      </c>
      <c r="P728" s="147" t="s">
        <v>114</v>
      </c>
      <c r="Q728" s="148" t="s">
        <v>577</v>
      </c>
      <c r="R728" s="148" t="s">
        <v>132</v>
      </c>
      <c r="S728" s="148" t="s">
        <v>119</v>
      </c>
      <c r="T728" s="148" t="s">
        <v>250</v>
      </c>
      <c r="U728" s="145">
        <f>D728+E728</f>
        <v>161</v>
      </c>
      <c r="V728" s="149"/>
      <c r="W728" s="145">
        <f>D728+E728+F728</f>
        <v>222</v>
      </c>
      <c r="X728" s="149"/>
    </row>
    <row r="729" customHeight="1" spans="1:24">
      <c r="A729" s="153">
        <v>220</v>
      </c>
      <c r="B729" s="154" t="s">
        <v>1051</v>
      </c>
      <c r="C729" s="144">
        <v>18</v>
      </c>
      <c r="D729" s="145">
        <v>92</v>
      </c>
      <c r="E729" s="145">
        <v>85</v>
      </c>
      <c r="F729" s="145">
        <v>46</v>
      </c>
      <c r="G729" s="145">
        <v>20</v>
      </c>
      <c r="H729" s="145">
        <v>37</v>
      </c>
      <c r="I729" s="145">
        <f>SUM(D729:H729)</f>
        <v>280</v>
      </c>
      <c r="J729" s="145">
        <v>87</v>
      </c>
      <c r="K729" s="147" t="s">
        <v>114</v>
      </c>
      <c r="L729" s="147" t="s">
        <v>114</v>
      </c>
      <c r="M729" s="147" t="s">
        <v>114</v>
      </c>
      <c r="N729" s="147" t="s">
        <v>115</v>
      </c>
      <c r="O729" s="147" t="s">
        <v>114</v>
      </c>
      <c r="P729" s="147" t="s">
        <v>114</v>
      </c>
      <c r="Q729" s="148" t="s">
        <v>655</v>
      </c>
      <c r="R729" s="148" t="s">
        <v>119</v>
      </c>
      <c r="S729" s="148" t="s">
        <v>136</v>
      </c>
      <c r="T729" s="148" t="s">
        <v>250</v>
      </c>
      <c r="U729" s="145">
        <f>D729+E729</f>
        <v>177</v>
      </c>
      <c r="V729" s="149"/>
      <c r="W729" s="145">
        <f>D729+E729+F729</f>
        <v>223</v>
      </c>
      <c r="X729" s="149"/>
    </row>
    <row r="730" customHeight="1" spans="1:24">
      <c r="A730" s="153">
        <v>215</v>
      </c>
      <c r="B730" s="154" t="s">
        <v>1052</v>
      </c>
      <c r="C730" s="144">
        <v>12</v>
      </c>
      <c r="D730" s="145">
        <v>84</v>
      </c>
      <c r="E730" s="145">
        <v>74</v>
      </c>
      <c r="F730" s="145">
        <v>55</v>
      </c>
      <c r="G730" s="145">
        <v>27</v>
      </c>
      <c r="H730" s="145">
        <v>32</v>
      </c>
      <c r="I730" s="145">
        <f>SUM(D730:H730)</f>
        <v>272</v>
      </c>
      <c r="J730" s="145">
        <v>94</v>
      </c>
      <c r="K730" s="147" t="s">
        <v>114</v>
      </c>
      <c r="L730" s="147" t="s">
        <v>115</v>
      </c>
      <c r="M730" s="147" t="s">
        <v>114</v>
      </c>
      <c r="N730" s="147" t="s">
        <v>130</v>
      </c>
      <c r="O730" s="147" t="s">
        <v>114</v>
      </c>
      <c r="P730" s="147" t="s">
        <v>114</v>
      </c>
      <c r="Q730" s="148" t="s">
        <v>160</v>
      </c>
      <c r="R730" s="148" t="s">
        <v>119</v>
      </c>
      <c r="S730" s="148" t="s">
        <v>119</v>
      </c>
      <c r="T730" s="148" t="s">
        <v>126</v>
      </c>
      <c r="U730" s="145">
        <f>D730+E730</f>
        <v>158</v>
      </c>
      <c r="V730" s="149"/>
      <c r="W730" s="145">
        <f>D730+E730+F730</f>
        <v>213</v>
      </c>
      <c r="X730" s="149"/>
    </row>
    <row r="731" customHeight="1" spans="1:24">
      <c r="A731" s="153">
        <v>299</v>
      </c>
      <c r="B731" s="154" t="s">
        <v>1053</v>
      </c>
      <c r="C731" s="144">
        <v>18</v>
      </c>
      <c r="D731" s="145">
        <v>91</v>
      </c>
      <c r="E731" s="145">
        <v>86</v>
      </c>
      <c r="F731" s="145">
        <v>69</v>
      </c>
      <c r="G731" s="145">
        <v>36</v>
      </c>
      <c r="H731" s="145">
        <v>32</v>
      </c>
      <c r="I731" s="145">
        <f>SUM(D731:H731)</f>
        <v>314</v>
      </c>
      <c r="J731" s="145">
        <v>138</v>
      </c>
      <c r="K731" s="147" t="s">
        <v>130</v>
      </c>
      <c r="L731" s="147" t="s">
        <v>130</v>
      </c>
      <c r="M731" s="147" t="s">
        <v>115</v>
      </c>
      <c r="N731" s="147" t="s">
        <v>115</v>
      </c>
      <c r="O731" s="147" t="s">
        <v>114</v>
      </c>
      <c r="P731" s="147" t="s">
        <v>124</v>
      </c>
      <c r="Q731" s="158" t="s">
        <v>210</v>
      </c>
      <c r="R731" s="148" t="s">
        <v>275</v>
      </c>
      <c r="S731" s="148" t="s">
        <v>145</v>
      </c>
      <c r="T731" s="148" t="s">
        <v>250</v>
      </c>
      <c r="U731" s="145">
        <f>D731+E731</f>
        <v>177</v>
      </c>
      <c r="V731" s="148" t="s">
        <v>211</v>
      </c>
      <c r="W731" s="145">
        <f>D731+E731+F731</f>
        <v>246</v>
      </c>
      <c r="X731" s="149"/>
    </row>
    <row r="732" customHeight="1" spans="1:24">
      <c r="A732" s="153">
        <v>454</v>
      </c>
      <c r="B732" s="154" t="s">
        <v>1054</v>
      </c>
      <c r="C732" s="144">
        <v>22</v>
      </c>
      <c r="D732" s="145">
        <v>98</v>
      </c>
      <c r="E732" s="145">
        <v>74</v>
      </c>
      <c r="F732" s="145">
        <v>80</v>
      </c>
      <c r="G732" s="145">
        <v>76</v>
      </c>
      <c r="H732" s="145">
        <v>31</v>
      </c>
      <c r="I732" s="145">
        <f>SUM(D732:H732)</f>
        <v>359</v>
      </c>
      <c r="J732" s="145">
        <v>14</v>
      </c>
      <c r="K732" s="147" t="s">
        <v>115</v>
      </c>
      <c r="L732" s="147" t="s">
        <v>115</v>
      </c>
      <c r="M732" s="147" t="s">
        <v>114</v>
      </c>
      <c r="N732" s="147" t="s">
        <v>115</v>
      </c>
      <c r="O732" s="147" t="s">
        <v>114</v>
      </c>
      <c r="P732" s="160" t="s">
        <v>123</v>
      </c>
      <c r="Q732" s="158" t="s">
        <v>511</v>
      </c>
      <c r="R732" s="148" t="s">
        <v>119</v>
      </c>
      <c r="S732" s="148" t="s">
        <v>136</v>
      </c>
      <c r="T732" s="148" t="s">
        <v>126</v>
      </c>
      <c r="U732" s="145">
        <f>D732+E732</f>
        <v>172</v>
      </c>
      <c r="V732" s="148" t="s">
        <v>512</v>
      </c>
      <c r="W732" s="145">
        <f>D732+E732+F732</f>
        <v>252</v>
      </c>
      <c r="X732" s="149"/>
    </row>
    <row r="733" customHeight="1" spans="1:24">
      <c r="A733" s="153">
        <v>223</v>
      </c>
      <c r="B733" s="154" t="s">
        <v>1055</v>
      </c>
      <c r="C733" s="144">
        <v>6</v>
      </c>
      <c r="D733" s="145">
        <v>75</v>
      </c>
      <c r="E733" s="145">
        <v>81</v>
      </c>
      <c r="F733" s="145">
        <v>44</v>
      </c>
      <c r="G733" s="145">
        <v>17</v>
      </c>
      <c r="H733" s="145">
        <v>24</v>
      </c>
      <c r="I733" s="145">
        <f>SUM(D733:H733)</f>
        <v>241</v>
      </c>
      <c r="J733" s="145">
        <v>25</v>
      </c>
      <c r="K733" s="147" t="s">
        <v>130</v>
      </c>
      <c r="L733" s="147" t="s">
        <v>130</v>
      </c>
      <c r="M733" s="147" t="s">
        <v>115</v>
      </c>
      <c r="N733" s="147" t="s">
        <v>114</v>
      </c>
      <c r="O733" s="147" t="s">
        <v>114</v>
      </c>
      <c r="P733" s="147" t="s">
        <v>124</v>
      </c>
      <c r="Q733" s="148" t="s">
        <v>606</v>
      </c>
      <c r="R733" s="148" t="s">
        <v>119</v>
      </c>
      <c r="S733" s="148" t="s">
        <v>119</v>
      </c>
      <c r="T733" s="148" t="s">
        <v>250</v>
      </c>
      <c r="U733" s="145">
        <f>D733+E733</f>
        <v>156</v>
      </c>
      <c r="V733" s="149"/>
      <c r="W733" s="145">
        <f>D733+E733+F733</f>
        <v>200</v>
      </c>
      <c r="X733" s="149"/>
    </row>
    <row r="734" customHeight="1" spans="1:24">
      <c r="A734" s="153">
        <v>551</v>
      </c>
      <c r="B734" s="154" t="s">
        <v>1056</v>
      </c>
      <c r="C734" s="144">
        <v>7</v>
      </c>
      <c r="D734" s="145">
        <v>84</v>
      </c>
      <c r="E734" s="145">
        <v>77</v>
      </c>
      <c r="F734" s="145">
        <v>53</v>
      </c>
      <c r="G734" s="145">
        <v>19</v>
      </c>
      <c r="H734" s="145">
        <v>19</v>
      </c>
      <c r="I734" s="145">
        <f>SUM(D734:H734)</f>
        <v>252</v>
      </c>
      <c r="J734" s="145">
        <v>135</v>
      </c>
      <c r="K734" s="147" t="s">
        <v>114</v>
      </c>
      <c r="L734" s="147" t="s">
        <v>114</v>
      </c>
      <c r="M734" s="147" t="s">
        <v>114</v>
      </c>
      <c r="N734" s="147" t="s">
        <v>114</v>
      </c>
      <c r="O734" s="147" t="s">
        <v>114</v>
      </c>
      <c r="P734" s="147" t="s">
        <v>124</v>
      </c>
      <c r="Q734" s="148" t="s">
        <v>606</v>
      </c>
      <c r="R734" s="148" t="s">
        <v>275</v>
      </c>
      <c r="S734" s="148" t="s">
        <v>145</v>
      </c>
      <c r="T734" s="148" t="s">
        <v>250</v>
      </c>
      <c r="U734" s="145">
        <f>D734+E734</f>
        <v>161</v>
      </c>
      <c r="V734" s="149"/>
      <c r="W734" s="145">
        <f>D734+E734+F734</f>
        <v>214</v>
      </c>
      <c r="X734" s="149"/>
    </row>
    <row r="735" customHeight="1" spans="1:24">
      <c r="A735" s="153">
        <v>420</v>
      </c>
      <c r="B735" s="154" t="s">
        <v>1057</v>
      </c>
      <c r="C735" s="144">
        <v>8</v>
      </c>
      <c r="D735" s="145">
        <v>83</v>
      </c>
      <c r="E735" s="145">
        <v>80</v>
      </c>
      <c r="F735" s="145">
        <v>78</v>
      </c>
      <c r="G735" s="145">
        <v>24</v>
      </c>
      <c r="H735" s="145">
        <v>18</v>
      </c>
      <c r="I735" s="145">
        <f>SUM(D735:H735)</f>
        <v>283</v>
      </c>
      <c r="J735" s="145">
        <v>145</v>
      </c>
      <c r="K735" s="147" t="s">
        <v>114</v>
      </c>
      <c r="L735" s="147" t="s">
        <v>130</v>
      </c>
      <c r="M735" s="147" t="s">
        <v>130</v>
      </c>
      <c r="N735" s="147" t="s">
        <v>114</v>
      </c>
      <c r="O735" s="147" t="s">
        <v>114</v>
      </c>
      <c r="P735" s="147" t="s">
        <v>114</v>
      </c>
      <c r="Q735" s="148" t="s">
        <v>606</v>
      </c>
      <c r="R735" s="148" t="s">
        <v>275</v>
      </c>
      <c r="S735" s="148" t="s">
        <v>145</v>
      </c>
      <c r="T735" s="148" t="s">
        <v>250</v>
      </c>
      <c r="U735" s="145">
        <f>D735+E735</f>
        <v>163</v>
      </c>
      <c r="V735" s="149"/>
      <c r="W735" s="145">
        <f>D735+E735+F735</f>
        <v>241</v>
      </c>
      <c r="X735" s="149"/>
    </row>
  </sheetData>
  <autoFilter xmlns:etc="http://www.wps.cn/officeDocument/2017/etCustomData" ref="A1:X735" etc:filterBottomFollowUsedRange="0">
    <sortState ref="A2:X735">
      <sortCondition ref="O1" descending="1"/>
    </sortState>
    <extLst/>
  </autoFilter>
  <sortState ref="A2:W735">
    <sortCondition ref="B2:B735" descending="1" sortBy="cellColor" dxfId="0"/>
    <sortCondition ref="C2:C735" descending="1"/>
  </sortState>
  <pageMargins left="1" right="1" top="1" bottom="1" header="0.25" footer="0.25"/>
  <pageSetup paperSize="1" orientation="portrait"/>
  <headerFooter>
    <oddFooter>&amp;C&amp;"Helvetica Neue,Regular"&amp;12&amp;K000000&amp;P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81"/>
  <sheetViews>
    <sheetView zoomScale="119" zoomScaleNormal="119" topLeftCell="A56" workbookViewId="0">
      <selection activeCell="C81" sqref="C81"/>
    </sheetView>
  </sheetViews>
  <sheetFormatPr defaultColWidth="11" defaultRowHeight="15.2" outlineLevelCol="2"/>
  <cols>
    <col min="1" max="1" width="10.8303571428571" style="218"/>
    <col min="2" max="2" width="59.6607142857143" style="218" customWidth="1"/>
    <col min="3" max="3" width="103.5" style="218" customWidth="1"/>
    <col min="4" max="4" width="32.6607142857143" style="218" customWidth="1"/>
    <col min="5" max="16384" width="10.8303571428571" style="218"/>
  </cols>
  <sheetData>
    <row r="1" ht="17" spans="1:3">
      <c r="A1" s="220" t="s">
        <v>1058</v>
      </c>
      <c r="B1" s="221" t="s">
        <v>1059</v>
      </c>
      <c r="C1" s="222"/>
    </row>
    <row r="2" ht="17" spans="1:3">
      <c r="A2" s="223"/>
      <c r="B2" s="221" t="s">
        <v>1060</v>
      </c>
      <c r="C2" s="224"/>
    </row>
    <row r="3" ht="17" spans="1:3">
      <c r="A3" s="225"/>
      <c r="B3" s="221" t="s">
        <v>1061</v>
      </c>
      <c r="C3" s="224"/>
    </row>
    <row r="4" ht="16.8" spans="1:3">
      <c r="A4" s="224"/>
      <c r="B4" s="224"/>
      <c r="C4" s="224"/>
    </row>
    <row r="5" ht="17" spans="1:3">
      <c r="A5" s="221">
        <v>1</v>
      </c>
      <c r="B5" s="221" t="s">
        <v>1062</v>
      </c>
      <c r="C5" s="221" t="s">
        <v>5</v>
      </c>
    </row>
    <row r="6" ht="17" spans="1:3">
      <c r="A6" s="220" t="s">
        <v>1063</v>
      </c>
      <c r="B6" s="221"/>
      <c r="C6" s="221" t="s">
        <v>1064</v>
      </c>
    </row>
    <row r="7" ht="17" spans="1:3">
      <c r="A7" s="223"/>
      <c r="B7" s="221" t="s">
        <v>1065</v>
      </c>
      <c r="C7" s="221" t="s">
        <v>1066</v>
      </c>
    </row>
    <row r="8" ht="17" spans="1:3">
      <c r="A8" s="223"/>
      <c r="B8" s="221" t="s">
        <v>1067</v>
      </c>
      <c r="C8" s="221" t="s">
        <v>1068</v>
      </c>
    </row>
    <row r="9" ht="17" spans="1:3">
      <c r="A9" s="223"/>
      <c r="B9" s="221" t="s">
        <v>1069</v>
      </c>
      <c r="C9" s="221" t="s">
        <v>1070</v>
      </c>
    </row>
    <row r="10" ht="17" spans="1:3">
      <c r="A10" s="225"/>
      <c r="B10" s="221" t="s">
        <v>1071</v>
      </c>
      <c r="C10" s="221" t="s">
        <v>1072</v>
      </c>
    </row>
    <row r="11" ht="16.8" spans="1:3">
      <c r="A11" s="224"/>
      <c r="B11" s="224"/>
      <c r="C11" s="224"/>
    </row>
    <row r="12" ht="17" spans="1:3">
      <c r="A12" s="221">
        <v>2</v>
      </c>
      <c r="B12" s="221" t="s">
        <v>1062</v>
      </c>
      <c r="C12" s="221" t="s">
        <v>5</v>
      </c>
    </row>
    <row r="13" ht="17" spans="1:3">
      <c r="A13" s="221" t="s">
        <v>1073</v>
      </c>
      <c r="B13" s="221"/>
      <c r="C13" s="221" t="s">
        <v>1074</v>
      </c>
    </row>
    <row r="14" ht="17" spans="1:3">
      <c r="A14" s="221"/>
      <c r="B14" s="221" t="s">
        <v>1075</v>
      </c>
      <c r="C14" s="221" t="s">
        <v>1076</v>
      </c>
    </row>
    <row r="15" ht="17" spans="1:3">
      <c r="A15" s="221"/>
      <c r="B15" s="221" t="s">
        <v>1077</v>
      </c>
      <c r="C15" s="221" t="s">
        <v>1078</v>
      </c>
    </row>
    <row r="16" ht="34" spans="1:3">
      <c r="A16" s="221"/>
      <c r="B16" s="221" t="s">
        <v>1079</v>
      </c>
      <c r="C16" s="221" t="s">
        <v>1080</v>
      </c>
    </row>
    <row r="17" ht="17" spans="1:3">
      <c r="A17" s="221"/>
      <c r="B17" s="221" t="s">
        <v>1081</v>
      </c>
      <c r="C17" s="221" t="s">
        <v>1082</v>
      </c>
    </row>
    <row r="18" ht="16.8" spans="1:3">
      <c r="A18" s="224"/>
      <c r="B18" s="224"/>
      <c r="C18" s="224"/>
    </row>
    <row r="19" ht="17" spans="1:3">
      <c r="A19" s="221">
        <v>3</v>
      </c>
      <c r="B19" s="221" t="s">
        <v>1062</v>
      </c>
      <c r="C19" s="221" t="s">
        <v>5</v>
      </c>
    </row>
    <row r="20" ht="17" spans="1:3">
      <c r="A20" s="221" t="s">
        <v>1083</v>
      </c>
      <c r="B20" s="221"/>
      <c r="C20" s="221" t="s">
        <v>1084</v>
      </c>
    </row>
    <row r="21" ht="17" spans="1:3">
      <c r="A21" s="221"/>
      <c r="B21" s="221" t="s">
        <v>1085</v>
      </c>
      <c r="C21" s="221" t="s">
        <v>1086</v>
      </c>
    </row>
    <row r="22" ht="17" spans="1:3">
      <c r="A22" s="221"/>
      <c r="B22" s="221" t="s">
        <v>1087</v>
      </c>
      <c r="C22" s="221" t="s">
        <v>1088</v>
      </c>
    </row>
    <row r="23" ht="17" spans="1:3">
      <c r="A23" s="221"/>
      <c r="B23" s="221"/>
      <c r="C23" s="221" t="s">
        <v>1089</v>
      </c>
    </row>
    <row r="24" ht="17" spans="1:3">
      <c r="A24" s="221"/>
      <c r="B24" s="221" t="s">
        <v>1090</v>
      </c>
      <c r="C24" s="221" t="s">
        <v>1091</v>
      </c>
    </row>
    <row r="25" ht="16.8" spans="1:3">
      <c r="A25" s="224"/>
      <c r="B25" s="224"/>
      <c r="C25" s="224"/>
    </row>
    <row r="26" ht="17" spans="1:3">
      <c r="A26" s="221">
        <v>4</v>
      </c>
      <c r="B26" s="221" t="s">
        <v>1062</v>
      </c>
      <c r="C26" s="221" t="s">
        <v>5</v>
      </c>
    </row>
    <row r="27" ht="17" spans="1:3">
      <c r="A27" s="220" t="s">
        <v>1092</v>
      </c>
      <c r="B27" s="221"/>
      <c r="C27" s="221" t="s">
        <v>1093</v>
      </c>
    </row>
    <row r="28" ht="17" spans="1:3">
      <c r="A28" s="223"/>
      <c r="B28" s="221" t="s">
        <v>1094</v>
      </c>
      <c r="C28" s="221" t="s">
        <v>1095</v>
      </c>
    </row>
    <row r="29" ht="17" spans="1:3">
      <c r="A29" s="223"/>
      <c r="B29" s="221" t="s">
        <v>1077</v>
      </c>
      <c r="C29" s="221" t="s">
        <v>1096</v>
      </c>
    </row>
    <row r="30" ht="17" spans="1:3">
      <c r="A30" s="223"/>
      <c r="B30" s="221" t="s">
        <v>1097</v>
      </c>
      <c r="C30" s="221" t="s">
        <v>1098</v>
      </c>
    </row>
    <row r="31" ht="17" spans="1:3">
      <c r="A31" s="225"/>
      <c r="B31" s="221" t="s">
        <v>1099</v>
      </c>
      <c r="C31" s="221" t="s">
        <v>1100</v>
      </c>
    </row>
    <row r="32" spans="1:3">
      <c r="A32" s="222"/>
      <c r="B32" s="222"/>
      <c r="C32" s="222"/>
    </row>
    <row r="33" ht="17" spans="1:3">
      <c r="A33" s="221">
        <v>5</v>
      </c>
      <c r="B33" s="221" t="s">
        <v>1062</v>
      </c>
      <c r="C33" s="221" t="s">
        <v>5</v>
      </c>
    </row>
    <row r="34" ht="17" spans="1:3">
      <c r="A34" s="220" t="s">
        <v>1101</v>
      </c>
      <c r="B34" s="221"/>
      <c r="C34" s="221" t="s">
        <v>1102</v>
      </c>
    </row>
    <row r="35" ht="17" spans="1:3">
      <c r="A35" s="223"/>
      <c r="B35" s="221" t="s">
        <v>1103</v>
      </c>
      <c r="C35" s="221" t="s">
        <v>1066</v>
      </c>
    </row>
    <row r="36" ht="17" spans="1:3">
      <c r="A36" s="223"/>
      <c r="B36" s="221" t="s">
        <v>1104</v>
      </c>
      <c r="C36" s="221" t="s">
        <v>1105</v>
      </c>
    </row>
    <row r="37" ht="17" spans="1:3">
      <c r="A37" s="223"/>
      <c r="B37" s="221" t="s">
        <v>1106</v>
      </c>
      <c r="C37" s="221" t="s">
        <v>1107</v>
      </c>
    </row>
    <row r="38" ht="17" spans="1:3">
      <c r="A38" s="225"/>
      <c r="B38" s="221" t="s">
        <v>1108</v>
      </c>
      <c r="C38" s="221" t="s">
        <v>1109</v>
      </c>
    </row>
    <row r="39" spans="1:3">
      <c r="A39" s="222"/>
      <c r="B39" s="222"/>
      <c r="C39" s="222"/>
    </row>
    <row r="40" ht="17" spans="1:3">
      <c r="A40" s="221">
        <v>6</v>
      </c>
      <c r="B40" s="221" t="s">
        <v>1062</v>
      </c>
      <c r="C40" s="221" t="s">
        <v>5</v>
      </c>
    </row>
    <row r="41" ht="17" spans="1:3">
      <c r="A41" s="220" t="s">
        <v>1110</v>
      </c>
      <c r="B41" s="221"/>
      <c r="C41" s="221" t="s">
        <v>1111</v>
      </c>
    </row>
    <row r="42" ht="17" spans="1:3">
      <c r="A42" s="223"/>
      <c r="B42" s="221" t="s">
        <v>1112</v>
      </c>
      <c r="C42" s="221" t="s">
        <v>1113</v>
      </c>
    </row>
    <row r="43" ht="17" spans="1:3">
      <c r="A43" s="223"/>
      <c r="B43" s="221" t="s">
        <v>1114</v>
      </c>
      <c r="C43" s="221" t="s">
        <v>1115</v>
      </c>
    </row>
    <row r="44" ht="17" spans="1:3">
      <c r="A44" s="223"/>
      <c r="B44" s="221" t="s">
        <v>1077</v>
      </c>
      <c r="C44" s="221" t="s">
        <v>1116</v>
      </c>
    </row>
    <row r="45" ht="17" spans="1:3">
      <c r="A45" s="225"/>
      <c r="B45" s="221" t="s">
        <v>1117</v>
      </c>
      <c r="C45" s="221" t="s">
        <v>1118</v>
      </c>
    </row>
    <row r="46" spans="1:3">
      <c r="A46" s="222"/>
      <c r="B46" s="222"/>
      <c r="C46" s="222"/>
    </row>
    <row r="47" ht="17" spans="1:3">
      <c r="A47" s="221">
        <v>7</v>
      </c>
      <c r="B47" s="221" t="s">
        <v>1062</v>
      </c>
      <c r="C47" s="221" t="s">
        <v>5</v>
      </c>
    </row>
    <row r="48" ht="17" spans="1:3">
      <c r="A48" s="220" t="s">
        <v>1119</v>
      </c>
      <c r="B48" s="221"/>
      <c r="C48" s="221" t="s">
        <v>1120</v>
      </c>
    </row>
    <row r="49" ht="17" spans="1:3">
      <c r="A49" s="223"/>
      <c r="B49" s="221" t="s">
        <v>1121</v>
      </c>
      <c r="C49" s="221" t="s">
        <v>1122</v>
      </c>
    </row>
    <row r="50" ht="17" spans="1:3">
      <c r="A50" s="223"/>
      <c r="B50" s="221" t="s">
        <v>1123</v>
      </c>
      <c r="C50" s="221" t="s">
        <v>1124</v>
      </c>
    </row>
    <row r="51" ht="17" spans="1:3">
      <c r="A51" s="223"/>
      <c r="B51" s="221" t="s">
        <v>1125</v>
      </c>
      <c r="C51" s="221" t="s">
        <v>1126</v>
      </c>
    </row>
    <row r="52" ht="17" spans="1:3">
      <c r="A52" s="225"/>
      <c r="B52" s="221" t="s">
        <v>1127</v>
      </c>
      <c r="C52" s="221" t="s">
        <v>1128</v>
      </c>
    </row>
    <row r="53" spans="1:3">
      <c r="A53" s="222"/>
      <c r="B53" s="222"/>
      <c r="C53" s="222"/>
    </row>
    <row r="54" ht="17" spans="1:3">
      <c r="A54" s="221">
        <v>8</v>
      </c>
      <c r="B54" s="221" t="s">
        <v>1062</v>
      </c>
      <c r="C54" s="221" t="s">
        <v>5</v>
      </c>
    </row>
    <row r="55" ht="17" spans="1:3">
      <c r="A55" s="220" t="s">
        <v>1129</v>
      </c>
      <c r="B55" s="221"/>
      <c r="C55" s="221" t="s">
        <v>1130</v>
      </c>
    </row>
    <row r="56" ht="17" spans="1:3">
      <c r="A56" s="223"/>
      <c r="B56" s="221" t="s">
        <v>1131</v>
      </c>
      <c r="C56" s="221" t="s">
        <v>1066</v>
      </c>
    </row>
    <row r="57" ht="17" spans="1:3">
      <c r="A57" s="223"/>
      <c r="B57" s="221" t="s">
        <v>1132</v>
      </c>
      <c r="C57" s="221" t="s">
        <v>1133</v>
      </c>
    </row>
    <row r="58" ht="17" spans="1:3">
      <c r="A58" s="223"/>
      <c r="B58" s="221" t="s">
        <v>1134</v>
      </c>
      <c r="C58" s="221" t="s">
        <v>1135</v>
      </c>
    </row>
    <row r="59" ht="17" spans="1:3">
      <c r="A59" s="225"/>
      <c r="B59" s="221" t="s">
        <v>1136</v>
      </c>
      <c r="C59" s="221" t="s">
        <v>1137</v>
      </c>
    </row>
    <row r="60" spans="1:2">
      <c r="A60" s="222"/>
      <c r="B60" s="222"/>
    </row>
    <row r="61" ht="17" spans="1:3">
      <c r="A61" s="221">
        <v>9</v>
      </c>
      <c r="B61" s="221" t="s">
        <v>1062</v>
      </c>
      <c r="C61" s="221" t="s">
        <v>5</v>
      </c>
    </row>
    <row r="62" ht="17" spans="1:3">
      <c r="A62" s="220" t="s">
        <v>1138</v>
      </c>
      <c r="B62" s="221"/>
      <c r="C62" s="221" t="s">
        <v>1139</v>
      </c>
    </row>
    <row r="63" ht="17" spans="1:3">
      <c r="A63" s="223"/>
      <c r="B63" s="221" t="s">
        <v>1140</v>
      </c>
      <c r="C63" s="221" t="s">
        <v>1066</v>
      </c>
    </row>
    <row r="64" ht="17" spans="1:3">
      <c r="A64" s="223"/>
      <c r="B64" s="221" t="s">
        <v>1141</v>
      </c>
      <c r="C64" s="221" t="s">
        <v>1142</v>
      </c>
    </row>
    <row r="65" ht="17" spans="1:3">
      <c r="A65" s="223"/>
      <c r="B65" s="221" t="s">
        <v>1143</v>
      </c>
      <c r="C65" s="221" t="s">
        <v>1144</v>
      </c>
    </row>
    <row r="66" ht="17" spans="1:3">
      <c r="A66" s="225"/>
      <c r="B66" s="221" t="s">
        <v>1145</v>
      </c>
      <c r="C66" s="221" t="s">
        <v>1146</v>
      </c>
    </row>
    <row r="67" spans="1:3">
      <c r="A67" s="222"/>
      <c r="B67" s="222"/>
      <c r="C67" s="222"/>
    </row>
    <row r="68" ht="17" spans="1:3">
      <c r="A68" s="221">
        <v>10</v>
      </c>
      <c r="B68" s="221" t="s">
        <v>1062</v>
      </c>
      <c r="C68" s="221" t="s">
        <v>5</v>
      </c>
    </row>
    <row r="69" ht="17" spans="1:3">
      <c r="A69" s="220" t="s">
        <v>1147</v>
      </c>
      <c r="B69" s="221"/>
      <c r="C69" s="221" t="s">
        <v>1148</v>
      </c>
    </row>
    <row r="70" ht="17" spans="1:3">
      <c r="A70" s="223"/>
      <c r="B70" s="221" t="s">
        <v>1149</v>
      </c>
      <c r="C70" s="221" t="s">
        <v>1150</v>
      </c>
    </row>
    <row r="71" ht="17" spans="1:3">
      <c r="A71" s="223"/>
      <c r="B71" s="221" t="s">
        <v>1151</v>
      </c>
      <c r="C71" s="221" t="s">
        <v>1133</v>
      </c>
    </row>
    <row r="72" ht="17" spans="1:3">
      <c r="A72" s="223"/>
      <c r="B72" s="221" t="s">
        <v>1152</v>
      </c>
      <c r="C72" s="221" t="s">
        <v>1153</v>
      </c>
    </row>
    <row r="73" ht="17" spans="1:3">
      <c r="A73" s="225"/>
      <c r="B73" s="221"/>
      <c r="C73" s="221" t="s">
        <v>1154</v>
      </c>
    </row>
    <row r="74" spans="1:3">
      <c r="A74" s="222"/>
      <c r="B74" s="222"/>
      <c r="C74" s="222"/>
    </row>
    <row r="75" ht="17" spans="1:3">
      <c r="A75" s="221">
        <v>11</v>
      </c>
      <c r="B75" s="221" t="s">
        <v>1062</v>
      </c>
      <c r="C75" s="221" t="s">
        <v>5</v>
      </c>
    </row>
    <row r="76" ht="17" spans="1:3">
      <c r="A76" s="221" t="s">
        <v>1155</v>
      </c>
      <c r="B76" s="221"/>
      <c r="C76" s="221" t="s">
        <v>1156</v>
      </c>
    </row>
    <row r="77" ht="17" spans="1:3">
      <c r="A77" s="221"/>
      <c r="B77" s="221" t="s">
        <v>1157</v>
      </c>
      <c r="C77" s="221" t="s">
        <v>1066</v>
      </c>
    </row>
    <row r="78" ht="17" spans="1:3">
      <c r="A78" s="221"/>
      <c r="B78" s="221" t="s">
        <v>1158</v>
      </c>
      <c r="C78" s="221" t="s">
        <v>1159</v>
      </c>
    </row>
    <row r="79" ht="17" spans="1:3">
      <c r="A79" s="221"/>
      <c r="B79" s="221" t="s">
        <v>1160</v>
      </c>
      <c r="C79" s="221" t="s">
        <v>1161</v>
      </c>
    </row>
    <row r="80" ht="17" spans="1:3">
      <c r="A80" s="221"/>
      <c r="B80" s="221" t="s">
        <v>1162</v>
      </c>
      <c r="C80" s="221" t="s">
        <v>1163</v>
      </c>
    </row>
    <row r="81" ht="16.8" spans="1:3">
      <c r="A81" s="224"/>
      <c r="B81" s="224"/>
      <c r="C81" s="224"/>
    </row>
  </sheetData>
  <mergeCells count="12">
    <mergeCell ref="A1:A3"/>
    <mergeCell ref="A6:A10"/>
    <mergeCell ref="A13:A17"/>
    <mergeCell ref="A20:A24"/>
    <mergeCell ref="A27:A31"/>
    <mergeCell ref="A34:A38"/>
    <mergeCell ref="A41:A45"/>
    <mergeCell ref="A48:A52"/>
    <mergeCell ref="A55:A59"/>
    <mergeCell ref="A62:A66"/>
    <mergeCell ref="A69:A73"/>
    <mergeCell ref="A76:A80"/>
  </mergeCells>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09"/>
  <sheetViews>
    <sheetView zoomScale="119" zoomScaleNormal="119" topLeftCell="A92" workbookViewId="0">
      <selection activeCell="C114" sqref="C114"/>
    </sheetView>
  </sheetViews>
  <sheetFormatPr defaultColWidth="11" defaultRowHeight="17.6" outlineLevelCol="3"/>
  <cols>
    <col min="1" max="1" width="10.8303571428571" style="229"/>
    <col min="2" max="2" width="59.6607142857143" style="229" customWidth="1"/>
    <col min="3" max="3" width="83.0267857142857" style="229" customWidth="1"/>
    <col min="4" max="4" width="45.5" style="230" customWidth="1"/>
    <col min="5" max="16384" width="10.8303571428571" style="229"/>
  </cols>
  <sheetData>
    <row r="1" ht="18" spans="1:3">
      <c r="A1" s="231" t="s">
        <v>1058</v>
      </c>
      <c r="B1" s="232" t="s">
        <v>1059</v>
      </c>
      <c r="C1" s="233"/>
    </row>
    <row r="2" ht="18" spans="1:3">
      <c r="A2" s="234"/>
      <c r="B2" s="232" t="s">
        <v>1060</v>
      </c>
      <c r="C2" s="235"/>
    </row>
    <row r="3" ht="18" spans="1:3">
      <c r="A3" s="236"/>
      <c r="B3" s="232" t="s">
        <v>1061</v>
      </c>
      <c r="C3" s="235"/>
    </row>
    <row r="4" spans="1:3">
      <c r="A4" s="235"/>
      <c r="B4" s="235"/>
      <c r="C4" s="235"/>
    </row>
    <row r="5" ht="18" spans="1:3">
      <c r="A5" s="232">
        <v>1</v>
      </c>
      <c r="B5" s="232" t="s">
        <v>1062</v>
      </c>
      <c r="C5" s="232" t="s">
        <v>5</v>
      </c>
    </row>
    <row r="6" ht="18" spans="1:3">
      <c r="A6" s="231" t="s">
        <v>1164</v>
      </c>
      <c r="B6" s="232"/>
      <c r="C6" s="232" t="s">
        <v>1165</v>
      </c>
    </row>
    <row r="7" ht="18" spans="1:3">
      <c r="A7" s="234"/>
      <c r="B7" s="232"/>
      <c r="C7" s="232" t="s">
        <v>1166</v>
      </c>
    </row>
    <row r="8" ht="18" spans="1:3">
      <c r="A8" s="234"/>
      <c r="B8" s="232" t="s">
        <v>1167</v>
      </c>
      <c r="C8" s="232" t="s">
        <v>1168</v>
      </c>
    </row>
    <row r="9" ht="18" spans="1:3">
      <c r="A9" s="234"/>
      <c r="B9" s="232" t="s">
        <v>1169</v>
      </c>
      <c r="C9" s="232" t="s">
        <v>1170</v>
      </c>
    </row>
    <row r="10" ht="18" spans="1:4">
      <c r="A10" s="236"/>
      <c r="B10" s="232" t="s">
        <v>1171</v>
      </c>
      <c r="C10" s="237" t="s">
        <v>1172</v>
      </c>
      <c r="D10" s="238" t="s">
        <v>1173</v>
      </c>
    </row>
    <row r="11" spans="1:3">
      <c r="A11" s="235"/>
      <c r="B11" s="235"/>
      <c r="C11" s="235"/>
    </row>
    <row r="12" ht="18" spans="1:3">
      <c r="A12" s="232">
        <v>2</v>
      </c>
      <c r="B12" s="232" t="s">
        <v>1062</v>
      </c>
      <c r="C12" s="232" t="s">
        <v>5</v>
      </c>
    </row>
    <row r="13" ht="18" spans="1:4">
      <c r="A13" s="232" t="s">
        <v>1174</v>
      </c>
      <c r="B13" s="232"/>
      <c r="C13" s="232" t="s">
        <v>1175</v>
      </c>
      <c r="D13" s="239" t="s">
        <v>1176</v>
      </c>
    </row>
    <row r="14" ht="18" spans="1:4">
      <c r="A14" s="232"/>
      <c r="B14" s="232" t="s">
        <v>1177</v>
      </c>
      <c r="C14" s="232" t="s">
        <v>1066</v>
      </c>
      <c r="D14" s="239" t="s">
        <v>1178</v>
      </c>
    </row>
    <row r="15" ht="18" spans="1:4">
      <c r="A15" s="232"/>
      <c r="B15" s="232" t="s">
        <v>1179</v>
      </c>
      <c r="C15" s="232" t="s">
        <v>1180</v>
      </c>
      <c r="D15" s="239" t="s">
        <v>1181</v>
      </c>
    </row>
    <row r="16" ht="18" spans="1:4">
      <c r="A16" s="232"/>
      <c r="B16" s="232" t="s">
        <v>1182</v>
      </c>
      <c r="C16" s="232" t="s">
        <v>1183</v>
      </c>
      <c r="D16" s="239" t="s">
        <v>1184</v>
      </c>
    </row>
    <row r="17" ht="18" spans="1:4">
      <c r="A17" s="232"/>
      <c r="B17" s="232" t="s">
        <v>1185</v>
      </c>
      <c r="C17" s="232" t="s">
        <v>1186</v>
      </c>
      <c r="D17" s="239" t="s">
        <v>1187</v>
      </c>
    </row>
    <row r="18" spans="1:3">
      <c r="A18" s="235"/>
      <c r="B18" s="235"/>
      <c r="C18" s="235"/>
    </row>
    <row r="19" ht="18" spans="1:3">
      <c r="A19" s="232">
        <v>3</v>
      </c>
      <c r="B19" s="232" t="s">
        <v>1062</v>
      </c>
      <c r="C19" s="232" t="s">
        <v>5</v>
      </c>
    </row>
    <row r="20" ht="18" spans="1:3">
      <c r="A20" s="232" t="s">
        <v>1188</v>
      </c>
      <c r="B20" s="232"/>
      <c r="C20" s="232" t="s">
        <v>1189</v>
      </c>
    </row>
    <row r="21" ht="18" spans="1:3">
      <c r="A21" s="232"/>
      <c r="B21" s="232" t="s">
        <v>1190</v>
      </c>
      <c r="C21" s="232" t="s">
        <v>1191</v>
      </c>
    </row>
    <row r="22" ht="18" spans="1:3">
      <c r="A22" s="232"/>
      <c r="B22" s="232" t="s">
        <v>1192</v>
      </c>
      <c r="C22" s="232" t="s">
        <v>1193</v>
      </c>
    </row>
    <row r="23" ht="18" spans="1:3">
      <c r="A23" s="232"/>
      <c r="B23" s="232" t="s">
        <v>1194</v>
      </c>
      <c r="C23" s="232" t="s">
        <v>1195</v>
      </c>
    </row>
    <row r="24" ht="18" spans="1:4">
      <c r="A24" s="232"/>
      <c r="B24" s="232" t="s">
        <v>1196</v>
      </c>
      <c r="C24" s="232" t="s">
        <v>1197</v>
      </c>
      <c r="D24" s="230" t="s">
        <v>1198</v>
      </c>
    </row>
    <row r="25" spans="1:3">
      <c r="A25" s="235"/>
      <c r="B25" s="235"/>
      <c r="C25" s="235"/>
    </row>
    <row r="26" ht="18" spans="1:3">
      <c r="A26" s="232">
        <v>4</v>
      </c>
      <c r="B26" s="232" t="s">
        <v>1062</v>
      </c>
      <c r="C26" s="232" t="s">
        <v>5</v>
      </c>
    </row>
    <row r="27" ht="18" spans="1:3">
      <c r="A27" s="231" t="s">
        <v>1199</v>
      </c>
      <c r="B27" s="232"/>
      <c r="C27" s="232" t="s">
        <v>1200</v>
      </c>
    </row>
    <row r="28" ht="18" spans="1:3">
      <c r="A28" s="234"/>
      <c r="B28" s="232" t="s">
        <v>1201</v>
      </c>
      <c r="C28" s="232" t="s">
        <v>1066</v>
      </c>
    </row>
    <row r="29" ht="18" spans="1:3">
      <c r="A29" s="234"/>
      <c r="B29" s="232"/>
      <c r="C29" s="232" t="s">
        <v>1202</v>
      </c>
    </row>
    <row r="30" ht="18" spans="1:3">
      <c r="A30" s="234"/>
      <c r="B30" s="240" t="s">
        <v>1203</v>
      </c>
      <c r="C30" s="232" t="s">
        <v>1204</v>
      </c>
    </row>
    <row r="31" ht="18" spans="1:4">
      <c r="A31" s="236"/>
      <c r="B31" s="232" t="s">
        <v>1205</v>
      </c>
      <c r="C31" s="232" t="s">
        <v>1206</v>
      </c>
      <c r="D31" s="230" t="s">
        <v>1207</v>
      </c>
    </row>
    <row r="32" spans="1:3">
      <c r="A32" s="233"/>
      <c r="B32" s="233"/>
      <c r="C32" s="233"/>
    </row>
    <row r="33" ht="18" spans="1:3">
      <c r="A33" s="232">
        <v>5</v>
      </c>
      <c r="B33" s="232" t="s">
        <v>1062</v>
      </c>
      <c r="C33" s="232" t="s">
        <v>5</v>
      </c>
    </row>
    <row r="34" ht="18" spans="1:3">
      <c r="A34" s="231" t="s">
        <v>1208</v>
      </c>
      <c r="B34" s="232"/>
      <c r="C34" s="232" t="s">
        <v>1209</v>
      </c>
    </row>
    <row r="35" ht="18" spans="1:3">
      <c r="A35" s="234"/>
      <c r="B35" s="232" t="s">
        <v>1169</v>
      </c>
      <c r="C35" s="232" t="s">
        <v>1066</v>
      </c>
    </row>
    <row r="36" ht="18" spans="1:3">
      <c r="A36" s="234"/>
      <c r="B36" s="232" t="s">
        <v>1210</v>
      </c>
      <c r="C36" s="232" t="s">
        <v>1211</v>
      </c>
    </row>
    <row r="37" ht="18" spans="1:3">
      <c r="A37" s="234"/>
      <c r="B37" s="232" t="s">
        <v>1212</v>
      </c>
      <c r="C37" s="232" t="s">
        <v>1213</v>
      </c>
    </row>
    <row r="38" ht="18" spans="1:3">
      <c r="A38" s="236"/>
      <c r="B38" s="232" t="s">
        <v>1127</v>
      </c>
      <c r="C38" s="232" t="s">
        <v>1214</v>
      </c>
    </row>
    <row r="39" spans="1:3">
      <c r="A39" s="233"/>
      <c r="B39" s="233"/>
      <c r="C39" s="233"/>
    </row>
    <row r="40" ht="18" spans="1:3">
      <c r="A40" s="232">
        <v>6</v>
      </c>
      <c r="B40" s="232" t="s">
        <v>1062</v>
      </c>
      <c r="C40" s="232" t="s">
        <v>5</v>
      </c>
    </row>
    <row r="41" ht="18" spans="1:3">
      <c r="A41" s="231" t="s">
        <v>1215</v>
      </c>
      <c r="B41" s="232"/>
      <c r="C41" s="232" t="s">
        <v>1216</v>
      </c>
    </row>
    <row r="42" ht="18" spans="1:3">
      <c r="A42" s="234"/>
      <c r="B42" s="232" t="s">
        <v>1065</v>
      </c>
      <c r="C42" s="232" t="s">
        <v>1066</v>
      </c>
    </row>
    <row r="43" ht="18" spans="1:3">
      <c r="A43" s="234"/>
      <c r="B43" s="232" t="s">
        <v>1217</v>
      </c>
      <c r="C43" s="232" t="s">
        <v>1218</v>
      </c>
    </row>
    <row r="44" ht="18" spans="1:3">
      <c r="A44" s="234"/>
      <c r="B44" s="232" t="s">
        <v>1219</v>
      </c>
      <c r="C44" s="232" t="s">
        <v>1220</v>
      </c>
    </row>
    <row r="45" ht="18" spans="1:3">
      <c r="A45" s="236"/>
      <c r="B45" s="232" t="s">
        <v>1090</v>
      </c>
      <c r="C45" s="232" t="s">
        <v>1221</v>
      </c>
    </row>
    <row r="46" spans="1:3">
      <c r="A46" s="233"/>
      <c r="B46" s="233"/>
      <c r="C46" s="233"/>
    </row>
    <row r="47" ht="18" spans="1:3">
      <c r="A47" s="232">
        <v>7</v>
      </c>
      <c r="B47" s="232" t="s">
        <v>1062</v>
      </c>
      <c r="C47" s="232" t="s">
        <v>5</v>
      </c>
    </row>
    <row r="48" ht="18" spans="1:3">
      <c r="A48" s="231" t="s">
        <v>1222</v>
      </c>
      <c r="B48" s="232"/>
      <c r="C48" s="232" t="s">
        <v>1223</v>
      </c>
    </row>
    <row r="49" ht="18" spans="1:3">
      <c r="A49" s="234"/>
      <c r="B49" s="232" t="s">
        <v>1224</v>
      </c>
      <c r="C49" s="232" t="s">
        <v>1113</v>
      </c>
    </row>
    <row r="50" ht="18" spans="1:3">
      <c r="A50" s="234"/>
      <c r="B50" s="232" t="s">
        <v>1225</v>
      </c>
      <c r="C50" s="232" t="s">
        <v>1226</v>
      </c>
    </row>
    <row r="51" ht="18" spans="1:3">
      <c r="A51" s="234"/>
      <c r="B51" s="232" t="s">
        <v>1227</v>
      </c>
      <c r="C51" s="232" t="s">
        <v>1228</v>
      </c>
    </row>
    <row r="52" ht="18" spans="1:3">
      <c r="A52" s="236"/>
      <c r="B52" s="232" t="s">
        <v>1229</v>
      </c>
      <c r="C52" s="232" t="s">
        <v>1230</v>
      </c>
    </row>
    <row r="53" spans="1:3">
      <c r="A53" s="233"/>
      <c r="B53" s="233"/>
      <c r="C53" s="233"/>
    </row>
    <row r="54" ht="18" spans="1:3">
      <c r="A54" s="232">
        <v>8</v>
      </c>
      <c r="B54" s="232" t="s">
        <v>1062</v>
      </c>
      <c r="C54" s="232" t="s">
        <v>5</v>
      </c>
    </row>
    <row r="55" ht="18" spans="1:3">
      <c r="A55" s="231" t="s">
        <v>1231</v>
      </c>
      <c r="B55" s="232"/>
      <c r="C55" s="232" t="s">
        <v>1232</v>
      </c>
    </row>
    <row r="56" ht="18" spans="1:3">
      <c r="A56" s="234"/>
      <c r="B56" s="232" t="s">
        <v>1233</v>
      </c>
      <c r="C56" s="232" t="s">
        <v>1066</v>
      </c>
    </row>
    <row r="57" ht="18" spans="1:4">
      <c r="A57" s="234"/>
      <c r="B57" s="232" t="s">
        <v>1233</v>
      </c>
      <c r="C57" s="232" t="s">
        <v>1234</v>
      </c>
      <c r="D57" s="230" t="s">
        <v>1235</v>
      </c>
    </row>
    <row r="58" ht="18" spans="1:3">
      <c r="A58" s="234"/>
      <c r="B58" s="232" t="s">
        <v>1236</v>
      </c>
      <c r="C58" s="232" t="s">
        <v>1237</v>
      </c>
    </row>
    <row r="59" ht="36" spans="1:3">
      <c r="A59" s="236"/>
      <c r="B59" s="232"/>
      <c r="C59" s="232" t="s">
        <v>1238</v>
      </c>
    </row>
    <row r="60" spans="1:3">
      <c r="A60" s="233"/>
      <c r="B60" s="233"/>
      <c r="C60" s="233"/>
    </row>
    <row r="61" ht="18" spans="1:3">
      <c r="A61" s="232">
        <v>9</v>
      </c>
      <c r="B61" s="232" t="s">
        <v>1062</v>
      </c>
      <c r="C61" s="232" t="s">
        <v>5</v>
      </c>
    </row>
    <row r="62" ht="18" spans="1:3">
      <c r="A62" s="231" t="s">
        <v>1239</v>
      </c>
      <c r="B62" s="232"/>
      <c r="C62" s="232" t="s">
        <v>1240</v>
      </c>
    </row>
    <row r="63" ht="18" spans="1:3">
      <c r="A63" s="234"/>
      <c r="B63" s="232" t="s">
        <v>1241</v>
      </c>
      <c r="C63" s="232" t="s">
        <v>1066</v>
      </c>
    </row>
    <row r="64" ht="18" spans="1:3">
      <c r="A64" s="234"/>
      <c r="B64" s="232"/>
      <c r="C64" s="232" t="s">
        <v>1242</v>
      </c>
    </row>
    <row r="65" ht="18" spans="1:3">
      <c r="A65" s="234"/>
      <c r="B65" s="232" t="s">
        <v>1243</v>
      </c>
      <c r="C65" s="232" t="s">
        <v>1244</v>
      </c>
    </row>
    <row r="66" ht="18" spans="1:3">
      <c r="A66" s="236"/>
      <c r="B66" s="232"/>
      <c r="C66" s="232" t="s">
        <v>1245</v>
      </c>
    </row>
    <row r="67" spans="1:3">
      <c r="A67" s="233"/>
      <c r="B67" s="233"/>
      <c r="C67" s="233"/>
    </row>
    <row r="68" ht="18" spans="1:3">
      <c r="A68" s="232">
        <v>10</v>
      </c>
      <c r="B68" s="232" t="s">
        <v>1062</v>
      </c>
      <c r="C68" s="232" t="s">
        <v>5</v>
      </c>
    </row>
    <row r="69" ht="18" spans="1:3">
      <c r="A69" s="231" t="s">
        <v>1246</v>
      </c>
      <c r="B69" s="232"/>
      <c r="C69" s="232" t="s">
        <v>1247</v>
      </c>
    </row>
    <row r="70" ht="18" spans="1:3">
      <c r="A70" s="234"/>
      <c r="B70" s="232" t="s">
        <v>1248</v>
      </c>
      <c r="C70" s="232" t="s">
        <v>1066</v>
      </c>
    </row>
    <row r="71" ht="18" spans="1:3">
      <c r="A71" s="234"/>
      <c r="B71" s="232" t="s">
        <v>1249</v>
      </c>
      <c r="C71" s="232" t="s">
        <v>1250</v>
      </c>
    </row>
    <row r="72" ht="18" spans="1:3">
      <c r="A72" s="234"/>
      <c r="B72" s="232" t="s">
        <v>1251</v>
      </c>
      <c r="C72" s="232" t="s">
        <v>1252</v>
      </c>
    </row>
    <row r="73" ht="18" spans="1:4">
      <c r="A73" s="236"/>
      <c r="B73" s="232" t="s">
        <v>1253</v>
      </c>
      <c r="C73" s="232" t="s">
        <v>1254</v>
      </c>
      <c r="D73" s="230" t="s">
        <v>1255</v>
      </c>
    </row>
    <row r="74" spans="1:3">
      <c r="A74" s="233"/>
      <c r="B74" s="233"/>
      <c r="C74" s="233"/>
    </row>
    <row r="75" ht="18" spans="1:3">
      <c r="A75" s="232">
        <v>11</v>
      </c>
      <c r="B75" s="232" t="s">
        <v>1062</v>
      </c>
      <c r="C75" s="232" t="s">
        <v>5</v>
      </c>
    </row>
    <row r="76" ht="18" spans="1:3">
      <c r="A76" s="232" t="s">
        <v>1256</v>
      </c>
      <c r="B76" s="232"/>
      <c r="C76" s="232" t="s">
        <v>1257</v>
      </c>
    </row>
    <row r="77" ht="18" spans="1:3">
      <c r="A77" s="232"/>
      <c r="B77" s="232" t="s">
        <v>1090</v>
      </c>
      <c r="C77" s="232" t="s">
        <v>1258</v>
      </c>
    </row>
    <row r="78" ht="18" spans="1:3">
      <c r="A78" s="232"/>
      <c r="B78" s="232" t="s">
        <v>1259</v>
      </c>
      <c r="C78" s="232" t="s">
        <v>1260</v>
      </c>
    </row>
    <row r="79" ht="18" spans="1:3">
      <c r="A79" s="232"/>
      <c r="B79" s="232" t="s">
        <v>1261</v>
      </c>
      <c r="C79" s="232" t="s">
        <v>1262</v>
      </c>
    </row>
    <row r="80" ht="18" spans="1:3">
      <c r="A80" s="232"/>
      <c r="B80" s="232" t="s">
        <v>1263</v>
      </c>
      <c r="C80" s="232" t="s">
        <v>1264</v>
      </c>
    </row>
    <row r="81" spans="1:3">
      <c r="A81" s="235"/>
      <c r="B81" s="235"/>
      <c r="C81" s="235"/>
    </row>
    <row r="82" ht="18" spans="1:3">
      <c r="A82" s="232">
        <v>12</v>
      </c>
      <c r="B82" s="232" t="s">
        <v>1062</v>
      </c>
      <c r="C82" s="232" t="s">
        <v>5</v>
      </c>
    </row>
    <row r="83" ht="18" spans="1:3">
      <c r="A83" s="232" t="s">
        <v>1265</v>
      </c>
      <c r="B83" s="232"/>
      <c r="C83" s="232" t="s">
        <v>1266</v>
      </c>
    </row>
    <row r="84" ht="18" spans="1:3">
      <c r="A84" s="232"/>
      <c r="B84" s="232"/>
      <c r="C84" s="232" t="s">
        <v>1267</v>
      </c>
    </row>
    <row r="85" ht="18" spans="1:3">
      <c r="A85" s="232"/>
      <c r="B85" s="232" t="s">
        <v>1268</v>
      </c>
      <c r="C85" s="232" t="s">
        <v>1269</v>
      </c>
    </row>
    <row r="86" ht="18" spans="1:3">
      <c r="A86" s="232"/>
      <c r="B86" s="232" t="s">
        <v>1270</v>
      </c>
      <c r="C86" s="232" t="s">
        <v>1271</v>
      </c>
    </row>
    <row r="87" ht="36" spans="1:3">
      <c r="A87" s="232"/>
      <c r="B87" s="232"/>
      <c r="C87" s="232" t="s">
        <v>1272</v>
      </c>
    </row>
    <row r="89" ht="18" spans="1:3">
      <c r="A89" s="241">
        <v>13</v>
      </c>
      <c r="B89" s="242" t="s">
        <v>1062</v>
      </c>
      <c r="C89" s="242" t="s">
        <v>5</v>
      </c>
    </row>
    <row r="90" ht="18" spans="1:3">
      <c r="A90" s="243" t="s">
        <v>1273</v>
      </c>
      <c r="B90" s="244"/>
      <c r="C90" s="244" t="s">
        <v>1274</v>
      </c>
    </row>
    <row r="91" ht="18" spans="1:3">
      <c r="A91" s="245"/>
      <c r="B91" s="244" t="s">
        <v>1275</v>
      </c>
      <c r="C91" s="244" t="s">
        <v>1276</v>
      </c>
    </row>
    <row r="92" ht="18" spans="1:3">
      <c r="A92" s="245"/>
      <c r="B92" s="244" t="s">
        <v>1277</v>
      </c>
      <c r="C92" s="244" t="s">
        <v>1278</v>
      </c>
    </row>
    <row r="93" ht="18" spans="1:3">
      <c r="A93" s="245"/>
      <c r="B93" s="232" t="s">
        <v>1279</v>
      </c>
      <c r="C93" s="232" t="s">
        <v>1280</v>
      </c>
    </row>
    <row r="94" ht="18" spans="1:3">
      <c r="A94" s="246"/>
      <c r="B94" s="244"/>
      <c r="C94" s="244" t="s">
        <v>1281</v>
      </c>
    </row>
    <row r="96" ht="18" spans="1:3">
      <c r="A96" s="241">
        <v>14</v>
      </c>
      <c r="B96" s="242" t="s">
        <v>1062</v>
      </c>
      <c r="C96" s="242" t="s">
        <v>5</v>
      </c>
    </row>
    <row r="97" ht="18" spans="1:3">
      <c r="A97" s="243" t="s">
        <v>1282</v>
      </c>
      <c r="B97" s="244"/>
      <c r="C97" s="244" t="s">
        <v>1283</v>
      </c>
    </row>
    <row r="98" ht="18" spans="1:3">
      <c r="A98" s="245"/>
      <c r="B98" s="244" t="s">
        <v>1284</v>
      </c>
      <c r="C98" s="244" t="s">
        <v>1285</v>
      </c>
    </row>
    <row r="99" ht="18" spans="1:3">
      <c r="A99" s="245"/>
      <c r="B99" s="244" t="s">
        <v>1286</v>
      </c>
      <c r="C99" s="244" t="s">
        <v>1287</v>
      </c>
    </row>
    <row r="100" ht="18" spans="1:3">
      <c r="A100" s="245"/>
      <c r="B100" s="244" t="s">
        <v>1288</v>
      </c>
      <c r="C100" s="244" t="s">
        <v>1289</v>
      </c>
    </row>
    <row r="101" ht="18" spans="1:3">
      <c r="A101" s="246"/>
      <c r="B101" s="244"/>
      <c r="C101" s="244" t="s">
        <v>1290</v>
      </c>
    </row>
    <row r="104" ht="18" spans="1:3">
      <c r="A104" s="241">
        <v>15</v>
      </c>
      <c r="B104" s="242" t="s">
        <v>1062</v>
      </c>
      <c r="C104" s="242" t="s">
        <v>5</v>
      </c>
    </row>
    <row r="105" ht="18" spans="1:3">
      <c r="A105" s="243" t="s">
        <v>1291</v>
      </c>
      <c r="B105" s="244"/>
      <c r="C105" s="244" t="s">
        <v>1292</v>
      </c>
    </row>
    <row r="106" ht="18" spans="1:3">
      <c r="A106" s="245"/>
      <c r="B106" s="244" t="s">
        <v>1293</v>
      </c>
      <c r="C106" s="244" t="s">
        <v>1294</v>
      </c>
    </row>
    <row r="107" ht="18" spans="1:3">
      <c r="A107" s="245"/>
      <c r="B107" s="244" t="s">
        <v>1295</v>
      </c>
      <c r="C107" s="244" t="s">
        <v>1296</v>
      </c>
    </row>
    <row r="108" ht="18" spans="1:3">
      <c r="A108" s="245"/>
      <c r="B108" s="244" t="s">
        <v>1077</v>
      </c>
      <c r="C108" s="247" t="s">
        <v>1297</v>
      </c>
    </row>
    <row r="109" ht="18" spans="1:3">
      <c r="A109" s="246"/>
      <c r="B109" s="244" t="s">
        <v>1127</v>
      </c>
      <c r="C109" s="244" t="s">
        <v>1298</v>
      </c>
    </row>
  </sheetData>
  <mergeCells count="16">
    <mergeCell ref="A1:A3"/>
    <mergeCell ref="A6:A10"/>
    <mergeCell ref="A13:A17"/>
    <mergeCell ref="A20:A24"/>
    <mergeCell ref="A27:A31"/>
    <mergeCell ref="A34:A38"/>
    <mergeCell ref="A41:A45"/>
    <mergeCell ref="A48:A52"/>
    <mergeCell ref="A55:A59"/>
    <mergeCell ref="A62:A66"/>
    <mergeCell ref="A69:A73"/>
    <mergeCell ref="A76:A80"/>
    <mergeCell ref="A83:A87"/>
    <mergeCell ref="A90:A94"/>
    <mergeCell ref="A97:A101"/>
    <mergeCell ref="A105:A109"/>
  </mergeCells>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90"/>
  <sheetViews>
    <sheetView tabSelected="1" zoomScale="119" zoomScaleNormal="119" topLeftCell="A2" workbookViewId="0">
      <selection activeCell="C15" sqref="C15"/>
    </sheetView>
  </sheetViews>
  <sheetFormatPr defaultColWidth="11" defaultRowHeight="15.2" outlineLevelCol="3"/>
  <cols>
    <col min="1" max="1" width="10.8303571428571" style="218"/>
    <col min="2" max="2" width="59.6607142857143" style="218" customWidth="1"/>
    <col min="3" max="3" width="82.2767857142857" style="218" customWidth="1"/>
    <col min="4" max="4" width="40.3928571428571" style="219" customWidth="1"/>
    <col min="5" max="16384" width="10.8303571428571" style="218"/>
  </cols>
  <sheetData>
    <row r="1" ht="17" spans="1:3">
      <c r="A1" s="220" t="s">
        <v>1058</v>
      </c>
      <c r="B1" s="221" t="s">
        <v>1059</v>
      </c>
      <c r="C1" s="222"/>
    </row>
    <row r="2" ht="17" spans="1:3">
      <c r="A2" s="223"/>
      <c r="B2" s="221" t="s">
        <v>1060</v>
      </c>
      <c r="C2" s="224"/>
    </row>
    <row r="3" ht="17" spans="1:3">
      <c r="A3" s="225"/>
      <c r="B3" s="221" t="s">
        <v>1061</v>
      </c>
      <c r="C3" s="224"/>
    </row>
    <row r="4" ht="16.8" spans="1:3">
      <c r="A4" s="224"/>
      <c r="B4" s="224"/>
      <c r="C4" s="224"/>
    </row>
    <row r="5" ht="17" spans="1:3">
      <c r="A5" s="221">
        <v>1</v>
      </c>
      <c r="B5" s="221" t="s">
        <v>1062</v>
      </c>
      <c r="C5" s="221" t="s">
        <v>5</v>
      </c>
    </row>
    <row r="6" ht="17" spans="1:3">
      <c r="A6" s="220" t="s">
        <v>1299</v>
      </c>
      <c r="B6" s="221"/>
      <c r="C6" s="221" t="s">
        <v>1300</v>
      </c>
    </row>
    <row r="7" ht="17" spans="1:3">
      <c r="A7" s="223"/>
      <c r="B7" s="221" t="s">
        <v>1301</v>
      </c>
      <c r="C7" s="221" t="s">
        <v>1302</v>
      </c>
    </row>
    <row r="8" ht="17" spans="1:3">
      <c r="A8" s="223"/>
      <c r="B8" s="221" t="s">
        <v>1303</v>
      </c>
      <c r="C8" s="221" t="s">
        <v>1304</v>
      </c>
    </row>
    <row r="9" ht="17" spans="1:3">
      <c r="A9" s="223"/>
      <c r="B9" s="221" t="s">
        <v>1305</v>
      </c>
      <c r="C9" s="226" t="s">
        <v>1306</v>
      </c>
    </row>
    <row r="10" ht="17" spans="1:4">
      <c r="A10" s="225"/>
      <c r="B10" s="221" t="s">
        <v>1196</v>
      </c>
      <c r="C10" s="221" t="s">
        <v>1307</v>
      </c>
      <c r="D10" s="227" t="s">
        <v>1308</v>
      </c>
    </row>
    <row r="11" ht="16.8" spans="1:3">
      <c r="A11" s="224"/>
      <c r="B11" s="224"/>
      <c r="C11" s="224"/>
    </row>
    <row r="12" ht="17" spans="1:3">
      <c r="A12" s="221">
        <v>2</v>
      </c>
      <c r="B12" s="221" t="s">
        <v>1062</v>
      </c>
      <c r="C12" s="221" t="s">
        <v>5</v>
      </c>
    </row>
    <row r="13" ht="17" spans="1:3">
      <c r="A13" s="221" t="s">
        <v>1309</v>
      </c>
      <c r="B13" s="221"/>
      <c r="C13" s="221" t="s">
        <v>1310</v>
      </c>
    </row>
    <row r="14" ht="17" spans="1:3">
      <c r="A14" s="221"/>
      <c r="B14" s="221" t="s">
        <v>1311</v>
      </c>
      <c r="C14" s="221" t="s">
        <v>1312</v>
      </c>
    </row>
    <row r="15" ht="16.8" spans="1:3">
      <c r="A15" s="221"/>
      <c r="B15" s="221"/>
      <c r="C15" s="221"/>
    </row>
    <row r="16" ht="17" spans="1:3">
      <c r="A16" s="221"/>
      <c r="B16" s="221" t="s">
        <v>1160</v>
      </c>
      <c r="C16" s="221" t="s">
        <v>1313</v>
      </c>
    </row>
    <row r="17" ht="17" spans="1:3">
      <c r="A17" s="221"/>
      <c r="B17" s="221" t="s">
        <v>1314</v>
      </c>
      <c r="C17" s="221" t="s">
        <v>1315</v>
      </c>
    </row>
    <row r="18" ht="16.8" spans="1:3">
      <c r="A18" s="224"/>
      <c r="B18" s="224"/>
      <c r="C18" s="224"/>
    </row>
    <row r="19" ht="17" spans="1:3">
      <c r="A19" s="221">
        <v>3</v>
      </c>
      <c r="B19" s="221" t="s">
        <v>1062</v>
      </c>
      <c r="C19" s="221" t="s">
        <v>5</v>
      </c>
    </row>
    <row r="20" ht="17" spans="1:3">
      <c r="A20" s="221" t="s">
        <v>1316</v>
      </c>
      <c r="B20" s="221"/>
      <c r="C20" s="221" t="s">
        <v>1317</v>
      </c>
    </row>
    <row r="21" ht="17" spans="1:3">
      <c r="A21" s="221"/>
      <c r="B21" s="221" t="s">
        <v>1318</v>
      </c>
      <c r="C21" s="221" t="s">
        <v>1319</v>
      </c>
    </row>
    <row r="22" ht="17" spans="1:3">
      <c r="A22" s="221"/>
      <c r="B22" s="221" t="s">
        <v>1320</v>
      </c>
      <c r="C22" s="221" t="s">
        <v>1211</v>
      </c>
    </row>
    <row r="23" ht="17" spans="1:3">
      <c r="A23" s="221"/>
      <c r="B23" s="221" t="s">
        <v>1321</v>
      </c>
      <c r="C23" s="221" t="s">
        <v>1322</v>
      </c>
    </row>
    <row r="24" ht="17" spans="1:3">
      <c r="A24" s="221"/>
      <c r="B24" s="221"/>
      <c r="C24" s="221" t="s">
        <v>1323</v>
      </c>
    </row>
    <row r="25" ht="16.8" spans="1:3">
      <c r="A25" s="224"/>
      <c r="B25" s="224"/>
      <c r="C25" s="224"/>
    </row>
    <row r="26" ht="17" spans="1:3">
      <c r="A26" s="221">
        <v>4</v>
      </c>
      <c r="B26" s="221" t="s">
        <v>1062</v>
      </c>
      <c r="C26" s="221" t="s">
        <v>5</v>
      </c>
    </row>
    <row r="27" ht="16.8" spans="1:3">
      <c r="A27" s="220" t="s">
        <v>1324</v>
      </c>
      <c r="B27" s="221"/>
      <c r="C27" s="221"/>
    </row>
    <row r="28" ht="16.8" spans="1:3">
      <c r="A28" s="223"/>
      <c r="B28" s="221"/>
      <c r="C28" s="221"/>
    </row>
    <row r="29" ht="16.8" spans="1:3">
      <c r="A29" s="223"/>
      <c r="B29" s="221"/>
      <c r="C29" s="221"/>
    </row>
    <row r="30" ht="16.8" spans="1:3">
      <c r="A30" s="223"/>
      <c r="B30" s="221"/>
      <c r="C30" s="221"/>
    </row>
    <row r="31" ht="16.8" spans="1:3">
      <c r="A31" s="225"/>
      <c r="B31" s="221"/>
      <c r="C31" s="221"/>
    </row>
    <row r="32" spans="1:3">
      <c r="A32" s="222"/>
      <c r="B32" s="222"/>
      <c r="C32" s="222"/>
    </row>
    <row r="33" ht="17" spans="1:3">
      <c r="A33" s="221">
        <v>5</v>
      </c>
      <c r="B33" s="221" t="s">
        <v>1062</v>
      </c>
      <c r="C33" s="221" t="s">
        <v>5</v>
      </c>
    </row>
    <row r="34" ht="16.8" spans="1:3">
      <c r="A34" s="220" t="s">
        <v>1325</v>
      </c>
      <c r="B34" s="221"/>
      <c r="C34" s="221"/>
    </row>
    <row r="35" ht="16.8" spans="1:3">
      <c r="A35" s="223"/>
      <c r="B35" s="221"/>
      <c r="C35" s="221"/>
    </row>
    <row r="36" ht="16.8" spans="1:3">
      <c r="A36" s="223"/>
      <c r="B36" s="221"/>
      <c r="C36" s="221"/>
    </row>
    <row r="37" ht="16.8" spans="1:3">
      <c r="A37" s="223"/>
      <c r="B37" s="221"/>
      <c r="C37" s="221"/>
    </row>
    <row r="38" ht="16.8" spans="1:3">
      <c r="A38" s="225"/>
      <c r="B38" s="221"/>
      <c r="C38" s="221"/>
    </row>
    <row r="39" spans="1:3">
      <c r="A39" s="222"/>
      <c r="B39" s="222"/>
      <c r="C39" s="222"/>
    </row>
    <row r="40" ht="17" spans="1:3">
      <c r="A40" s="221">
        <v>6</v>
      </c>
      <c r="B40" s="221" t="s">
        <v>1062</v>
      </c>
      <c r="C40" s="221" t="s">
        <v>5</v>
      </c>
    </row>
    <row r="41" ht="16.8" spans="1:3">
      <c r="A41" s="220" t="s">
        <v>1326</v>
      </c>
      <c r="B41" s="221"/>
      <c r="C41" s="221"/>
    </row>
    <row r="42" ht="16.8" spans="1:3">
      <c r="A42" s="223"/>
      <c r="B42" s="221"/>
      <c r="C42" s="221"/>
    </row>
    <row r="43" ht="16.8" spans="1:3">
      <c r="A43" s="223"/>
      <c r="B43" s="221"/>
      <c r="C43" s="221"/>
    </row>
    <row r="44" ht="16.8" spans="1:3">
      <c r="A44" s="223"/>
      <c r="B44" s="221"/>
      <c r="C44" s="221"/>
    </row>
    <row r="45" ht="16.8" spans="1:3">
      <c r="A45" s="225"/>
      <c r="B45" s="221"/>
      <c r="C45" s="221"/>
    </row>
    <row r="46" spans="1:3">
      <c r="A46" s="222"/>
      <c r="B46" s="222"/>
      <c r="C46" s="222"/>
    </row>
    <row r="47" ht="17" spans="1:3">
      <c r="A47" s="221">
        <v>7</v>
      </c>
      <c r="B47" s="221" t="s">
        <v>1062</v>
      </c>
      <c r="C47" s="221" t="s">
        <v>5</v>
      </c>
    </row>
    <row r="48" ht="17" spans="1:3">
      <c r="A48" s="220" t="s">
        <v>1327</v>
      </c>
      <c r="B48" s="221"/>
      <c r="C48" s="221" t="s">
        <v>1328</v>
      </c>
    </row>
    <row r="49" ht="16.8" spans="1:3">
      <c r="A49" s="223"/>
      <c r="B49" s="221"/>
      <c r="C49" s="221"/>
    </row>
    <row r="50" ht="16.8" spans="1:3">
      <c r="A50" s="223"/>
      <c r="B50" s="221"/>
      <c r="C50" s="221"/>
    </row>
    <row r="51" ht="16.8" spans="1:3">
      <c r="A51" s="223"/>
      <c r="B51" s="221"/>
      <c r="C51" s="221"/>
    </row>
    <row r="52" ht="16.8" spans="1:3">
      <c r="A52" s="225"/>
      <c r="B52" s="221"/>
      <c r="C52" s="221"/>
    </row>
    <row r="53" spans="1:3">
      <c r="A53" s="222"/>
      <c r="B53" s="222"/>
      <c r="C53" s="222"/>
    </row>
    <row r="54" ht="17" spans="1:3">
      <c r="A54" s="221">
        <v>8</v>
      </c>
      <c r="B54" s="221" t="s">
        <v>1062</v>
      </c>
      <c r="C54" s="221" t="s">
        <v>5</v>
      </c>
    </row>
    <row r="55" ht="16.8" spans="1:3">
      <c r="A55" s="220" t="s">
        <v>1329</v>
      </c>
      <c r="B55" s="221"/>
      <c r="C55" s="221"/>
    </row>
    <row r="56" ht="16.8" spans="1:3">
      <c r="A56" s="223"/>
      <c r="B56" s="221"/>
      <c r="C56" s="221"/>
    </row>
    <row r="57" ht="16.8" spans="1:3">
      <c r="A57" s="223"/>
      <c r="B57" s="221"/>
      <c r="C57" s="221"/>
    </row>
    <row r="58" ht="16.8" spans="1:3">
      <c r="A58" s="223"/>
      <c r="B58" s="221"/>
      <c r="C58" s="221"/>
    </row>
    <row r="59" ht="16.8" spans="1:3">
      <c r="A59" s="225"/>
      <c r="B59" s="221"/>
      <c r="C59" s="228"/>
    </row>
    <row r="60" spans="1:3">
      <c r="A60" s="222"/>
      <c r="B60" s="222"/>
      <c r="C60" s="222"/>
    </row>
    <row r="61" ht="17" spans="1:3">
      <c r="A61" s="221">
        <v>9</v>
      </c>
      <c r="B61" s="221" t="s">
        <v>1062</v>
      </c>
      <c r="C61" s="221" t="s">
        <v>5</v>
      </c>
    </row>
    <row r="62" ht="16.8" spans="1:3">
      <c r="A62" s="220" t="s">
        <v>1330</v>
      </c>
      <c r="B62" s="221"/>
      <c r="C62" s="221"/>
    </row>
    <row r="63" ht="16.8" spans="1:3">
      <c r="A63" s="223"/>
      <c r="B63" s="221"/>
      <c r="C63" s="221"/>
    </row>
    <row r="64" ht="16.8" spans="1:3">
      <c r="A64" s="223"/>
      <c r="B64" s="221"/>
      <c r="C64" s="221"/>
    </row>
    <row r="65" ht="16.8" spans="1:3">
      <c r="A65" s="223"/>
      <c r="B65" s="221"/>
      <c r="C65" s="221"/>
    </row>
    <row r="66" ht="16.8" spans="1:3">
      <c r="A66" s="223"/>
      <c r="B66" s="221"/>
      <c r="C66" s="228"/>
    </row>
    <row r="67" ht="16.8" spans="1:3">
      <c r="A67" s="225"/>
      <c r="B67" s="221"/>
      <c r="C67" s="221"/>
    </row>
    <row r="68" spans="1:3">
      <c r="A68" s="222"/>
      <c r="B68" s="222"/>
      <c r="C68" s="222"/>
    </row>
    <row r="69" ht="17" spans="1:3">
      <c r="A69" s="221">
        <v>10</v>
      </c>
      <c r="B69" s="221" t="s">
        <v>1062</v>
      </c>
      <c r="C69" s="221" t="s">
        <v>5</v>
      </c>
    </row>
    <row r="70" ht="16.8" spans="1:3">
      <c r="A70" s="220" t="s">
        <v>1331</v>
      </c>
      <c r="B70" s="221"/>
      <c r="C70" s="221"/>
    </row>
    <row r="71" ht="16.8" spans="1:3">
      <c r="A71" s="223"/>
      <c r="B71" s="221"/>
      <c r="C71" s="221"/>
    </row>
    <row r="72" ht="16.8" spans="1:3">
      <c r="A72" s="223"/>
      <c r="B72" s="221"/>
      <c r="C72" s="221"/>
    </row>
    <row r="73" ht="16.8" spans="1:3">
      <c r="A73" s="223"/>
      <c r="B73" s="221"/>
      <c r="C73" s="221"/>
    </row>
    <row r="74" ht="16.8" spans="1:3">
      <c r="A74" s="225"/>
      <c r="B74" s="221"/>
      <c r="C74" s="221"/>
    </row>
    <row r="75" spans="1:3">
      <c r="A75" s="222"/>
      <c r="B75" s="222"/>
      <c r="C75" s="222"/>
    </row>
    <row r="76" ht="17" spans="1:3">
      <c r="A76" s="221">
        <v>11</v>
      </c>
      <c r="B76" s="221" t="s">
        <v>1062</v>
      </c>
      <c r="C76" s="221" t="s">
        <v>5</v>
      </c>
    </row>
    <row r="77" ht="16.8" spans="1:3">
      <c r="A77" s="221" t="s">
        <v>1332</v>
      </c>
      <c r="B77" s="221"/>
      <c r="C77" s="221"/>
    </row>
    <row r="78" ht="16.8" spans="1:3">
      <c r="A78" s="221"/>
      <c r="B78" s="221"/>
      <c r="C78" s="221"/>
    </row>
    <row r="79" ht="16.8" spans="1:3">
      <c r="A79" s="221"/>
      <c r="B79" s="221"/>
      <c r="C79" s="221"/>
    </row>
    <row r="80" ht="16.8" spans="1:3">
      <c r="A80" s="221"/>
      <c r="B80" s="221"/>
      <c r="C80" s="221"/>
    </row>
    <row r="81" ht="16.8" spans="1:3">
      <c r="A81" s="221"/>
      <c r="B81" s="221"/>
      <c r="C81" s="228"/>
    </row>
    <row r="82" ht="16.8" spans="1:3">
      <c r="A82" s="221"/>
      <c r="B82" s="221"/>
      <c r="C82" s="221"/>
    </row>
    <row r="83" ht="16.8" spans="1:3">
      <c r="A83" s="224"/>
      <c r="B83" s="224"/>
      <c r="C83" s="224"/>
    </row>
    <row r="84" ht="17" spans="1:3">
      <c r="A84" s="221">
        <v>12</v>
      </c>
      <c r="B84" s="221" t="s">
        <v>1062</v>
      </c>
      <c r="C84" s="221" t="s">
        <v>5</v>
      </c>
    </row>
    <row r="85" ht="16.8" spans="1:3">
      <c r="A85" s="221" t="s">
        <v>1333</v>
      </c>
      <c r="B85" s="221"/>
      <c r="C85" s="221"/>
    </row>
    <row r="86" ht="16.8" spans="1:3">
      <c r="A86" s="221"/>
      <c r="B86" s="221"/>
      <c r="C86" s="221"/>
    </row>
    <row r="87" ht="16.8" spans="1:3">
      <c r="A87" s="221"/>
      <c r="B87" s="221"/>
      <c r="C87" s="221"/>
    </row>
    <row r="88" ht="16.8" spans="1:3">
      <c r="A88" s="221"/>
      <c r="B88" s="221"/>
      <c r="C88" s="221"/>
    </row>
    <row r="89" ht="16.8" spans="1:3">
      <c r="A89" s="221"/>
      <c r="B89" s="221"/>
      <c r="C89" s="228"/>
    </row>
    <row r="90" ht="16.8" spans="1:3">
      <c r="A90" s="221"/>
      <c r="B90" s="221"/>
      <c r="C90" s="221"/>
    </row>
  </sheetData>
  <mergeCells count="13">
    <mergeCell ref="A1:A3"/>
    <mergeCell ref="A6:A10"/>
    <mergeCell ref="A13:A17"/>
    <mergeCell ref="A20:A24"/>
    <mergeCell ref="A27:A31"/>
    <mergeCell ref="A34:A38"/>
    <mergeCell ref="A41:A45"/>
    <mergeCell ref="A48:A52"/>
    <mergeCell ref="A55:A59"/>
    <mergeCell ref="A62:A67"/>
    <mergeCell ref="A70:A74"/>
    <mergeCell ref="A77:A82"/>
    <mergeCell ref="A85:A90"/>
  </mergeCells>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6"/>
  <sheetViews>
    <sheetView zoomScale="150" zoomScaleNormal="150" workbookViewId="0">
      <selection activeCell="E12" sqref="E12"/>
    </sheetView>
  </sheetViews>
  <sheetFormatPr defaultColWidth="10.3303571428571" defaultRowHeight="16.8"/>
  <cols>
    <col min="1" max="6" width="10.3303571428571" style="216"/>
    <col min="7" max="7" width="9.66071428571429" style="216" customWidth="1"/>
    <col min="8" max="13" width="10.3303571428571" style="216"/>
    <col min="14" max="14" width="77.8303571428571" style="216" customWidth="1"/>
    <col min="15" max="16384" width="10.3303571428571" style="216"/>
  </cols>
  <sheetData>
    <row r="1" spans="1:14">
      <c r="A1" s="216" t="s">
        <v>92</v>
      </c>
      <c r="B1" s="216" t="s">
        <v>94</v>
      </c>
      <c r="C1" s="216" t="s">
        <v>95</v>
      </c>
      <c r="D1" s="216" t="s">
        <v>96</v>
      </c>
      <c r="E1" s="216" t="s">
        <v>97</v>
      </c>
      <c r="F1" s="216" t="s">
        <v>98</v>
      </c>
      <c r="G1" s="216" t="s">
        <v>107</v>
      </c>
      <c r="H1" s="216" t="s">
        <v>101</v>
      </c>
      <c r="I1" s="216" t="s">
        <v>102</v>
      </c>
      <c r="J1" s="216" t="s">
        <v>103</v>
      </c>
      <c r="K1" s="216" t="s">
        <v>104</v>
      </c>
      <c r="L1" s="216" t="s">
        <v>105</v>
      </c>
      <c r="M1" s="216" t="s">
        <v>106</v>
      </c>
      <c r="N1" s="216" t="s">
        <v>1334</v>
      </c>
    </row>
    <row r="2" ht="17" spans="1:14">
      <c r="A2" s="216" t="s">
        <v>1335</v>
      </c>
      <c r="B2" s="216">
        <v>105</v>
      </c>
      <c r="C2" s="216">
        <v>90</v>
      </c>
      <c r="D2" s="216">
        <v>90</v>
      </c>
      <c r="E2" s="216">
        <v>85</v>
      </c>
      <c r="F2" s="216">
        <v>85</v>
      </c>
      <c r="G2" s="216" t="s">
        <v>1336</v>
      </c>
      <c r="H2" s="217" t="s">
        <v>115</v>
      </c>
      <c r="I2" s="217" t="s">
        <v>124</v>
      </c>
      <c r="J2" s="217" t="s">
        <v>123</v>
      </c>
      <c r="K2" s="217" t="s">
        <v>116</v>
      </c>
      <c r="L2" s="217" t="s">
        <v>115</v>
      </c>
      <c r="M2" s="217" t="s">
        <v>124</v>
      </c>
      <c r="N2" s="216" t="s">
        <v>1337</v>
      </c>
    </row>
    <row r="3" spans="1:14">
      <c r="A3" s="216" t="s">
        <v>1338</v>
      </c>
      <c r="B3" s="216">
        <v>100</v>
      </c>
      <c r="C3" s="216">
        <v>90</v>
      </c>
      <c r="D3" s="216">
        <v>80</v>
      </c>
      <c r="E3" s="216">
        <v>70</v>
      </c>
      <c r="F3" s="216">
        <v>80</v>
      </c>
      <c r="G3" s="216" t="s">
        <v>1339</v>
      </c>
      <c r="H3" s="216" t="s">
        <v>1340</v>
      </c>
      <c r="I3" s="216" t="s">
        <v>1341</v>
      </c>
      <c r="J3" s="216" t="s">
        <v>116</v>
      </c>
      <c r="K3" s="216" t="s">
        <v>1342</v>
      </c>
      <c r="L3" s="216" t="s">
        <v>1340</v>
      </c>
      <c r="M3" s="216" t="s">
        <v>1341</v>
      </c>
      <c r="N3" s="216" t="s">
        <v>1343</v>
      </c>
    </row>
    <row r="4" spans="1:14">
      <c r="A4" s="216" t="s">
        <v>1344</v>
      </c>
      <c r="B4" s="216">
        <v>90</v>
      </c>
      <c r="C4" s="216">
        <v>100</v>
      </c>
      <c r="D4" s="216">
        <v>80</v>
      </c>
      <c r="E4" s="216">
        <v>70</v>
      </c>
      <c r="F4" s="216">
        <v>80</v>
      </c>
      <c r="G4" s="216" t="s">
        <v>1345</v>
      </c>
      <c r="H4" s="216" t="s">
        <v>1340</v>
      </c>
      <c r="I4" s="216" t="s">
        <v>123</v>
      </c>
      <c r="J4" s="216" t="s">
        <v>1341</v>
      </c>
      <c r="K4" s="216" t="s">
        <v>116</v>
      </c>
      <c r="L4" s="216" t="s">
        <v>1342</v>
      </c>
      <c r="M4" s="216" t="s">
        <v>1341</v>
      </c>
      <c r="N4" s="216" t="s">
        <v>1346</v>
      </c>
    </row>
    <row r="5" spans="1:14">
      <c r="A5" s="216" t="s">
        <v>1347</v>
      </c>
      <c r="B5" s="216">
        <v>110</v>
      </c>
      <c r="C5" s="216">
        <v>100</v>
      </c>
      <c r="D5" s="216">
        <v>1</v>
      </c>
      <c r="E5" s="216">
        <v>1</v>
      </c>
      <c r="F5" s="216">
        <v>1</v>
      </c>
      <c r="G5" s="216" t="s">
        <v>1347</v>
      </c>
      <c r="H5" s="216" t="s">
        <v>116</v>
      </c>
      <c r="I5" s="216" t="s">
        <v>123</v>
      </c>
      <c r="J5" s="216" t="s">
        <v>1348</v>
      </c>
      <c r="K5" s="216" t="s">
        <v>1348</v>
      </c>
      <c r="L5" s="216" t="s">
        <v>1348</v>
      </c>
      <c r="M5" s="216" t="s">
        <v>123</v>
      </c>
      <c r="N5" s="216" t="s">
        <v>1349</v>
      </c>
    </row>
    <row r="6" spans="1:14">
      <c r="A6" s="216" t="s">
        <v>1350</v>
      </c>
      <c r="B6" s="216">
        <v>90</v>
      </c>
      <c r="C6" s="216">
        <v>1</v>
      </c>
      <c r="D6" s="216">
        <v>110</v>
      </c>
      <c r="E6" s="216">
        <v>1</v>
      </c>
      <c r="F6" s="216">
        <v>1</v>
      </c>
      <c r="G6" s="216" t="s">
        <v>1350</v>
      </c>
      <c r="H6" s="216" t="s">
        <v>1340</v>
      </c>
      <c r="I6" s="216" t="s">
        <v>1340</v>
      </c>
      <c r="J6" s="216" t="s">
        <v>1340</v>
      </c>
      <c r="K6" s="216" t="s">
        <v>1340</v>
      </c>
      <c r="L6" s="216" t="s">
        <v>1340</v>
      </c>
      <c r="M6" s="216" t="s">
        <v>1340</v>
      </c>
      <c r="N6" s="216" t="s">
        <v>1351</v>
      </c>
    </row>
    <row r="7" spans="1:14">
      <c r="A7" s="216" t="s">
        <v>1352</v>
      </c>
      <c r="B7" s="216">
        <v>90</v>
      </c>
      <c r="C7" s="216">
        <v>110</v>
      </c>
      <c r="D7" s="216">
        <v>1</v>
      </c>
      <c r="E7" s="216">
        <v>1</v>
      </c>
      <c r="F7" s="216">
        <v>1</v>
      </c>
      <c r="G7" s="216" t="s">
        <v>1352</v>
      </c>
      <c r="H7" s="216" t="s">
        <v>1340</v>
      </c>
      <c r="I7" s="216" t="s">
        <v>123</v>
      </c>
      <c r="J7" s="216" t="s">
        <v>1348</v>
      </c>
      <c r="K7" s="216" t="s">
        <v>1348</v>
      </c>
      <c r="L7" s="216" t="s">
        <v>1348</v>
      </c>
      <c r="M7" s="216" t="s">
        <v>1348</v>
      </c>
      <c r="N7" s="216" t="s">
        <v>1353</v>
      </c>
    </row>
    <row r="8" spans="1:14">
      <c r="A8" s="216" t="s">
        <v>1354</v>
      </c>
      <c r="B8" s="216">
        <v>95</v>
      </c>
      <c r="C8" s="216">
        <v>80</v>
      </c>
      <c r="D8" s="216">
        <v>90</v>
      </c>
      <c r="E8" s="216">
        <v>55</v>
      </c>
      <c r="F8" s="216">
        <v>60</v>
      </c>
      <c r="G8" s="216" t="s">
        <v>1355</v>
      </c>
      <c r="H8" s="216" t="s">
        <v>123</v>
      </c>
      <c r="I8" s="216" t="s">
        <v>115</v>
      </c>
      <c r="J8" s="216" t="s">
        <v>114</v>
      </c>
      <c r="K8" s="216" t="s">
        <v>115</v>
      </c>
      <c r="L8" s="216" t="s">
        <v>124</v>
      </c>
      <c r="M8" s="216" t="s">
        <v>124</v>
      </c>
      <c r="N8" s="216" t="s">
        <v>1356</v>
      </c>
    </row>
    <row r="9" spans="1:14">
      <c r="A9" s="216" t="s">
        <v>1357</v>
      </c>
      <c r="B9" s="216">
        <v>90</v>
      </c>
      <c r="C9" s="216">
        <v>75</v>
      </c>
      <c r="D9" s="216">
        <v>95</v>
      </c>
      <c r="E9" s="216">
        <v>95</v>
      </c>
      <c r="F9" s="216">
        <v>90</v>
      </c>
      <c r="G9" s="216" t="s">
        <v>1355</v>
      </c>
      <c r="H9" s="216" t="s">
        <v>115</v>
      </c>
      <c r="I9" s="216" t="s">
        <v>114</v>
      </c>
      <c r="J9" s="216" t="s">
        <v>130</v>
      </c>
      <c r="K9" s="216" t="s">
        <v>115</v>
      </c>
      <c r="L9" s="216" t="s">
        <v>130</v>
      </c>
      <c r="M9" s="216" t="s">
        <v>124</v>
      </c>
      <c r="N9" s="216" t="s">
        <v>1356</v>
      </c>
    </row>
    <row r="14" spans="8:11">
      <c r="H14" s="165"/>
      <c r="I14" s="165"/>
      <c r="J14" s="165"/>
      <c r="K14" s="165"/>
    </row>
    <row r="15" spans="8:11">
      <c r="H15" s="165"/>
      <c r="I15" s="165"/>
      <c r="J15" s="165"/>
      <c r="K15" s="165"/>
    </row>
    <row r="16" spans="8:11">
      <c r="H16" s="165"/>
      <c r="I16" s="165"/>
      <c r="J16" s="165"/>
      <c r="K16" s="165"/>
    </row>
  </sheetData>
  <pageMargins left="0.75" right="0.75" top="1" bottom="1" header="0.511805555555556" footer="0.511805555555556"/>
  <pageSetup paperSize="9"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Z578"/>
  <sheetViews>
    <sheetView zoomScale="177" zoomScaleNormal="177" workbookViewId="0">
      <selection activeCell="G101" sqref="G101"/>
    </sheetView>
  </sheetViews>
  <sheetFormatPr defaultColWidth="11" defaultRowHeight="15.2"/>
  <cols>
    <col min="3" max="3" width="11" style="151" customWidth="1"/>
    <col min="5" max="12" width="11" customWidth="1"/>
    <col min="13" max="22" width="10.8303571428571" customWidth="1"/>
    <col min="23" max="23" width="11" customWidth="1"/>
    <col min="24" max="24" width="10.8303571428571" customWidth="1"/>
    <col min="25" max="25" width="11" customWidth="1"/>
    <col min="26" max="26" width="11.6607142857143" customWidth="1"/>
    <col min="28" max="28" width="11" customWidth="1"/>
    <col min="30" max="31" width="10.8303571428571" customWidth="1"/>
    <col min="32" max="50" width="10.8303571428571" hidden="1" customWidth="1"/>
    <col min="51" max="51" width="11.6607142857143" customWidth="1"/>
    <col min="52" max="72" width="11" customWidth="1"/>
    <col min="73" max="73" width="11.6607142857143" customWidth="1"/>
  </cols>
  <sheetData>
    <row r="1" spans="1:26">
      <c r="A1" s="152" t="s">
        <v>1358</v>
      </c>
      <c r="B1" s="153">
        <v>213</v>
      </c>
      <c r="C1" s="154" t="s">
        <v>468</v>
      </c>
      <c r="D1" s="144">
        <v>12</v>
      </c>
      <c r="E1" s="145">
        <v>84</v>
      </c>
      <c r="F1" s="145">
        <v>76</v>
      </c>
      <c r="G1" s="145">
        <v>66</v>
      </c>
      <c r="H1" s="145">
        <v>69</v>
      </c>
      <c r="I1" s="145">
        <v>68</v>
      </c>
      <c r="J1" s="145">
        <f>SUM(E1:I1)</f>
        <v>363</v>
      </c>
      <c r="K1" s="145">
        <v>67</v>
      </c>
      <c r="L1" s="147" t="s">
        <v>114</v>
      </c>
      <c r="M1" s="147" t="s">
        <v>114</v>
      </c>
      <c r="N1" s="147" t="s">
        <v>130</v>
      </c>
      <c r="O1" s="147" t="s">
        <v>115</v>
      </c>
      <c r="P1" s="147" t="s">
        <v>124</v>
      </c>
      <c r="Q1" s="147" t="s">
        <v>124</v>
      </c>
      <c r="R1" s="148" t="s">
        <v>184</v>
      </c>
      <c r="S1" s="148" t="s">
        <v>175</v>
      </c>
      <c r="T1" s="148" t="s">
        <v>119</v>
      </c>
      <c r="U1" s="148" t="s">
        <v>120</v>
      </c>
      <c r="V1" s="145">
        <f>E1+F1</f>
        <v>160</v>
      </c>
      <c r="W1" s="149"/>
      <c r="X1" s="145">
        <f>E1+F1+G1</f>
        <v>226</v>
      </c>
      <c r="Y1">
        <f ca="1">RAND()</f>
        <v>0.512682660453323</v>
      </c>
      <c r="Z1" s="199"/>
    </row>
    <row r="2" spans="1:26">
      <c r="A2" s="152"/>
      <c r="B2" s="153">
        <v>84</v>
      </c>
      <c r="C2" s="154" t="s">
        <v>242</v>
      </c>
      <c r="D2" s="144">
        <v>14</v>
      </c>
      <c r="E2" s="145">
        <v>86</v>
      </c>
      <c r="F2" s="145">
        <v>63</v>
      </c>
      <c r="G2" s="145">
        <v>79</v>
      </c>
      <c r="H2" s="145">
        <v>71</v>
      </c>
      <c r="I2" s="145">
        <v>61</v>
      </c>
      <c r="J2" s="145">
        <f>SUM(E2:I2)</f>
        <v>360</v>
      </c>
      <c r="K2" s="145">
        <v>149</v>
      </c>
      <c r="L2" s="147" t="s">
        <v>130</v>
      </c>
      <c r="M2" s="147" t="s">
        <v>115</v>
      </c>
      <c r="N2" s="147" t="s">
        <v>114</v>
      </c>
      <c r="O2" s="147" t="s">
        <v>124</v>
      </c>
      <c r="P2" s="147" t="s">
        <v>115</v>
      </c>
      <c r="Q2" s="147" t="s">
        <v>114</v>
      </c>
      <c r="R2" s="158" t="s">
        <v>243</v>
      </c>
      <c r="S2" s="148" t="s">
        <v>132</v>
      </c>
      <c r="T2" s="148" t="s">
        <v>119</v>
      </c>
      <c r="U2" s="148" t="s">
        <v>120</v>
      </c>
      <c r="V2" s="145">
        <f>E2+F2</f>
        <v>149</v>
      </c>
      <c r="W2" s="149"/>
      <c r="X2" s="145">
        <f>E2+F2+G2</f>
        <v>228</v>
      </c>
      <c r="Y2">
        <f ca="1">RAND()</f>
        <v>0.542866896260273</v>
      </c>
      <c r="Z2" s="199"/>
    </row>
    <row r="3" ht="17.6" spans="1:26">
      <c r="A3" s="152"/>
      <c r="B3" s="122">
        <v>3</v>
      </c>
      <c r="C3" s="121" t="s">
        <v>1359</v>
      </c>
      <c r="D3" s="124">
        <v>4</v>
      </c>
      <c r="E3" s="121" t="s">
        <v>1360</v>
      </c>
      <c r="F3" s="121" t="s">
        <v>1361</v>
      </c>
      <c r="G3" s="135"/>
      <c r="H3" s="145"/>
      <c r="I3" s="145"/>
      <c r="J3" s="145"/>
      <c r="K3" s="145"/>
      <c r="L3" s="147"/>
      <c r="M3" s="147"/>
      <c r="N3" s="147"/>
      <c r="O3" s="147"/>
      <c r="P3" s="147"/>
      <c r="Q3" s="147"/>
      <c r="R3" s="158"/>
      <c r="S3" s="148"/>
      <c r="T3" s="148"/>
      <c r="U3" s="148"/>
      <c r="V3" s="145"/>
      <c r="W3" s="149"/>
      <c r="X3" s="145"/>
      <c r="Z3" s="199"/>
    </row>
    <row r="4" spans="1:26">
      <c r="A4" s="152"/>
      <c r="B4" s="153">
        <v>564</v>
      </c>
      <c r="C4" s="154" t="s">
        <v>361</v>
      </c>
      <c r="D4" s="144">
        <v>14</v>
      </c>
      <c r="E4" s="145">
        <v>24</v>
      </c>
      <c r="F4" s="145">
        <v>19</v>
      </c>
      <c r="G4" s="145">
        <v>71</v>
      </c>
      <c r="H4" s="145">
        <v>87</v>
      </c>
      <c r="I4" s="145">
        <v>82</v>
      </c>
      <c r="J4" s="145">
        <f t="shared" ref="J4:J39" si="0">SUM(E4:I4)</f>
        <v>283</v>
      </c>
      <c r="K4" s="145">
        <v>35</v>
      </c>
      <c r="L4" s="147" t="s">
        <v>124</v>
      </c>
      <c r="M4" s="147" t="s">
        <v>124</v>
      </c>
      <c r="N4" s="147" t="s">
        <v>124</v>
      </c>
      <c r="O4" s="147" t="s">
        <v>124</v>
      </c>
      <c r="P4" s="147" t="s">
        <v>124</v>
      </c>
      <c r="Q4" s="147" t="s">
        <v>124</v>
      </c>
      <c r="R4" s="148" t="s">
        <v>362</v>
      </c>
      <c r="S4" s="148" t="s">
        <v>118</v>
      </c>
      <c r="T4" s="148" t="s">
        <v>133</v>
      </c>
      <c r="U4" s="148" t="s">
        <v>126</v>
      </c>
      <c r="V4" s="145">
        <f t="shared" ref="V4:V39" si="1">E4+F4</f>
        <v>43</v>
      </c>
      <c r="W4" s="149"/>
      <c r="X4" s="145">
        <f t="shared" ref="X4:X39" si="2">E4+F4+G4</f>
        <v>114</v>
      </c>
      <c r="Y4">
        <f ca="1" t="shared" ref="Y4:Y39" si="3">RAND()</f>
        <v>0.847424448888826</v>
      </c>
      <c r="Z4" s="199"/>
    </row>
    <row r="5" spans="1:26">
      <c r="A5" s="152"/>
      <c r="B5" s="153">
        <v>193</v>
      </c>
      <c r="C5" s="154" t="s">
        <v>238</v>
      </c>
      <c r="D5" s="144">
        <v>9</v>
      </c>
      <c r="E5" s="145">
        <v>80</v>
      </c>
      <c r="F5" s="145">
        <v>86</v>
      </c>
      <c r="G5" s="145">
        <v>68</v>
      </c>
      <c r="H5" s="145">
        <v>73</v>
      </c>
      <c r="I5" s="145">
        <v>62</v>
      </c>
      <c r="J5" s="145">
        <f t="shared" si="0"/>
        <v>369</v>
      </c>
      <c r="K5" s="145">
        <v>73</v>
      </c>
      <c r="L5" s="147" t="s">
        <v>114</v>
      </c>
      <c r="M5" s="147" t="s">
        <v>114</v>
      </c>
      <c r="N5" s="147" t="s">
        <v>130</v>
      </c>
      <c r="O5" s="147" t="s">
        <v>130</v>
      </c>
      <c r="P5" s="147" t="s">
        <v>115</v>
      </c>
      <c r="Q5" s="147" t="s">
        <v>130</v>
      </c>
      <c r="R5" s="148" t="s">
        <v>239</v>
      </c>
      <c r="S5" s="148" t="s">
        <v>132</v>
      </c>
      <c r="T5" s="148" t="s">
        <v>119</v>
      </c>
      <c r="U5" s="148" t="s">
        <v>126</v>
      </c>
      <c r="V5" s="145">
        <f t="shared" si="1"/>
        <v>166</v>
      </c>
      <c r="W5" s="149"/>
      <c r="X5" s="145">
        <f t="shared" si="2"/>
        <v>234</v>
      </c>
      <c r="Y5">
        <f ca="1" t="shared" si="3"/>
        <v>0.238936616332101</v>
      </c>
      <c r="Z5" s="200"/>
    </row>
    <row r="6" spans="1:26">
      <c r="A6" s="152"/>
      <c r="B6" s="153">
        <v>468</v>
      </c>
      <c r="C6" s="154" t="s">
        <v>240</v>
      </c>
      <c r="D6" s="144">
        <v>7</v>
      </c>
      <c r="E6" s="145">
        <v>74</v>
      </c>
      <c r="F6" s="145">
        <v>84</v>
      </c>
      <c r="G6" s="145">
        <v>58</v>
      </c>
      <c r="H6" s="145">
        <v>66</v>
      </c>
      <c r="I6" s="145">
        <v>61</v>
      </c>
      <c r="J6" s="145">
        <f t="shared" si="0"/>
        <v>343</v>
      </c>
      <c r="K6" s="145">
        <v>11</v>
      </c>
      <c r="L6" s="147" t="s">
        <v>130</v>
      </c>
      <c r="M6" s="147" t="s">
        <v>124</v>
      </c>
      <c r="N6" s="147" t="s">
        <v>130</v>
      </c>
      <c r="O6" s="147" t="s">
        <v>114</v>
      </c>
      <c r="P6" s="147" t="s">
        <v>115</v>
      </c>
      <c r="Q6" s="147" t="s">
        <v>124</v>
      </c>
      <c r="R6" s="148" t="s">
        <v>181</v>
      </c>
      <c r="S6" s="148" t="s">
        <v>132</v>
      </c>
      <c r="T6" s="148" t="s">
        <v>119</v>
      </c>
      <c r="U6" s="148" t="s">
        <v>120</v>
      </c>
      <c r="V6" s="145">
        <f t="shared" si="1"/>
        <v>158</v>
      </c>
      <c r="W6" s="149"/>
      <c r="X6" s="145">
        <f t="shared" si="2"/>
        <v>216</v>
      </c>
      <c r="Y6">
        <f ca="1" t="shared" si="3"/>
        <v>0.457802997092612</v>
      </c>
      <c r="Z6" s="200"/>
    </row>
    <row r="7" spans="1:26">
      <c r="A7" s="152"/>
      <c r="B7" s="153">
        <v>43</v>
      </c>
      <c r="C7" s="154" t="s">
        <v>970</v>
      </c>
      <c r="D7" s="144">
        <v>8</v>
      </c>
      <c r="E7" s="145">
        <v>81</v>
      </c>
      <c r="F7" s="145">
        <v>75</v>
      </c>
      <c r="G7" s="145">
        <v>64</v>
      </c>
      <c r="H7" s="145">
        <v>75</v>
      </c>
      <c r="I7" s="145">
        <v>72</v>
      </c>
      <c r="J7" s="145">
        <f t="shared" si="0"/>
        <v>367</v>
      </c>
      <c r="K7" s="145">
        <v>18</v>
      </c>
      <c r="L7" s="147" t="s">
        <v>114</v>
      </c>
      <c r="M7" s="147" t="s">
        <v>115</v>
      </c>
      <c r="N7" s="147" t="s">
        <v>114</v>
      </c>
      <c r="O7" s="147" t="s">
        <v>124</v>
      </c>
      <c r="P7" s="147" t="s">
        <v>114</v>
      </c>
      <c r="Q7" s="147" t="s">
        <v>130</v>
      </c>
      <c r="R7" s="148" t="s">
        <v>721</v>
      </c>
      <c r="S7" s="148" t="s">
        <v>132</v>
      </c>
      <c r="T7" s="148" t="s">
        <v>119</v>
      </c>
      <c r="U7" s="148" t="s">
        <v>120</v>
      </c>
      <c r="V7" s="145">
        <f t="shared" si="1"/>
        <v>156</v>
      </c>
      <c r="W7" s="149"/>
      <c r="X7" s="145">
        <f t="shared" si="2"/>
        <v>220</v>
      </c>
      <c r="Y7">
        <f ca="1" t="shared" si="3"/>
        <v>0.708950654810354</v>
      </c>
      <c r="Z7" s="199"/>
    </row>
    <row r="8" spans="1:26">
      <c r="A8" s="152"/>
      <c r="B8" s="153">
        <v>42</v>
      </c>
      <c r="C8" s="154" t="s">
        <v>938</v>
      </c>
      <c r="D8" s="144">
        <v>4</v>
      </c>
      <c r="E8" s="145">
        <v>64</v>
      </c>
      <c r="F8" s="145">
        <v>73</v>
      </c>
      <c r="G8" s="145">
        <v>69</v>
      </c>
      <c r="H8" s="145">
        <v>81</v>
      </c>
      <c r="I8" s="145">
        <v>79</v>
      </c>
      <c r="J8" s="145">
        <f t="shared" si="0"/>
        <v>366</v>
      </c>
      <c r="K8" s="145">
        <v>18</v>
      </c>
      <c r="L8" s="147" t="s">
        <v>114</v>
      </c>
      <c r="M8" s="147" t="s">
        <v>114</v>
      </c>
      <c r="N8" s="147" t="s">
        <v>114</v>
      </c>
      <c r="O8" s="147" t="s">
        <v>130</v>
      </c>
      <c r="P8" s="147" t="s">
        <v>114</v>
      </c>
      <c r="Q8" s="147" t="s">
        <v>130</v>
      </c>
      <c r="R8" s="148" t="s">
        <v>674</v>
      </c>
      <c r="S8" s="148" t="s">
        <v>132</v>
      </c>
      <c r="T8" s="148" t="s">
        <v>119</v>
      </c>
      <c r="U8" s="148" t="s">
        <v>126</v>
      </c>
      <c r="V8" s="145">
        <f t="shared" si="1"/>
        <v>137</v>
      </c>
      <c r="W8" s="149"/>
      <c r="X8" s="145">
        <f t="shared" si="2"/>
        <v>206</v>
      </c>
      <c r="Y8">
        <f ca="1" t="shared" si="3"/>
        <v>0.945577382781676</v>
      </c>
      <c r="Z8" s="199"/>
    </row>
    <row r="9" spans="1:26">
      <c r="A9" s="152"/>
      <c r="B9" s="153">
        <v>527</v>
      </c>
      <c r="C9" s="154" t="s">
        <v>199</v>
      </c>
      <c r="D9" s="144">
        <v>5</v>
      </c>
      <c r="E9" s="145">
        <v>80</v>
      </c>
      <c r="F9" s="145">
        <v>62</v>
      </c>
      <c r="G9" s="145">
        <v>82</v>
      </c>
      <c r="H9" s="145">
        <v>78</v>
      </c>
      <c r="I9" s="145">
        <v>75</v>
      </c>
      <c r="J9" s="145">
        <f t="shared" si="0"/>
        <v>377</v>
      </c>
      <c r="K9" s="145">
        <v>58</v>
      </c>
      <c r="L9" s="147" t="s">
        <v>130</v>
      </c>
      <c r="M9" s="147" t="s">
        <v>130</v>
      </c>
      <c r="N9" s="147" t="s">
        <v>114</v>
      </c>
      <c r="O9" s="147" t="s">
        <v>124</v>
      </c>
      <c r="P9" s="147" t="s">
        <v>115</v>
      </c>
      <c r="Q9" s="147" t="s">
        <v>114</v>
      </c>
      <c r="R9" s="148" t="s">
        <v>200</v>
      </c>
      <c r="S9" s="148" t="s">
        <v>118</v>
      </c>
      <c r="T9" s="148" t="s">
        <v>119</v>
      </c>
      <c r="U9" s="148" t="s">
        <v>126</v>
      </c>
      <c r="V9" s="145">
        <f t="shared" si="1"/>
        <v>142</v>
      </c>
      <c r="W9" s="149"/>
      <c r="X9" s="145">
        <f t="shared" si="2"/>
        <v>224</v>
      </c>
      <c r="Y9">
        <f ca="1" t="shared" si="3"/>
        <v>0.98528915863844</v>
      </c>
      <c r="Z9" s="199"/>
    </row>
    <row r="10" spans="1:26">
      <c r="A10" s="152"/>
      <c r="B10" s="153">
        <v>138</v>
      </c>
      <c r="C10" s="154" t="s">
        <v>568</v>
      </c>
      <c r="D10" s="144">
        <v>9</v>
      </c>
      <c r="E10" s="145">
        <v>36</v>
      </c>
      <c r="F10" s="145">
        <v>41</v>
      </c>
      <c r="G10" s="145">
        <v>92</v>
      </c>
      <c r="H10" s="145">
        <v>76</v>
      </c>
      <c r="I10" s="145">
        <v>48</v>
      </c>
      <c r="J10" s="145">
        <f t="shared" si="0"/>
        <v>293</v>
      </c>
      <c r="K10" s="145">
        <v>86</v>
      </c>
      <c r="L10" s="147" t="s">
        <v>124</v>
      </c>
      <c r="M10" s="147" t="s">
        <v>124</v>
      </c>
      <c r="N10" s="147" t="s">
        <v>124</v>
      </c>
      <c r="O10" s="147" t="s">
        <v>124</v>
      </c>
      <c r="P10" s="147" t="s">
        <v>124</v>
      </c>
      <c r="Q10" s="147" t="s">
        <v>124</v>
      </c>
      <c r="R10" s="158" t="s">
        <v>522</v>
      </c>
      <c r="S10" s="148" t="s">
        <v>119</v>
      </c>
      <c r="T10" s="148" t="s">
        <v>119</v>
      </c>
      <c r="U10" s="148" t="s">
        <v>126</v>
      </c>
      <c r="V10" s="145">
        <f t="shared" si="1"/>
        <v>77</v>
      </c>
      <c r="W10" s="148" t="s">
        <v>523</v>
      </c>
      <c r="X10" s="145">
        <f t="shared" si="2"/>
        <v>169</v>
      </c>
      <c r="Y10">
        <f ca="1" t="shared" si="3"/>
        <v>0.921070398551584</v>
      </c>
      <c r="Z10" s="199"/>
    </row>
    <row r="11" spans="1:26">
      <c r="A11" s="152"/>
      <c r="B11" s="153">
        <v>611</v>
      </c>
      <c r="C11" s="154" t="s">
        <v>976</v>
      </c>
      <c r="D11" s="144">
        <v>2</v>
      </c>
      <c r="E11" s="145">
        <v>73</v>
      </c>
      <c r="F11" s="145">
        <v>77</v>
      </c>
      <c r="G11" s="145">
        <v>67</v>
      </c>
      <c r="H11" s="145">
        <v>70</v>
      </c>
      <c r="I11" s="145">
        <v>70</v>
      </c>
      <c r="J11" s="145">
        <f t="shared" si="0"/>
        <v>357</v>
      </c>
      <c r="K11" s="145">
        <v>108</v>
      </c>
      <c r="L11" s="147" t="s">
        <v>130</v>
      </c>
      <c r="M11" s="147" t="s">
        <v>130</v>
      </c>
      <c r="N11" s="147" t="s">
        <v>124</v>
      </c>
      <c r="O11" s="147" t="s">
        <v>124</v>
      </c>
      <c r="P11" s="147" t="s">
        <v>114</v>
      </c>
      <c r="Q11" s="147" t="s">
        <v>114</v>
      </c>
      <c r="R11" s="148" t="s">
        <v>587</v>
      </c>
      <c r="S11" s="148" t="s">
        <v>132</v>
      </c>
      <c r="T11" s="148" t="s">
        <v>119</v>
      </c>
      <c r="U11" s="148" t="s">
        <v>120</v>
      </c>
      <c r="V11" s="145">
        <f t="shared" si="1"/>
        <v>150</v>
      </c>
      <c r="W11" s="149"/>
      <c r="X11" s="145">
        <f t="shared" si="2"/>
        <v>217</v>
      </c>
      <c r="Y11">
        <f ca="1" t="shared" si="3"/>
        <v>0.873113183750152</v>
      </c>
      <c r="Z11" s="199"/>
    </row>
    <row r="12" spans="1:26">
      <c r="A12" s="197" t="s">
        <v>1362</v>
      </c>
      <c r="B12" s="153">
        <v>494</v>
      </c>
      <c r="C12" s="154" t="s">
        <v>973</v>
      </c>
      <c r="D12" s="144">
        <v>13</v>
      </c>
      <c r="E12" s="145">
        <v>87</v>
      </c>
      <c r="F12" s="145">
        <v>68</v>
      </c>
      <c r="G12" s="145">
        <v>76</v>
      </c>
      <c r="H12" s="145">
        <v>80</v>
      </c>
      <c r="I12" s="145">
        <v>71</v>
      </c>
      <c r="J12" s="145">
        <f t="shared" si="0"/>
        <v>382</v>
      </c>
      <c r="K12" s="145">
        <v>46</v>
      </c>
      <c r="L12" s="147" t="s">
        <v>130</v>
      </c>
      <c r="M12" s="147" t="s">
        <v>130</v>
      </c>
      <c r="N12" s="147" t="s">
        <v>115</v>
      </c>
      <c r="O12" s="147" t="s">
        <v>130</v>
      </c>
      <c r="P12" s="147" t="s">
        <v>114</v>
      </c>
      <c r="Q12" s="147" t="s">
        <v>115</v>
      </c>
      <c r="R12" s="158" t="s">
        <v>157</v>
      </c>
      <c r="S12" s="148" t="s">
        <v>132</v>
      </c>
      <c r="T12" s="148" t="s">
        <v>119</v>
      </c>
      <c r="U12" s="148" t="s">
        <v>126</v>
      </c>
      <c r="V12" s="145">
        <f t="shared" si="1"/>
        <v>155</v>
      </c>
      <c r="W12" s="172" t="s">
        <v>974</v>
      </c>
      <c r="X12" s="145">
        <f t="shared" si="2"/>
        <v>231</v>
      </c>
      <c r="Y12">
        <f ca="1" t="shared" si="3"/>
        <v>0.694472158774203</v>
      </c>
      <c r="Z12" s="199"/>
    </row>
    <row r="13" spans="1:26">
      <c r="A13" s="198"/>
      <c r="B13" s="153">
        <v>163</v>
      </c>
      <c r="C13" s="154" t="s">
        <v>455</v>
      </c>
      <c r="D13" s="144">
        <v>15</v>
      </c>
      <c r="E13" s="145">
        <v>53</v>
      </c>
      <c r="F13" s="145">
        <v>45</v>
      </c>
      <c r="G13" s="145">
        <v>105</v>
      </c>
      <c r="H13" s="145">
        <v>83</v>
      </c>
      <c r="I13" s="145">
        <v>70</v>
      </c>
      <c r="J13" s="145">
        <f t="shared" si="0"/>
        <v>356</v>
      </c>
      <c r="K13" s="145">
        <v>90</v>
      </c>
      <c r="L13" s="147" t="s">
        <v>130</v>
      </c>
      <c r="M13" s="147" t="s">
        <v>130</v>
      </c>
      <c r="N13" s="147" t="s">
        <v>124</v>
      </c>
      <c r="O13" s="147" t="s">
        <v>124</v>
      </c>
      <c r="P13" s="147" t="s">
        <v>124</v>
      </c>
      <c r="Q13" s="147" t="s">
        <v>130</v>
      </c>
      <c r="R13" s="170" t="s">
        <v>150</v>
      </c>
      <c r="S13" s="148" t="s">
        <v>132</v>
      </c>
      <c r="T13" s="148" t="s">
        <v>133</v>
      </c>
      <c r="U13" s="148" t="s">
        <v>148</v>
      </c>
      <c r="V13" s="145">
        <f t="shared" si="1"/>
        <v>98</v>
      </c>
      <c r="W13" s="193" t="s">
        <v>151</v>
      </c>
      <c r="X13" s="145">
        <f t="shared" si="2"/>
        <v>203</v>
      </c>
      <c r="Y13">
        <f ca="1" t="shared" si="3"/>
        <v>0.860620493104835</v>
      </c>
      <c r="Z13" s="199"/>
    </row>
    <row r="14" spans="1:26">
      <c r="A14" s="198"/>
      <c r="B14" s="153">
        <v>628</v>
      </c>
      <c r="C14" s="154" t="s">
        <v>434</v>
      </c>
      <c r="D14" s="144">
        <v>11</v>
      </c>
      <c r="E14" s="145">
        <v>72</v>
      </c>
      <c r="F14" s="145">
        <v>96</v>
      </c>
      <c r="G14" s="145">
        <v>54</v>
      </c>
      <c r="H14" s="145">
        <v>45</v>
      </c>
      <c r="I14" s="145">
        <v>73</v>
      </c>
      <c r="J14" s="145">
        <f t="shared" si="0"/>
        <v>340</v>
      </c>
      <c r="K14" s="145">
        <v>55</v>
      </c>
      <c r="L14" s="147" t="s">
        <v>114</v>
      </c>
      <c r="M14" s="147" t="s">
        <v>114</v>
      </c>
      <c r="N14" s="147" t="s">
        <v>114</v>
      </c>
      <c r="O14" s="147" t="s">
        <v>114</v>
      </c>
      <c r="P14" s="147" t="s">
        <v>124</v>
      </c>
      <c r="Q14" s="147" t="s">
        <v>124</v>
      </c>
      <c r="R14" s="148" t="s">
        <v>435</v>
      </c>
      <c r="S14" s="148" t="s">
        <v>118</v>
      </c>
      <c r="T14" s="148" t="s">
        <v>133</v>
      </c>
      <c r="U14" s="148" t="s">
        <v>126</v>
      </c>
      <c r="V14" s="145">
        <f t="shared" si="1"/>
        <v>168</v>
      </c>
      <c r="W14" s="149"/>
      <c r="X14" s="145">
        <f t="shared" si="2"/>
        <v>222</v>
      </c>
      <c r="Y14">
        <f ca="1" t="shared" si="3"/>
        <v>0.963311143225577</v>
      </c>
      <c r="Z14" s="199"/>
    </row>
    <row r="15" spans="1:26">
      <c r="A15" s="198"/>
      <c r="B15" s="153">
        <v>574</v>
      </c>
      <c r="C15" s="154" t="s">
        <v>428</v>
      </c>
      <c r="D15" s="144">
        <v>7</v>
      </c>
      <c r="E15" s="145">
        <v>76</v>
      </c>
      <c r="F15" s="145">
        <v>84</v>
      </c>
      <c r="G15" s="145">
        <v>52</v>
      </c>
      <c r="H15" s="145">
        <v>43</v>
      </c>
      <c r="I15" s="145">
        <v>73</v>
      </c>
      <c r="J15" s="145">
        <f t="shared" si="0"/>
        <v>328</v>
      </c>
      <c r="K15" s="145">
        <v>37</v>
      </c>
      <c r="L15" s="147" t="s">
        <v>114</v>
      </c>
      <c r="M15" s="147" t="s">
        <v>130</v>
      </c>
      <c r="N15" s="147" t="s">
        <v>114</v>
      </c>
      <c r="O15" s="147" t="s">
        <v>115</v>
      </c>
      <c r="P15" s="147" t="s">
        <v>124</v>
      </c>
      <c r="Q15" s="147" t="s">
        <v>124</v>
      </c>
      <c r="R15" s="148" t="s">
        <v>429</v>
      </c>
      <c r="S15" s="148" t="s">
        <v>132</v>
      </c>
      <c r="T15" s="148" t="s">
        <v>119</v>
      </c>
      <c r="U15" s="148" t="s">
        <v>126</v>
      </c>
      <c r="V15" s="145">
        <f t="shared" si="1"/>
        <v>160</v>
      </c>
      <c r="W15" s="149"/>
      <c r="X15" s="145">
        <f t="shared" si="2"/>
        <v>212</v>
      </c>
      <c r="Y15">
        <f ca="1" t="shared" si="3"/>
        <v>0.451469041147534</v>
      </c>
      <c r="Z15" s="199"/>
    </row>
    <row r="16" spans="1:26">
      <c r="A16" s="198"/>
      <c r="B16" s="153">
        <v>479</v>
      </c>
      <c r="C16" s="156" t="s">
        <v>719</v>
      </c>
      <c r="D16" s="144">
        <v>7</v>
      </c>
      <c r="E16" s="145">
        <v>68</v>
      </c>
      <c r="F16" s="145">
        <v>34</v>
      </c>
      <c r="G16" s="145">
        <v>96</v>
      </c>
      <c r="H16" s="145">
        <v>92</v>
      </c>
      <c r="I16" s="145">
        <v>76</v>
      </c>
      <c r="J16" s="145">
        <f t="shared" si="0"/>
        <v>366</v>
      </c>
      <c r="K16" s="145">
        <v>25</v>
      </c>
      <c r="L16" s="147" t="s">
        <v>124</v>
      </c>
      <c r="M16" s="147" t="s">
        <v>124</v>
      </c>
      <c r="N16" s="147" t="s">
        <v>114</v>
      </c>
      <c r="O16" s="147" t="s">
        <v>130</v>
      </c>
      <c r="P16" s="147" t="s">
        <v>130</v>
      </c>
      <c r="Q16" s="147" t="s">
        <v>124</v>
      </c>
      <c r="R16" s="148" t="s">
        <v>503</v>
      </c>
      <c r="S16" s="148" t="s">
        <v>132</v>
      </c>
      <c r="T16" s="148" t="s">
        <v>119</v>
      </c>
      <c r="U16" s="148" t="s">
        <v>120</v>
      </c>
      <c r="V16" s="145">
        <f t="shared" si="1"/>
        <v>102</v>
      </c>
      <c r="W16" s="149"/>
      <c r="X16" s="145">
        <f t="shared" si="2"/>
        <v>198</v>
      </c>
      <c r="Y16">
        <f ca="1" t="shared" si="3"/>
        <v>0.0168412424223292</v>
      </c>
      <c r="Z16" s="199"/>
    </row>
    <row r="17" spans="1:26">
      <c r="A17" s="198"/>
      <c r="B17" s="153">
        <v>302</v>
      </c>
      <c r="C17" s="154" t="s">
        <v>437</v>
      </c>
      <c r="D17" s="144">
        <v>4</v>
      </c>
      <c r="E17" s="145">
        <v>69</v>
      </c>
      <c r="F17" s="145">
        <v>77</v>
      </c>
      <c r="G17" s="145">
        <v>64</v>
      </c>
      <c r="H17" s="145">
        <v>74</v>
      </c>
      <c r="I17" s="145">
        <v>73</v>
      </c>
      <c r="J17" s="145">
        <f t="shared" si="0"/>
        <v>357</v>
      </c>
      <c r="K17" s="145">
        <v>130</v>
      </c>
      <c r="L17" s="147" t="s">
        <v>114</v>
      </c>
      <c r="M17" s="147" t="s">
        <v>130</v>
      </c>
      <c r="N17" s="147" t="s">
        <v>114</v>
      </c>
      <c r="O17" s="147" t="s">
        <v>130</v>
      </c>
      <c r="P17" s="147" t="s">
        <v>124</v>
      </c>
      <c r="Q17" s="147" t="s">
        <v>124</v>
      </c>
      <c r="R17" s="148" t="s">
        <v>236</v>
      </c>
      <c r="S17" s="148" t="s">
        <v>132</v>
      </c>
      <c r="T17" s="148" t="s">
        <v>136</v>
      </c>
      <c r="U17" s="148" t="s">
        <v>126</v>
      </c>
      <c r="V17" s="145">
        <f t="shared" si="1"/>
        <v>146</v>
      </c>
      <c r="W17" s="149"/>
      <c r="X17" s="145">
        <f t="shared" si="2"/>
        <v>210</v>
      </c>
      <c r="Y17">
        <f ca="1" t="shared" si="3"/>
        <v>0.252647542149499</v>
      </c>
      <c r="Z17" s="199"/>
    </row>
    <row r="18" spans="1:26">
      <c r="A18" s="198"/>
      <c r="B18" s="153">
        <v>643</v>
      </c>
      <c r="C18" s="154" t="s">
        <v>289</v>
      </c>
      <c r="D18" s="144">
        <v>7</v>
      </c>
      <c r="E18" s="145">
        <v>50</v>
      </c>
      <c r="F18" s="145">
        <v>34</v>
      </c>
      <c r="G18" s="145">
        <v>82</v>
      </c>
      <c r="H18" s="145">
        <v>95</v>
      </c>
      <c r="I18" s="145">
        <v>95</v>
      </c>
      <c r="J18" s="145">
        <f t="shared" si="0"/>
        <v>356</v>
      </c>
      <c r="K18" s="145">
        <v>64</v>
      </c>
      <c r="L18" s="147" t="s">
        <v>124</v>
      </c>
      <c r="M18" s="147" t="s">
        <v>124</v>
      </c>
      <c r="N18" s="147" t="s">
        <v>124</v>
      </c>
      <c r="O18" s="147" t="s">
        <v>124</v>
      </c>
      <c r="P18" s="147" t="s">
        <v>124</v>
      </c>
      <c r="Q18" s="147" t="s">
        <v>124</v>
      </c>
      <c r="R18" s="148" t="s">
        <v>290</v>
      </c>
      <c r="S18" s="148" t="s">
        <v>132</v>
      </c>
      <c r="T18" s="148" t="s">
        <v>119</v>
      </c>
      <c r="U18" s="148" t="s">
        <v>148</v>
      </c>
      <c r="V18" s="145">
        <f t="shared" si="1"/>
        <v>84</v>
      </c>
      <c r="W18" s="149"/>
      <c r="X18" s="145">
        <f t="shared" si="2"/>
        <v>166</v>
      </c>
      <c r="Y18">
        <f ca="1" t="shared" si="3"/>
        <v>0.16383564923126</v>
      </c>
      <c r="Z18" s="199"/>
    </row>
    <row r="19" spans="1:26">
      <c r="A19" s="198"/>
      <c r="B19" s="153">
        <v>41</v>
      </c>
      <c r="C19" s="154" t="s">
        <v>1032</v>
      </c>
      <c r="D19" s="144">
        <v>3</v>
      </c>
      <c r="E19" s="145">
        <v>76</v>
      </c>
      <c r="F19" s="145">
        <v>74</v>
      </c>
      <c r="G19" s="145">
        <v>58</v>
      </c>
      <c r="H19" s="145">
        <v>60</v>
      </c>
      <c r="I19" s="145">
        <v>51</v>
      </c>
      <c r="J19" s="145">
        <f t="shared" si="0"/>
        <v>319</v>
      </c>
      <c r="K19" s="145">
        <v>16</v>
      </c>
      <c r="L19" s="147" t="s">
        <v>114</v>
      </c>
      <c r="M19" s="147" t="s">
        <v>115</v>
      </c>
      <c r="N19" s="147" t="s">
        <v>114</v>
      </c>
      <c r="O19" s="147" t="s">
        <v>124</v>
      </c>
      <c r="P19" s="147" t="s">
        <v>114</v>
      </c>
      <c r="Q19" s="147" t="s">
        <v>124</v>
      </c>
      <c r="R19" s="149"/>
      <c r="S19" s="148" t="s">
        <v>119</v>
      </c>
      <c r="T19" s="148" t="s">
        <v>136</v>
      </c>
      <c r="U19" s="148" t="s">
        <v>250</v>
      </c>
      <c r="V19" s="145">
        <f t="shared" si="1"/>
        <v>150</v>
      </c>
      <c r="W19" s="149"/>
      <c r="X19" s="145">
        <f t="shared" si="2"/>
        <v>208</v>
      </c>
      <c r="Y19">
        <f ca="1" t="shared" si="3"/>
        <v>0.587511048339603</v>
      </c>
      <c r="Z19" s="199"/>
    </row>
    <row r="20" spans="1:26">
      <c r="A20" s="198"/>
      <c r="B20" s="153">
        <v>246</v>
      </c>
      <c r="C20" s="154" t="s">
        <v>492</v>
      </c>
      <c r="D20" s="144">
        <v>4</v>
      </c>
      <c r="E20" s="145">
        <v>43</v>
      </c>
      <c r="F20" s="145">
        <v>21</v>
      </c>
      <c r="G20" s="145">
        <v>68</v>
      </c>
      <c r="H20" s="145">
        <v>82</v>
      </c>
      <c r="I20" s="145">
        <v>65</v>
      </c>
      <c r="J20" s="145">
        <f t="shared" si="0"/>
        <v>279</v>
      </c>
      <c r="K20" s="145">
        <v>123</v>
      </c>
      <c r="L20" s="147" t="s">
        <v>124</v>
      </c>
      <c r="M20" s="147" t="s">
        <v>124</v>
      </c>
      <c r="N20" s="147" t="s">
        <v>124</v>
      </c>
      <c r="O20" s="147" t="s">
        <v>124</v>
      </c>
      <c r="P20" s="147" t="s">
        <v>124</v>
      </c>
      <c r="Q20" s="147" t="s">
        <v>124</v>
      </c>
      <c r="R20" s="148" t="s">
        <v>170</v>
      </c>
      <c r="S20" s="148" t="s">
        <v>132</v>
      </c>
      <c r="T20" s="148" t="s">
        <v>133</v>
      </c>
      <c r="U20" s="148" t="s">
        <v>148</v>
      </c>
      <c r="V20" s="145">
        <f t="shared" si="1"/>
        <v>64</v>
      </c>
      <c r="W20" s="149"/>
      <c r="X20" s="145">
        <f t="shared" si="2"/>
        <v>132</v>
      </c>
      <c r="Y20">
        <f ca="1" t="shared" si="3"/>
        <v>0.0900722719842668</v>
      </c>
      <c r="Z20" s="199"/>
    </row>
    <row r="21" spans="1:26">
      <c r="A21" s="198"/>
      <c r="B21" s="153">
        <v>672</v>
      </c>
      <c r="C21" s="154" t="s">
        <v>613</v>
      </c>
      <c r="D21" s="144">
        <v>4</v>
      </c>
      <c r="E21" s="145">
        <v>55</v>
      </c>
      <c r="F21" s="145">
        <v>60</v>
      </c>
      <c r="G21" s="145">
        <v>70</v>
      </c>
      <c r="H21" s="145">
        <v>82</v>
      </c>
      <c r="I21" s="145">
        <v>98</v>
      </c>
      <c r="J21" s="145">
        <f t="shared" si="0"/>
        <v>365</v>
      </c>
      <c r="K21" s="145">
        <v>60</v>
      </c>
      <c r="L21" s="147" t="s">
        <v>124</v>
      </c>
      <c r="M21" s="147" t="s">
        <v>130</v>
      </c>
      <c r="N21" s="147" t="s">
        <v>130</v>
      </c>
      <c r="O21" s="147" t="s">
        <v>124</v>
      </c>
      <c r="P21" s="147" t="s">
        <v>130</v>
      </c>
      <c r="Q21" s="147" t="s">
        <v>130</v>
      </c>
      <c r="R21" s="148" t="s">
        <v>321</v>
      </c>
      <c r="S21" s="148" t="s">
        <v>118</v>
      </c>
      <c r="T21" s="148" t="s">
        <v>119</v>
      </c>
      <c r="U21" s="148" t="s">
        <v>126</v>
      </c>
      <c r="V21" s="145">
        <f t="shared" si="1"/>
        <v>115</v>
      </c>
      <c r="W21" s="149"/>
      <c r="X21" s="145">
        <f t="shared" si="2"/>
        <v>185</v>
      </c>
      <c r="Y21">
        <f ca="1" t="shared" si="3"/>
        <v>0.449593875504673</v>
      </c>
      <c r="Z21" s="199"/>
    </row>
    <row r="22" spans="1:26">
      <c r="A22" s="198"/>
      <c r="B22" s="153">
        <v>606</v>
      </c>
      <c r="C22" s="154" t="s">
        <v>1004</v>
      </c>
      <c r="D22" s="144">
        <v>3</v>
      </c>
      <c r="E22" s="145">
        <v>80</v>
      </c>
      <c r="F22" s="145">
        <v>74</v>
      </c>
      <c r="G22" s="145">
        <v>59</v>
      </c>
      <c r="H22" s="145">
        <v>64</v>
      </c>
      <c r="I22" s="145">
        <v>63</v>
      </c>
      <c r="J22" s="145">
        <f t="shared" si="0"/>
        <v>340</v>
      </c>
      <c r="K22" s="145">
        <v>106</v>
      </c>
      <c r="L22" s="147" t="s">
        <v>124</v>
      </c>
      <c r="M22" s="147" t="s">
        <v>114</v>
      </c>
      <c r="N22" s="147" t="s">
        <v>130</v>
      </c>
      <c r="O22" s="147" t="s">
        <v>124</v>
      </c>
      <c r="P22" s="147" t="s">
        <v>114</v>
      </c>
      <c r="Q22" s="147" t="s">
        <v>115</v>
      </c>
      <c r="R22" s="149"/>
      <c r="S22" s="148" t="s">
        <v>132</v>
      </c>
      <c r="T22" s="148" t="s">
        <v>119</v>
      </c>
      <c r="U22" s="148" t="s">
        <v>126</v>
      </c>
      <c r="V22" s="145">
        <f t="shared" si="1"/>
        <v>154</v>
      </c>
      <c r="W22" s="149"/>
      <c r="X22" s="145">
        <f t="shared" si="2"/>
        <v>213</v>
      </c>
      <c r="Y22">
        <f ca="1" t="shared" si="3"/>
        <v>0.487990663727663</v>
      </c>
      <c r="Z22" s="199"/>
    </row>
    <row r="23" spans="1:26">
      <c r="A23" s="198"/>
      <c r="B23" s="153">
        <v>543</v>
      </c>
      <c r="C23" s="154" t="s">
        <v>400</v>
      </c>
      <c r="D23" s="144">
        <v>1</v>
      </c>
      <c r="E23" s="145">
        <v>54</v>
      </c>
      <c r="F23" s="145">
        <v>42</v>
      </c>
      <c r="G23" s="145">
        <v>81</v>
      </c>
      <c r="H23" s="145">
        <v>83</v>
      </c>
      <c r="I23" s="145">
        <v>77</v>
      </c>
      <c r="J23" s="145">
        <f t="shared" si="0"/>
        <v>337</v>
      </c>
      <c r="K23" s="145">
        <v>64</v>
      </c>
      <c r="L23" s="147" t="s">
        <v>124</v>
      </c>
      <c r="M23" s="147" t="s">
        <v>124</v>
      </c>
      <c r="N23" s="147" t="s">
        <v>130</v>
      </c>
      <c r="O23" s="147" t="s">
        <v>124</v>
      </c>
      <c r="P23" s="147" t="s">
        <v>124</v>
      </c>
      <c r="Q23" s="147" t="s">
        <v>130</v>
      </c>
      <c r="R23" s="148" t="s">
        <v>284</v>
      </c>
      <c r="S23" s="148" t="s">
        <v>132</v>
      </c>
      <c r="T23" s="148" t="s">
        <v>133</v>
      </c>
      <c r="U23" s="148" t="s">
        <v>120</v>
      </c>
      <c r="V23" s="145">
        <f t="shared" si="1"/>
        <v>96</v>
      </c>
      <c r="W23" s="149"/>
      <c r="X23" s="145">
        <f t="shared" si="2"/>
        <v>177</v>
      </c>
      <c r="Y23">
        <f ca="1" t="shared" si="3"/>
        <v>0.567364940944227</v>
      </c>
      <c r="Z23" s="199"/>
    </row>
    <row r="24" spans="1:26">
      <c r="A24" s="198"/>
      <c r="B24" s="153">
        <v>493</v>
      </c>
      <c r="C24" s="154" t="s">
        <v>769</v>
      </c>
      <c r="D24" s="144">
        <v>8</v>
      </c>
      <c r="E24" s="145">
        <v>78</v>
      </c>
      <c r="F24" s="145">
        <v>80</v>
      </c>
      <c r="G24" s="145">
        <v>59</v>
      </c>
      <c r="H24" s="145">
        <v>60</v>
      </c>
      <c r="I24" s="145">
        <v>69</v>
      </c>
      <c r="J24" s="145">
        <f t="shared" si="0"/>
        <v>346</v>
      </c>
      <c r="K24" s="145">
        <v>72</v>
      </c>
      <c r="L24" s="147" t="s">
        <v>130</v>
      </c>
      <c r="M24" s="147" t="s">
        <v>115</v>
      </c>
      <c r="N24" s="147" t="s">
        <v>130</v>
      </c>
      <c r="O24" s="147" t="s">
        <v>130</v>
      </c>
      <c r="P24" s="147" t="s">
        <v>130</v>
      </c>
      <c r="Q24" s="147" t="s">
        <v>130</v>
      </c>
      <c r="R24" s="148" t="s">
        <v>230</v>
      </c>
      <c r="S24" s="148" t="s">
        <v>132</v>
      </c>
      <c r="T24" s="148" t="s">
        <v>119</v>
      </c>
      <c r="U24" s="148" t="s">
        <v>120</v>
      </c>
      <c r="V24" s="145">
        <f t="shared" si="1"/>
        <v>158</v>
      </c>
      <c r="W24" s="149"/>
      <c r="X24" s="145">
        <f t="shared" si="2"/>
        <v>217</v>
      </c>
      <c r="Y24">
        <f ca="1" t="shared" si="3"/>
        <v>0.941711679149281</v>
      </c>
      <c r="Z24" s="199"/>
    </row>
    <row r="25" spans="1:26">
      <c r="A25" s="198"/>
      <c r="B25" s="153">
        <v>240</v>
      </c>
      <c r="C25" s="154" t="s">
        <v>426</v>
      </c>
      <c r="D25" s="144">
        <v>1</v>
      </c>
      <c r="E25" s="145">
        <v>33</v>
      </c>
      <c r="F25" s="145">
        <v>25</v>
      </c>
      <c r="G25" s="145">
        <v>70</v>
      </c>
      <c r="H25" s="145">
        <v>74</v>
      </c>
      <c r="I25" s="145">
        <v>73</v>
      </c>
      <c r="J25" s="145">
        <f t="shared" si="0"/>
        <v>275</v>
      </c>
      <c r="K25" s="145">
        <v>32</v>
      </c>
      <c r="L25" s="147" t="s">
        <v>124</v>
      </c>
      <c r="M25" s="147" t="s">
        <v>124</v>
      </c>
      <c r="N25" s="147" t="s">
        <v>124</v>
      </c>
      <c r="O25" s="147" t="s">
        <v>124</v>
      </c>
      <c r="P25" s="147" t="s">
        <v>124</v>
      </c>
      <c r="Q25" s="147" t="s">
        <v>130</v>
      </c>
      <c r="R25" s="148" t="s">
        <v>314</v>
      </c>
      <c r="S25" s="148" t="s">
        <v>132</v>
      </c>
      <c r="T25" s="148" t="s">
        <v>133</v>
      </c>
      <c r="U25" s="148" t="s">
        <v>148</v>
      </c>
      <c r="V25" s="145">
        <f t="shared" si="1"/>
        <v>58</v>
      </c>
      <c r="W25" s="149"/>
      <c r="X25" s="145">
        <f t="shared" si="2"/>
        <v>128</v>
      </c>
      <c r="Y25">
        <f ca="1" t="shared" si="3"/>
        <v>0.81770048316926</v>
      </c>
      <c r="Z25" s="199"/>
    </row>
    <row r="26" spans="1:26">
      <c r="A26" s="197" t="s">
        <v>1363</v>
      </c>
      <c r="B26" s="153">
        <v>605</v>
      </c>
      <c r="C26" s="154" t="s">
        <v>722</v>
      </c>
      <c r="D26" s="144">
        <v>13</v>
      </c>
      <c r="E26" s="145">
        <v>76</v>
      </c>
      <c r="F26" s="145">
        <v>83</v>
      </c>
      <c r="G26" s="145">
        <v>69</v>
      </c>
      <c r="H26" s="145">
        <v>84</v>
      </c>
      <c r="I26" s="145">
        <v>76</v>
      </c>
      <c r="J26" s="145">
        <f t="shared" si="0"/>
        <v>388</v>
      </c>
      <c r="K26" s="145">
        <v>105</v>
      </c>
      <c r="L26" s="147" t="s">
        <v>130</v>
      </c>
      <c r="M26" s="147" t="s">
        <v>114</v>
      </c>
      <c r="N26" s="147" t="s">
        <v>114</v>
      </c>
      <c r="O26" s="147" t="s">
        <v>124</v>
      </c>
      <c r="P26" s="147" t="s">
        <v>130</v>
      </c>
      <c r="Q26" s="147" t="s">
        <v>114</v>
      </c>
      <c r="R26" s="148" t="s">
        <v>483</v>
      </c>
      <c r="S26" s="148" t="s">
        <v>119</v>
      </c>
      <c r="T26" s="148" t="s">
        <v>136</v>
      </c>
      <c r="U26" s="148" t="s">
        <v>120</v>
      </c>
      <c r="V26" s="145">
        <f t="shared" si="1"/>
        <v>159</v>
      </c>
      <c r="W26" s="149"/>
      <c r="X26" s="145">
        <f t="shared" si="2"/>
        <v>228</v>
      </c>
      <c r="Y26">
        <f ca="1" t="shared" si="3"/>
        <v>0.642985508211583</v>
      </c>
      <c r="Z26" s="199"/>
    </row>
    <row r="27" spans="1:26">
      <c r="A27" s="198"/>
      <c r="B27" s="153">
        <v>151</v>
      </c>
      <c r="C27" s="154" t="s">
        <v>1036</v>
      </c>
      <c r="D27" s="144">
        <v>13</v>
      </c>
      <c r="E27" s="145">
        <v>94</v>
      </c>
      <c r="F27" s="145">
        <v>69</v>
      </c>
      <c r="G27" s="145">
        <v>61</v>
      </c>
      <c r="H27" s="145">
        <v>39</v>
      </c>
      <c r="I27" s="145">
        <v>50</v>
      </c>
      <c r="J27" s="145">
        <f t="shared" si="0"/>
        <v>313</v>
      </c>
      <c r="K27" s="145">
        <v>74</v>
      </c>
      <c r="L27" s="147" t="s">
        <v>114</v>
      </c>
      <c r="M27" s="147" t="s">
        <v>115</v>
      </c>
      <c r="N27" s="147" t="s">
        <v>115</v>
      </c>
      <c r="O27" s="147" t="s">
        <v>114</v>
      </c>
      <c r="P27" s="147" t="s">
        <v>114</v>
      </c>
      <c r="Q27" s="147" t="s">
        <v>130</v>
      </c>
      <c r="R27" s="148" t="s">
        <v>856</v>
      </c>
      <c r="S27" s="148" t="s">
        <v>132</v>
      </c>
      <c r="T27" s="148" t="s">
        <v>119</v>
      </c>
      <c r="U27" s="148" t="s">
        <v>126</v>
      </c>
      <c r="V27" s="145">
        <f t="shared" si="1"/>
        <v>163</v>
      </c>
      <c r="W27" s="149"/>
      <c r="X27" s="145">
        <f t="shared" si="2"/>
        <v>224</v>
      </c>
      <c r="Y27">
        <f ca="1" t="shared" si="3"/>
        <v>0.206356032199363</v>
      </c>
      <c r="Z27" s="199"/>
    </row>
    <row r="28" spans="1:26">
      <c r="A28" s="198"/>
      <c r="B28" s="153">
        <v>677</v>
      </c>
      <c r="C28" s="154" t="s">
        <v>551</v>
      </c>
      <c r="D28" s="144">
        <v>2</v>
      </c>
      <c r="E28" s="145">
        <v>51</v>
      </c>
      <c r="F28" s="145">
        <v>51</v>
      </c>
      <c r="G28" s="145">
        <v>83</v>
      </c>
      <c r="H28" s="145">
        <v>75</v>
      </c>
      <c r="I28" s="145">
        <v>54</v>
      </c>
      <c r="J28" s="145">
        <f t="shared" si="0"/>
        <v>314</v>
      </c>
      <c r="K28" s="145">
        <v>58</v>
      </c>
      <c r="L28" s="147" t="s">
        <v>124</v>
      </c>
      <c r="M28" s="147" t="s">
        <v>124</v>
      </c>
      <c r="N28" s="147" t="s">
        <v>124</v>
      </c>
      <c r="O28" s="147" t="s">
        <v>124</v>
      </c>
      <c r="P28" s="147" t="s">
        <v>124</v>
      </c>
      <c r="Q28" s="147" t="s">
        <v>130</v>
      </c>
      <c r="R28" s="148" t="s">
        <v>360</v>
      </c>
      <c r="S28" s="148" t="s">
        <v>119</v>
      </c>
      <c r="T28" s="148" t="s">
        <v>119</v>
      </c>
      <c r="U28" s="148" t="s">
        <v>148</v>
      </c>
      <c r="V28" s="145">
        <f t="shared" si="1"/>
        <v>102</v>
      </c>
      <c r="W28" s="149"/>
      <c r="X28" s="145">
        <f t="shared" si="2"/>
        <v>185</v>
      </c>
      <c r="Y28">
        <f ca="1" t="shared" si="3"/>
        <v>0.530191678936736</v>
      </c>
      <c r="Z28" s="199"/>
    </row>
    <row r="29" spans="1:26">
      <c r="A29" s="198"/>
      <c r="B29" s="153">
        <v>79</v>
      </c>
      <c r="C29" s="154" t="s">
        <v>265</v>
      </c>
      <c r="D29" s="144">
        <v>9</v>
      </c>
      <c r="E29" s="145">
        <v>82</v>
      </c>
      <c r="F29" s="145">
        <v>79</v>
      </c>
      <c r="G29" s="145">
        <v>58</v>
      </c>
      <c r="H29" s="145">
        <v>46</v>
      </c>
      <c r="I29" s="145">
        <v>46</v>
      </c>
      <c r="J29" s="145">
        <f t="shared" si="0"/>
        <v>311</v>
      </c>
      <c r="K29" s="145">
        <v>1</v>
      </c>
      <c r="L29" s="147" t="s">
        <v>114</v>
      </c>
      <c r="M29" s="147" t="s">
        <v>114</v>
      </c>
      <c r="N29" s="147" t="s">
        <v>115</v>
      </c>
      <c r="O29" s="147" t="s">
        <v>130</v>
      </c>
      <c r="P29" s="147" t="s">
        <v>115</v>
      </c>
      <c r="Q29" s="147" t="s">
        <v>130</v>
      </c>
      <c r="R29" s="148" t="s">
        <v>266</v>
      </c>
      <c r="S29" s="148" t="s">
        <v>132</v>
      </c>
      <c r="T29" s="148" t="s">
        <v>133</v>
      </c>
      <c r="U29" s="148" t="s">
        <v>120</v>
      </c>
      <c r="V29" s="145">
        <f t="shared" si="1"/>
        <v>161</v>
      </c>
      <c r="W29" s="149"/>
      <c r="X29" s="145">
        <f t="shared" si="2"/>
        <v>219</v>
      </c>
      <c r="Y29">
        <f ca="1" t="shared" si="3"/>
        <v>0.814705404502082</v>
      </c>
      <c r="Z29" s="199"/>
    </row>
    <row r="30" spans="1:26">
      <c r="A30" s="198"/>
      <c r="B30" s="153">
        <v>89</v>
      </c>
      <c r="C30" s="154" t="s">
        <v>993</v>
      </c>
      <c r="D30" s="144">
        <v>9</v>
      </c>
      <c r="E30" s="145">
        <v>73</v>
      </c>
      <c r="F30" s="145">
        <v>92</v>
      </c>
      <c r="G30" s="145">
        <v>51</v>
      </c>
      <c r="H30" s="145">
        <v>52</v>
      </c>
      <c r="I30" s="145">
        <v>65</v>
      </c>
      <c r="J30" s="145">
        <f t="shared" si="0"/>
        <v>333</v>
      </c>
      <c r="K30" s="145">
        <v>26</v>
      </c>
      <c r="L30" s="147" t="s">
        <v>114</v>
      </c>
      <c r="M30" s="147" t="s">
        <v>130</v>
      </c>
      <c r="N30" s="147" t="s">
        <v>130</v>
      </c>
      <c r="O30" s="147" t="s">
        <v>130</v>
      </c>
      <c r="P30" s="147" t="s">
        <v>114</v>
      </c>
      <c r="Q30" s="147" t="s">
        <v>114</v>
      </c>
      <c r="R30" s="148" t="s">
        <v>459</v>
      </c>
      <c r="S30" s="148" t="s">
        <v>132</v>
      </c>
      <c r="T30" s="148" t="s">
        <v>119</v>
      </c>
      <c r="U30" s="148" t="s">
        <v>126</v>
      </c>
      <c r="V30" s="145">
        <f t="shared" si="1"/>
        <v>165</v>
      </c>
      <c r="W30" s="149"/>
      <c r="X30" s="145">
        <f t="shared" si="2"/>
        <v>216</v>
      </c>
      <c r="Y30">
        <f ca="1" t="shared" si="3"/>
        <v>0.440197444680823</v>
      </c>
      <c r="Z30" s="199"/>
    </row>
    <row r="31" spans="1:26">
      <c r="A31" s="198"/>
      <c r="B31" s="153">
        <v>369</v>
      </c>
      <c r="C31" s="154" t="s">
        <v>866</v>
      </c>
      <c r="D31" s="144">
        <v>8</v>
      </c>
      <c r="E31" s="145">
        <v>77</v>
      </c>
      <c r="F31" s="145">
        <v>85</v>
      </c>
      <c r="G31" s="145">
        <v>71</v>
      </c>
      <c r="H31" s="145">
        <v>36</v>
      </c>
      <c r="I31" s="145">
        <v>39</v>
      </c>
      <c r="J31" s="145">
        <f t="shared" si="0"/>
        <v>308</v>
      </c>
      <c r="K31" s="145">
        <v>116</v>
      </c>
      <c r="L31" s="147" t="s">
        <v>114</v>
      </c>
      <c r="M31" s="147" t="s">
        <v>114</v>
      </c>
      <c r="N31" s="147" t="s">
        <v>124</v>
      </c>
      <c r="O31" s="147" t="s">
        <v>114</v>
      </c>
      <c r="P31" s="147" t="s">
        <v>130</v>
      </c>
      <c r="Q31" s="147" t="s">
        <v>115</v>
      </c>
      <c r="R31" s="148" t="s">
        <v>472</v>
      </c>
      <c r="S31" s="148" t="s">
        <v>119</v>
      </c>
      <c r="T31" s="148" t="s">
        <v>136</v>
      </c>
      <c r="U31" s="148" t="s">
        <v>250</v>
      </c>
      <c r="V31" s="145">
        <f t="shared" si="1"/>
        <v>162</v>
      </c>
      <c r="W31" s="149"/>
      <c r="X31" s="145">
        <f t="shared" si="2"/>
        <v>233</v>
      </c>
      <c r="Y31">
        <f ca="1" t="shared" si="3"/>
        <v>0.542161792271688</v>
      </c>
      <c r="Z31" s="199"/>
    </row>
    <row r="32" spans="1:26">
      <c r="A32" s="198"/>
      <c r="B32" s="153">
        <v>547</v>
      </c>
      <c r="C32" s="154" t="s">
        <v>825</v>
      </c>
      <c r="D32" s="144">
        <v>11</v>
      </c>
      <c r="E32" s="145">
        <v>86</v>
      </c>
      <c r="F32" s="145">
        <v>82</v>
      </c>
      <c r="G32" s="145">
        <v>52</v>
      </c>
      <c r="H32" s="145">
        <v>61</v>
      </c>
      <c r="I32" s="145">
        <v>58</v>
      </c>
      <c r="J32" s="145">
        <f t="shared" si="0"/>
        <v>339</v>
      </c>
      <c r="K32" s="145">
        <v>126</v>
      </c>
      <c r="L32" s="147" t="s">
        <v>115</v>
      </c>
      <c r="M32" s="147" t="s">
        <v>130</v>
      </c>
      <c r="N32" s="147" t="s">
        <v>124</v>
      </c>
      <c r="O32" s="147" t="s">
        <v>114</v>
      </c>
      <c r="P32" s="147" t="s">
        <v>130</v>
      </c>
      <c r="Q32" s="147" t="s">
        <v>130</v>
      </c>
      <c r="R32" s="148" t="s">
        <v>194</v>
      </c>
      <c r="S32" s="148" t="s">
        <v>175</v>
      </c>
      <c r="T32" s="148" t="s">
        <v>136</v>
      </c>
      <c r="U32" s="148" t="s">
        <v>126</v>
      </c>
      <c r="V32" s="145">
        <f t="shared" si="1"/>
        <v>168</v>
      </c>
      <c r="W32" s="149"/>
      <c r="X32" s="145">
        <f t="shared" si="2"/>
        <v>220</v>
      </c>
      <c r="Y32">
        <f ca="1" t="shared" si="3"/>
        <v>0.074181140515674</v>
      </c>
      <c r="Z32" s="199"/>
    </row>
    <row r="33" spans="1:26">
      <c r="A33" s="198"/>
      <c r="B33" s="153">
        <v>652</v>
      </c>
      <c r="C33" s="154" t="s">
        <v>357</v>
      </c>
      <c r="D33" s="144">
        <v>3</v>
      </c>
      <c r="E33" s="145">
        <v>55</v>
      </c>
      <c r="F33" s="145">
        <v>44</v>
      </c>
      <c r="G33" s="145">
        <v>83</v>
      </c>
      <c r="H33" s="145">
        <v>89</v>
      </c>
      <c r="I33" s="145">
        <v>83</v>
      </c>
      <c r="J33" s="145">
        <f t="shared" si="0"/>
        <v>354</v>
      </c>
      <c r="K33" s="145">
        <v>60</v>
      </c>
      <c r="L33" s="147" t="s">
        <v>124</v>
      </c>
      <c r="M33" s="147" t="s">
        <v>124</v>
      </c>
      <c r="N33" s="147" t="s">
        <v>124</v>
      </c>
      <c r="O33" s="147" t="s">
        <v>124</v>
      </c>
      <c r="P33" s="147" t="s">
        <v>124</v>
      </c>
      <c r="Q33" s="147" t="s">
        <v>130</v>
      </c>
      <c r="R33" s="148" t="s">
        <v>358</v>
      </c>
      <c r="S33" s="148" t="s">
        <v>118</v>
      </c>
      <c r="T33" s="148" t="s">
        <v>119</v>
      </c>
      <c r="U33" s="148" t="s">
        <v>120</v>
      </c>
      <c r="V33" s="145">
        <f t="shared" si="1"/>
        <v>99</v>
      </c>
      <c r="W33" s="149"/>
      <c r="X33" s="145">
        <f t="shared" si="2"/>
        <v>182</v>
      </c>
      <c r="Y33">
        <f ca="1" t="shared" si="3"/>
        <v>0.96764382944322</v>
      </c>
      <c r="Z33" s="199"/>
    </row>
    <row r="34" spans="1:26">
      <c r="A34" s="198"/>
      <c r="B34" s="153">
        <v>462</v>
      </c>
      <c r="C34" s="154" t="s">
        <v>730</v>
      </c>
      <c r="D34" s="144">
        <v>3</v>
      </c>
      <c r="E34" s="145">
        <v>72</v>
      </c>
      <c r="F34" s="145">
        <v>78</v>
      </c>
      <c r="G34" s="145">
        <v>94</v>
      </c>
      <c r="H34" s="145">
        <v>74</v>
      </c>
      <c r="I34" s="145">
        <v>75</v>
      </c>
      <c r="J34" s="145">
        <f t="shared" si="0"/>
        <v>393</v>
      </c>
      <c r="K34" s="145">
        <v>12</v>
      </c>
      <c r="L34" s="147" t="s">
        <v>130</v>
      </c>
      <c r="M34" s="147" t="s">
        <v>130</v>
      </c>
      <c r="N34" s="147" t="s">
        <v>114</v>
      </c>
      <c r="O34" s="147" t="s">
        <v>114</v>
      </c>
      <c r="P34" s="147" t="s">
        <v>130</v>
      </c>
      <c r="Q34" s="147" t="s">
        <v>124</v>
      </c>
      <c r="R34" s="148" t="s">
        <v>429</v>
      </c>
      <c r="S34" s="148" t="s">
        <v>132</v>
      </c>
      <c r="T34" s="148" t="s">
        <v>119</v>
      </c>
      <c r="U34" s="148" t="s">
        <v>126</v>
      </c>
      <c r="V34" s="145">
        <f t="shared" si="1"/>
        <v>150</v>
      </c>
      <c r="W34" s="149"/>
      <c r="X34" s="145">
        <f t="shared" si="2"/>
        <v>244</v>
      </c>
      <c r="Y34">
        <f ca="1" t="shared" si="3"/>
        <v>0.0868882704433669</v>
      </c>
      <c r="Z34" s="199"/>
    </row>
    <row r="35" spans="1:26">
      <c r="A35" s="198"/>
      <c r="B35" s="153">
        <v>223</v>
      </c>
      <c r="C35" s="154" t="s">
        <v>1055</v>
      </c>
      <c r="D35" s="144">
        <v>6</v>
      </c>
      <c r="E35" s="145">
        <v>75</v>
      </c>
      <c r="F35" s="145">
        <v>81</v>
      </c>
      <c r="G35" s="145">
        <v>44</v>
      </c>
      <c r="H35" s="145">
        <v>17</v>
      </c>
      <c r="I35" s="145">
        <v>24</v>
      </c>
      <c r="J35" s="145">
        <f t="shared" si="0"/>
        <v>241</v>
      </c>
      <c r="K35" s="145">
        <v>25</v>
      </c>
      <c r="L35" s="147" t="s">
        <v>130</v>
      </c>
      <c r="M35" s="147" t="s">
        <v>130</v>
      </c>
      <c r="N35" s="147" t="s">
        <v>115</v>
      </c>
      <c r="O35" s="147" t="s">
        <v>114</v>
      </c>
      <c r="P35" s="147" t="s">
        <v>114</v>
      </c>
      <c r="Q35" s="147" t="s">
        <v>124</v>
      </c>
      <c r="R35" s="148" t="s">
        <v>606</v>
      </c>
      <c r="S35" s="148" t="s">
        <v>119</v>
      </c>
      <c r="T35" s="148" t="s">
        <v>119</v>
      </c>
      <c r="U35" s="148" t="s">
        <v>250</v>
      </c>
      <c r="V35" s="145">
        <f t="shared" si="1"/>
        <v>156</v>
      </c>
      <c r="W35" s="149"/>
      <c r="X35" s="145">
        <f t="shared" si="2"/>
        <v>200</v>
      </c>
      <c r="Y35">
        <f ca="1" t="shared" si="3"/>
        <v>0.273632868026601</v>
      </c>
      <c r="Z35" s="199"/>
    </row>
    <row r="36" spans="1:26">
      <c r="A36" s="198"/>
      <c r="B36" s="153">
        <v>563</v>
      </c>
      <c r="C36" s="156" t="s">
        <v>433</v>
      </c>
      <c r="D36" s="144">
        <v>1</v>
      </c>
      <c r="E36" s="145">
        <v>55</v>
      </c>
      <c r="F36" s="145">
        <v>52</v>
      </c>
      <c r="G36" s="145">
        <v>88</v>
      </c>
      <c r="H36" s="145">
        <v>67</v>
      </c>
      <c r="I36" s="145">
        <v>73</v>
      </c>
      <c r="J36" s="145">
        <f t="shared" si="0"/>
        <v>335</v>
      </c>
      <c r="K36" s="145">
        <v>140</v>
      </c>
      <c r="L36" s="147" t="s">
        <v>124</v>
      </c>
      <c r="M36" s="147" t="s">
        <v>124</v>
      </c>
      <c r="N36" s="147" t="s">
        <v>124</v>
      </c>
      <c r="O36" s="147" t="s">
        <v>124</v>
      </c>
      <c r="P36" s="147" t="s">
        <v>124</v>
      </c>
      <c r="Q36" s="147" t="s">
        <v>124</v>
      </c>
      <c r="R36" s="148" t="s">
        <v>365</v>
      </c>
      <c r="S36" s="148" t="s">
        <v>175</v>
      </c>
      <c r="T36" s="148" t="s">
        <v>136</v>
      </c>
      <c r="U36" s="148" t="s">
        <v>120</v>
      </c>
      <c r="V36" s="145">
        <f t="shared" si="1"/>
        <v>107</v>
      </c>
      <c r="W36" s="149"/>
      <c r="X36" s="145">
        <f t="shared" si="2"/>
        <v>195</v>
      </c>
      <c r="Y36">
        <f ca="1" t="shared" si="3"/>
        <v>0.142814994671148</v>
      </c>
      <c r="Z36" s="200"/>
    </row>
    <row r="37" spans="1:26">
      <c r="A37" s="198"/>
      <c r="B37" s="153">
        <v>214</v>
      </c>
      <c r="C37" s="154" t="s">
        <v>718</v>
      </c>
      <c r="D37" s="144">
        <v>4</v>
      </c>
      <c r="E37" s="145">
        <v>81</v>
      </c>
      <c r="F37" s="145">
        <v>69</v>
      </c>
      <c r="G37" s="145">
        <v>71</v>
      </c>
      <c r="H37" s="145">
        <v>67</v>
      </c>
      <c r="I37" s="145">
        <v>76</v>
      </c>
      <c r="J37" s="145">
        <f t="shared" si="0"/>
        <v>364</v>
      </c>
      <c r="K37" s="145">
        <v>68</v>
      </c>
      <c r="L37" s="147" t="s">
        <v>114</v>
      </c>
      <c r="M37" s="147" t="s">
        <v>114</v>
      </c>
      <c r="N37" s="147" t="s">
        <v>130</v>
      </c>
      <c r="O37" s="147" t="s">
        <v>114</v>
      </c>
      <c r="P37" s="147" t="s">
        <v>130</v>
      </c>
      <c r="Q37" s="147" t="s">
        <v>124</v>
      </c>
      <c r="R37" s="148" t="s">
        <v>476</v>
      </c>
      <c r="S37" s="148" t="s">
        <v>118</v>
      </c>
      <c r="T37" s="148" t="s">
        <v>133</v>
      </c>
      <c r="U37" s="148" t="s">
        <v>126</v>
      </c>
      <c r="V37" s="145">
        <f t="shared" si="1"/>
        <v>150</v>
      </c>
      <c r="W37" s="149"/>
      <c r="X37" s="145">
        <f t="shared" si="2"/>
        <v>221</v>
      </c>
      <c r="Y37">
        <f ca="1" t="shared" si="3"/>
        <v>0.316415681598824</v>
      </c>
      <c r="Z37" s="200"/>
    </row>
    <row r="38" spans="1:26">
      <c r="A38" s="198"/>
      <c r="B38" s="153">
        <v>199</v>
      </c>
      <c r="C38" s="154" t="s">
        <v>407</v>
      </c>
      <c r="D38" s="144">
        <v>9</v>
      </c>
      <c r="E38" s="145">
        <v>69</v>
      </c>
      <c r="F38" s="145">
        <v>94</v>
      </c>
      <c r="G38" s="145">
        <v>29</v>
      </c>
      <c r="H38" s="145">
        <v>51</v>
      </c>
      <c r="I38" s="145">
        <v>76</v>
      </c>
      <c r="J38" s="145">
        <f t="shared" si="0"/>
        <v>319</v>
      </c>
      <c r="K38" s="145">
        <v>73</v>
      </c>
      <c r="L38" s="147" t="s">
        <v>114</v>
      </c>
      <c r="M38" s="147" t="s">
        <v>124</v>
      </c>
      <c r="N38" s="147" t="s">
        <v>124</v>
      </c>
      <c r="O38" s="147" t="s">
        <v>114</v>
      </c>
      <c r="P38" s="147" t="s">
        <v>124</v>
      </c>
      <c r="Q38" s="147" t="s">
        <v>124</v>
      </c>
      <c r="R38" s="148" t="s">
        <v>309</v>
      </c>
      <c r="S38" s="148" t="s">
        <v>118</v>
      </c>
      <c r="T38" s="148" t="s">
        <v>119</v>
      </c>
      <c r="U38" s="148" t="s">
        <v>250</v>
      </c>
      <c r="V38" s="145">
        <f t="shared" si="1"/>
        <v>163</v>
      </c>
      <c r="W38" s="149"/>
      <c r="X38" s="145">
        <f t="shared" si="2"/>
        <v>192</v>
      </c>
      <c r="Y38">
        <f ca="1" t="shared" si="3"/>
        <v>0.966344243540159</v>
      </c>
      <c r="Z38" s="200"/>
    </row>
    <row r="39" spans="1:26">
      <c r="A39" s="197" t="s">
        <v>1364</v>
      </c>
      <c r="B39" s="153">
        <v>171</v>
      </c>
      <c r="C39" s="154" t="s">
        <v>968</v>
      </c>
      <c r="D39" s="144">
        <v>14</v>
      </c>
      <c r="E39" s="145">
        <v>80</v>
      </c>
      <c r="F39" s="145">
        <v>82</v>
      </c>
      <c r="G39" s="145">
        <v>51</v>
      </c>
      <c r="H39" s="145">
        <v>37</v>
      </c>
      <c r="I39" s="145">
        <v>72</v>
      </c>
      <c r="J39" s="145">
        <f t="shared" si="0"/>
        <v>322</v>
      </c>
      <c r="K39" s="145">
        <v>70</v>
      </c>
      <c r="L39" s="147" t="s">
        <v>114</v>
      </c>
      <c r="M39" s="147" t="s">
        <v>115</v>
      </c>
      <c r="N39" s="147" t="s">
        <v>115</v>
      </c>
      <c r="O39" s="147" t="s">
        <v>130</v>
      </c>
      <c r="P39" s="147" t="s">
        <v>114</v>
      </c>
      <c r="Q39" s="147" t="s">
        <v>124</v>
      </c>
      <c r="R39" s="158" t="s">
        <v>431</v>
      </c>
      <c r="S39" s="148" t="s">
        <v>119</v>
      </c>
      <c r="T39" s="148" t="s">
        <v>119</v>
      </c>
      <c r="U39" s="148" t="s">
        <v>126</v>
      </c>
      <c r="V39" s="145">
        <f t="shared" si="1"/>
        <v>162</v>
      </c>
      <c r="W39" s="148" t="s">
        <v>432</v>
      </c>
      <c r="X39" s="145">
        <f t="shared" si="2"/>
        <v>213</v>
      </c>
      <c r="Y39">
        <f ca="1" t="shared" si="3"/>
        <v>0.607280997307154</v>
      </c>
      <c r="Z39" s="199"/>
    </row>
    <row r="40" ht="17.6" spans="1:26">
      <c r="A40" s="197"/>
      <c r="B40" s="122">
        <v>14</v>
      </c>
      <c r="C40" s="121" t="s">
        <v>1365</v>
      </c>
      <c r="D40" s="124">
        <v>6</v>
      </c>
      <c r="E40" s="121" t="s">
        <v>1366</v>
      </c>
      <c r="F40" s="121" t="s">
        <v>309</v>
      </c>
      <c r="G40" s="145"/>
      <c r="H40" s="145"/>
      <c r="I40" s="145"/>
      <c r="J40" s="145"/>
      <c r="K40" s="145"/>
      <c r="L40" s="147"/>
      <c r="M40" s="147"/>
      <c r="N40" s="147"/>
      <c r="O40" s="147"/>
      <c r="P40" s="147"/>
      <c r="Q40" s="147"/>
      <c r="R40" s="158"/>
      <c r="S40" s="148"/>
      <c r="T40" s="148"/>
      <c r="U40" s="148"/>
      <c r="V40" s="145"/>
      <c r="W40" s="148"/>
      <c r="X40" s="145"/>
      <c r="Z40" s="199"/>
    </row>
    <row r="41" spans="1:26">
      <c r="A41" s="197"/>
      <c r="B41" s="153">
        <v>627</v>
      </c>
      <c r="C41" s="154" t="s">
        <v>221</v>
      </c>
      <c r="D41" s="144">
        <v>13</v>
      </c>
      <c r="E41" s="145">
        <v>85</v>
      </c>
      <c r="F41" s="145">
        <v>73</v>
      </c>
      <c r="G41" s="145">
        <v>68</v>
      </c>
      <c r="H41" s="145">
        <v>63</v>
      </c>
      <c r="I41" s="145">
        <v>67</v>
      </c>
      <c r="J41" s="145">
        <f t="shared" ref="J41:J56" si="4">SUM(E41:I41)</f>
        <v>356</v>
      </c>
      <c r="K41" s="145">
        <v>62</v>
      </c>
      <c r="L41" s="147" t="s">
        <v>114</v>
      </c>
      <c r="M41" s="147" t="s">
        <v>115</v>
      </c>
      <c r="N41" s="147" t="s">
        <v>114</v>
      </c>
      <c r="O41" s="147" t="s">
        <v>130</v>
      </c>
      <c r="P41" s="147" t="s">
        <v>115</v>
      </c>
      <c r="Q41" s="147" t="s">
        <v>114</v>
      </c>
      <c r="R41" s="158" t="s">
        <v>157</v>
      </c>
      <c r="S41" s="148" t="s">
        <v>132</v>
      </c>
      <c r="T41" s="148" t="s">
        <v>119</v>
      </c>
      <c r="U41" s="148" t="s">
        <v>120</v>
      </c>
      <c r="V41" s="145">
        <f t="shared" ref="V41:V56" si="5">E41+F41</f>
        <v>158</v>
      </c>
      <c r="W41" s="148" t="s">
        <v>158</v>
      </c>
      <c r="X41" s="145">
        <f t="shared" ref="X41:X56" si="6">E41+F41+G41</f>
        <v>226</v>
      </c>
      <c r="Y41">
        <f ca="1" t="shared" ref="Y41:Y56" si="7">RAND()</f>
        <v>0.316934122911479</v>
      </c>
      <c r="Z41" s="199"/>
    </row>
    <row r="42" spans="1:26">
      <c r="A42" s="197"/>
      <c r="B42" s="153">
        <v>633</v>
      </c>
      <c r="C42" s="154" t="s">
        <v>391</v>
      </c>
      <c r="D42" s="144">
        <v>1</v>
      </c>
      <c r="E42" s="145">
        <v>46</v>
      </c>
      <c r="F42" s="145">
        <v>42</v>
      </c>
      <c r="G42" s="145">
        <v>79</v>
      </c>
      <c r="H42" s="145">
        <v>83</v>
      </c>
      <c r="I42" s="145">
        <v>78</v>
      </c>
      <c r="J42" s="145">
        <f t="shared" si="4"/>
        <v>328</v>
      </c>
      <c r="K42" s="145">
        <v>58</v>
      </c>
      <c r="L42" s="147" t="s">
        <v>124</v>
      </c>
      <c r="M42" s="147" t="s">
        <v>124</v>
      </c>
      <c r="N42" s="147" t="s">
        <v>124</v>
      </c>
      <c r="O42" s="147" t="s">
        <v>124</v>
      </c>
      <c r="P42" s="147" t="s">
        <v>124</v>
      </c>
      <c r="Q42" s="147" t="s">
        <v>124</v>
      </c>
      <c r="R42" s="148" t="s">
        <v>342</v>
      </c>
      <c r="S42" s="148" t="s">
        <v>118</v>
      </c>
      <c r="T42" s="148" t="s">
        <v>119</v>
      </c>
      <c r="U42" s="148" t="s">
        <v>148</v>
      </c>
      <c r="V42" s="145">
        <f t="shared" si="5"/>
        <v>88</v>
      </c>
      <c r="W42" s="149"/>
      <c r="X42" s="145">
        <f t="shared" si="6"/>
        <v>167</v>
      </c>
      <c r="Y42">
        <f ca="1" t="shared" si="7"/>
        <v>0.189771416202993</v>
      </c>
      <c r="Z42" s="199"/>
    </row>
    <row r="43" spans="1:26">
      <c r="A43" s="197"/>
      <c r="B43" s="153">
        <v>29</v>
      </c>
      <c r="C43" s="154" t="s">
        <v>653</v>
      </c>
      <c r="D43" s="144">
        <v>4</v>
      </c>
      <c r="E43" s="145">
        <v>74</v>
      </c>
      <c r="F43" s="145">
        <v>68</v>
      </c>
      <c r="G43" s="145">
        <v>81</v>
      </c>
      <c r="H43" s="145">
        <v>76</v>
      </c>
      <c r="I43" s="145">
        <v>87</v>
      </c>
      <c r="J43" s="145">
        <f t="shared" si="4"/>
        <v>386</v>
      </c>
      <c r="K43" s="145">
        <v>22</v>
      </c>
      <c r="L43" s="147" t="s">
        <v>130</v>
      </c>
      <c r="M43" s="147" t="s">
        <v>114</v>
      </c>
      <c r="N43" s="147" t="s">
        <v>114</v>
      </c>
      <c r="O43" s="147" t="s">
        <v>114</v>
      </c>
      <c r="P43" s="147" t="s">
        <v>130</v>
      </c>
      <c r="Q43" s="147" t="s">
        <v>124</v>
      </c>
      <c r="R43" s="148" t="s">
        <v>230</v>
      </c>
      <c r="S43" s="148" t="s">
        <v>119</v>
      </c>
      <c r="T43" s="148" t="s">
        <v>136</v>
      </c>
      <c r="U43" s="148" t="s">
        <v>120</v>
      </c>
      <c r="V43" s="145">
        <f t="shared" si="5"/>
        <v>142</v>
      </c>
      <c r="W43" s="149"/>
      <c r="X43" s="145">
        <f t="shared" si="6"/>
        <v>223</v>
      </c>
      <c r="Y43">
        <f ca="1" t="shared" si="7"/>
        <v>0.32639752910087</v>
      </c>
      <c r="Z43" s="199"/>
    </row>
    <row r="44" spans="1:26">
      <c r="A44" s="197"/>
      <c r="B44" s="153">
        <v>294</v>
      </c>
      <c r="C44" s="154" t="s">
        <v>524</v>
      </c>
      <c r="D44" s="144">
        <v>9</v>
      </c>
      <c r="E44" s="145">
        <v>30</v>
      </c>
      <c r="F44" s="145">
        <v>24</v>
      </c>
      <c r="G44" s="145">
        <v>86</v>
      </c>
      <c r="H44" s="145">
        <v>87</v>
      </c>
      <c r="I44" s="145">
        <v>60</v>
      </c>
      <c r="J44" s="145">
        <f t="shared" si="4"/>
        <v>287</v>
      </c>
      <c r="K44" s="145">
        <v>62</v>
      </c>
      <c r="L44" s="147" t="s">
        <v>124</v>
      </c>
      <c r="M44" s="147" t="s">
        <v>124</v>
      </c>
      <c r="N44" s="147" t="s">
        <v>124</v>
      </c>
      <c r="O44" s="147" t="s">
        <v>124</v>
      </c>
      <c r="P44" s="147" t="s">
        <v>124</v>
      </c>
      <c r="Q44" s="147" t="s">
        <v>124</v>
      </c>
      <c r="R44" s="148" t="s">
        <v>302</v>
      </c>
      <c r="S44" s="148" t="s">
        <v>119</v>
      </c>
      <c r="T44" s="148" t="s">
        <v>119</v>
      </c>
      <c r="U44" s="148" t="s">
        <v>120</v>
      </c>
      <c r="V44" s="145">
        <f t="shared" si="5"/>
        <v>54</v>
      </c>
      <c r="W44" s="149"/>
      <c r="X44" s="145">
        <f t="shared" si="6"/>
        <v>140</v>
      </c>
      <c r="Y44">
        <f ca="1" t="shared" si="7"/>
        <v>0.939952199196779</v>
      </c>
      <c r="Z44" s="199"/>
    </row>
    <row r="45" spans="1:26">
      <c r="A45" s="197"/>
      <c r="B45" s="153">
        <v>430</v>
      </c>
      <c r="C45" s="156" t="s">
        <v>317</v>
      </c>
      <c r="D45" s="144">
        <v>9</v>
      </c>
      <c r="E45" s="145">
        <v>77</v>
      </c>
      <c r="F45" s="145">
        <v>87</v>
      </c>
      <c r="G45" s="145">
        <v>64</v>
      </c>
      <c r="H45" s="145">
        <v>43</v>
      </c>
      <c r="I45" s="145">
        <v>89</v>
      </c>
      <c r="J45" s="145">
        <f t="shared" si="4"/>
        <v>360</v>
      </c>
      <c r="K45" s="145">
        <v>75</v>
      </c>
      <c r="L45" s="147" t="s">
        <v>124</v>
      </c>
      <c r="M45" s="147" t="s">
        <v>130</v>
      </c>
      <c r="N45" s="147" t="s">
        <v>114</v>
      </c>
      <c r="O45" s="147" t="s">
        <v>115</v>
      </c>
      <c r="P45" s="147" t="s">
        <v>124</v>
      </c>
      <c r="Q45" s="147" t="s">
        <v>124</v>
      </c>
      <c r="R45" s="148" t="s">
        <v>318</v>
      </c>
      <c r="S45" s="148" t="s">
        <v>319</v>
      </c>
      <c r="T45" s="148" t="s">
        <v>119</v>
      </c>
      <c r="U45" s="148" t="s">
        <v>126</v>
      </c>
      <c r="V45" s="145">
        <f t="shared" si="5"/>
        <v>164</v>
      </c>
      <c r="W45" s="149"/>
      <c r="X45" s="145">
        <f t="shared" si="6"/>
        <v>228</v>
      </c>
      <c r="Y45">
        <f ca="1" t="shared" si="7"/>
        <v>0.599584097998068</v>
      </c>
      <c r="Z45" s="199"/>
    </row>
    <row r="46" spans="1:26">
      <c r="A46" s="197"/>
      <c r="B46" s="153">
        <v>464</v>
      </c>
      <c r="C46" s="154" t="s">
        <v>471</v>
      </c>
      <c r="D46" s="144">
        <v>5</v>
      </c>
      <c r="E46" s="145">
        <v>71</v>
      </c>
      <c r="F46" s="145">
        <v>83</v>
      </c>
      <c r="G46" s="145">
        <v>39</v>
      </c>
      <c r="H46" s="145">
        <v>54</v>
      </c>
      <c r="I46" s="145">
        <v>67</v>
      </c>
      <c r="J46" s="145">
        <f t="shared" si="4"/>
        <v>314</v>
      </c>
      <c r="K46" s="145">
        <v>18</v>
      </c>
      <c r="L46" s="147" t="s">
        <v>114</v>
      </c>
      <c r="M46" s="147" t="s">
        <v>130</v>
      </c>
      <c r="N46" s="147" t="s">
        <v>124</v>
      </c>
      <c r="O46" s="147" t="s">
        <v>114</v>
      </c>
      <c r="P46" s="147" t="s">
        <v>124</v>
      </c>
      <c r="Q46" s="147" t="s">
        <v>124</v>
      </c>
      <c r="R46" s="148" t="s">
        <v>472</v>
      </c>
      <c r="S46" s="148" t="s">
        <v>132</v>
      </c>
      <c r="T46" s="148" t="s">
        <v>119</v>
      </c>
      <c r="U46" s="148" t="s">
        <v>120</v>
      </c>
      <c r="V46" s="145">
        <f t="shared" si="5"/>
        <v>154</v>
      </c>
      <c r="W46" s="149"/>
      <c r="X46" s="145">
        <f t="shared" si="6"/>
        <v>193</v>
      </c>
      <c r="Y46">
        <f ca="1" t="shared" si="7"/>
        <v>0.0994083679790674</v>
      </c>
      <c r="Z46" s="199"/>
    </row>
    <row r="47" spans="1:26">
      <c r="A47" s="197"/>
      <c r="B47" s="153">
        <v>346</v>
      </c>
      <c r="C47" s="154" t="s">
        <v>768</v>
      </c>
      <c r="D47" s="144">
        <v>2</v>
      </c>
      <c r="E47" s="145">
        <v>70</v>
      </c>
      <c r="F47" s="145">
        <v>75</v>
      </c>
      <c r="G47" s="145">
        <v>67</v>
      </c>
      <c r="H47" s="145">
        <v>62</v>
      </c>
      <c r="I47" s="145">
        <v>69</v>
      </c>
      <c r="J47" s="145">
        <f t="shared" si="4"/>
        <v>343</v>
      </c>
      <c r="K47" s="145">
        <v>84</v>
      </c>
      <c r="L47" s="147" t="s">
        <v>114</v>
      </c>
      <c r="M47" s="147" t="s">
        <v>130</v>
      </c>
      <c r="N47" s="147" t="s">
        <v>114</v>
      </c>
      <c r="O47" s="147" t="s">
        <v>124</v>
      </c>
      <c r="P47" s="147" t="s">
        <v>130</v>
      </c>
      <c r="Q47" s="147" t="s">
        <v>114</v>
      </c>
      <c r="R47" s="148" t="s">
        <v>337</v>
      </c>
      <c r="S47" s="148" t="s">
        <v>132</v>
      </c>
      <c r="T47" s="148" t="s">
        <v>119</v>
      </c>
      <c r="U47" s="148" t="s">
        <v>120</v>
      </c>
      <c r="V47" s="145">
        <f t="shared" si="5"/>
        <v>145</v>
      </c>
      <c r="W47" s="149"/>
      <c r="X47" s="145">
        <f t="shared" si="6"/>
        <v>212</v>
      </c>
      <c r="Y47">
        <f ca="1" t="shared" si="7"/>
        <v>0.122977991888352</v>
      </c>
      <c r="Z47" s="199"/>
    </row>
    <row r="48" spans="1:26">
      <c r="A48" s="197"/>
      <c r="B48" s="153">
        <v>392</v>
      </c>
      <c r="C48" s="154" t="s">
        <v>513</v>
      </c>
      <c r="D48" s="144">
        <v>1</v>
      </c>
      <c r="E48" s="145">
        <v>63</v>
      </c>
      <c r="F48" s="145">
        <v>43</v>
      </c>
      <c r="G48" s="145">
        <v>85</v>
      </c>
      <c r="H48" s="145">
        <v>65</v>
      </c>
      <c r="I48" s="145">
        <v>62</v>
      </c>
      <c r="J48" s="145">
        <f t="shared" si="4"/>
        <v>318</v>
      </c>
      <c r="K48" s="145">
        <v>144</v>
      </c>
      <c r="L48" s="147" t="s">
        <v>124</v>
      </c>
      <c r="M48" s="147" t="s">
        <v>124</v>
      </c>
      <c r="N48" s="147" t="s">
        <v>124</v>
      </c>
      <c r="O48" s="147" t="s">
        <v>130</v>
      </c>
      <c r="P48" s="147" t="s">
        <v>124</v>
      </c>
      <c r="Q48" s="147" t="s">
        <v>124</v>
      </c>
      <c r="R48" s="148" t="s">
        <v>286</v>
      </c>
      <c r="S48" s="148" t="s">
        <v>119</v>
      </c>
      <c r="T48" s="148" t="s">
        <v>119</v>
      </c>
      <c r="U48" s="148" t="s">
        <v>120</v>
      </c>
      <c r="V48" s="145">
        <f t="shared" si="5"/>
        <v>106</v>
      </c>
      <c r="W48" s="149"/>
      <c r="X48" s="145">
        <f t="shared" si="6"/>
        <v>191</v>
      </c>
      <c r="Y48">
        <f ca="1" t="shared" si="7"/>
        <v>0.581602447556374</v>
      </c>
      <c r="Z48" s="199"/>
    </row>
    <row r="49" spans="1:26">
      <c r="A49" s="197"/>
      <c r="B49" s="153">
        <v>474</v>
      </c>
      <c r="C49" s="154" t="s">
        <v>563</v>
      </c>
      <c r="D49" s="144">
        <v>11</v>
      </c>
      <c r="E49" s="145">
        <v>63</v>
      </c>
      <c r="F49" s="145">
        <v>99</v>
      </c>
      <c r="G49" s="145">
        <v>26</v>
      </c>
      <c r="H49" s="145">
        <v>39</v>
      </c>
      <c r="I49" s="145">
        <v>49</v>
      </c>
      <c r="J49" s="145">
        <f t="shared" si="4"/>
        <v>276</v>
      </c>
      <c r="K49" s="145">
        <v>36</v>
      </c>
      <c r="L49" s="147" t="s">
        <v>130</v>
      </c>
      <c r="M49" s="147" t="s">
        <v>114</v>
      </c>
      <c r="N49" s="147" t="s">
        <v>124</v>
      </c>
      <c r="O49" s="147" t="s">
        <v>130</v>
      </c>
      <c r="P49" s="147" t="s">
        <v>124</v>
      </c>
      <c r="Q49" s="147" t="s">
        <v>130</v>
      </c>
      <c r="R49" s="148" t="s">
        <v>239</v>
      </c>
      <c r="S49" s="148" t="s">
        <v>132</v>
      </c>
      <c r="T49" s="148" t="s">
        <v>119</v>
      </c>
      <c r="U49" s="148" t="s">
        <v>126</v>
      </c>
      <c r="V49" s="145">
        <f t="shared" si="5"/>
        <v>162</v>
      </c>
      <c r="W49" s="149"/>
      <c r="X49" s="145">
        <f t="shared" si="6"/>
        <v>188</v>
      </c>
      <c r="Y49">
        <f ca="1" t="shared" si="7"/>
        <v>0.849422640840685</v>
      </c>
      <c r="Z49" s="199"/>
    </row>
    <row r="50" spans="1:26">
      <c r="A50" s="197"/>
      <c r="B50" s="153">
        <v>518</v>
      </c>
      <c r="C50" s="154" t="s">
        <v>713</v>
      </c>
      <c r="D50" s="144">
        <v>9</v>
      </c>
      <c r="E50" s="145">
        <v>86</v>
      </c>
      <c r="F50" s="145">
        <v>79</v>
      </c>
      <c r="G50" s="145">
        <v>81</v>
      </c>
      <c r="H50" s="145">
        <v>69</v>
      </c>
      <c r="I50" s="145">
        <v>77</v>
      </c>
      <c r="J50" s="145">
        <f t="shared" si="4"/>
        <v>392</v>
      </c>
      <c r="K50" s="145">
        <v>45</v>
      </c>
      <c r="L50" s="147" t="s">
        <v>114</v>
      </c>
      <c r="M50" s="147" t="s">
        <v>115</v>
      </c>
      <c r="N50" s="147" t="s">
        <v>114</v>
      </c>
      <c r="O50" s="147" t="s">
        <v>114</v>
      </c>
      <c r="P50" s="147" t="s">
        <v>130</v>
      </c>
      <c r="Q50" s="147" t="s">
        <v>114</v>
      </c>
      <c r="R50" s="148" t="s">
        <v>472</v>
      </c>
      <c r="S50" s="148" t="s">
        <v>132</v>
      </c>
      <c r="T50" s="148" t="s">
        <v>119</v>
      </c>
      <c r="U50" s="148" t="s">
        <v>120</v>
      </c>
      <c r="V50" s="145">
        <f t="shared" si="5"/>
        <v>165</v>
      </c>
      <c r="W50" s="149"/>
      <c r="X50" s="145">
        <f t="shared" si="6"/>
        <v>246</v>
      </c>
      <c r="Y50">
        <f ca="1" t="shared" si="7"/>
        <v>0.254016416712916</v>
      </c>
      <c r="Z50" s="199"/>
    </row>
    <row r="51" spans="1:26">
      <c r="A51" s="197"/>
      <c r="B51" s="153">
        <v>421</v>
      </c>
      <c r="C51" s="156" t="s">
        <v>658</v>
      </c>
      <c r="D51" s="144">
        <v>7</v>
      </c>
      <c r="E51" s="145">
        <v>72</v>
      </c>
      <c r="F51" s="145">
        <v>87</v>
      </c>
      <c r="G51" s="145">
        <v>69</v>
      </c>
      <c r="H51" s="145">
        <v>57</v>
      </c>
      <c r="I51" s="145">
        <v>86</v>
      </c>
      <c r="J51" s="145">
        <f t="shared" si="4"/>
        <v>371</v>
      </c>
      <c r="K51" s="145">
        <v>75</v>
      </c>
      <c r="L51" s="147" t="s">
        <v>130</v>
      </c>
      <c r="M51" s="147" t="s">
        <v>114</v>
      </c>
      <c r="N51" s="147" t="s">
        <v>115</v>
      </c>
      <c r="O51" s="147" t="s">
        <v>124</v>
      </c>
      <c r="P51" s="147" t="s">
        <v>130</v>
      </c>
      <c r="Q51" s="147" t="s">
        <v>130</v>
      </c>
      <c r="R51" s="148" t="s">
        <v>266</v>
      </c>
      <c r="S51" s="148" t="s">
        <v>319</v>
      </c>
      <c r="T51" s="148" t="s">
        <v>119</v>
      </c>
      <c r="U51" s="148" t="s">
        <v>120</v>
      </c>
      <c r="V51" s="145">
        <f t="shared" si="5"/>
        <v>159</v>
      </c>
      <c r="W51" s="149"/>
      <c r="X51" s="145">
        <f t="shared" si="6"/>
        <v>228</v>
      </c>
      <c r="Y51">
        <f ca="1" t="shared" si="7"/>
        <v>0.198712369825017</v>
      </c>
      <c r="Z51" s="199"/>
    </row>
    <row r="52" spans="1:26">
      <c r="A52" s="197" t="s">
        <v>1367</v>
      </c>
      <c r="B52" s="153">
        <v>305</v>
      </c>
      <c r="C52" s="154" t="s">
        <v>678</v>
      </c>
      <c r="D52" s="144">
        <v>15</v>
      </c>
      <c r="E52" s="145">
        <v>62</v>
      </c>
      <c r="F52" s="145">
        <v>81</v>
      </c>
      <c r="G52" s="145">
        <v>76</v>
      </c>
      <c r="H52" s="145">
        <v>85</v>
      </c>
      <c r="I52" s="145">
        <v>83</v>
      </c>
      <c r="J52" s="145">
        <f t="shared" si="4"/>
        <v>387</v>
      </c>
      <c r="K52" s="145">
        <v>130</v>
      </c>
      <c r="L52" s="147" t="s">
        <v>130</v>
      </c>
      <c r="M52" s="147" t="s">
        <v>124</v>
      </c>
      <c r="N52" s="147" t="s">
        <v>130</v>
      </c>
      <c r="O52" s="147" t="s">
        <v>130</v>
      </c>
      <c r="P52" s="147" t="s">
        <v>130</v>
      </c>
      <c r="Q52" s="147" t="s">
        <v>124</v>
      </c>
      <c r="R52" s="148" t="s">
        <v>292</v>
      </c>
      <c r="S52" s="148" t="s">
        <v>132</v>
      </c>
      <c r="T52" s="148" t="s">
        <v>133</v>
      </c>
      <c r="U52" s="148" t="s">
        <v>148</v>
      </c>
      <c r="V52" s="145">
        <f t="shared" si="5"/>
        <v>143</v>
      </c>
      <c r="W52" s="149"/>
      <c r="X52" s="145">
        <f t="shared" si="6"/>
        <v>219</v>
      </c>
      <c r="Y52">
        <f ca="1" t="shared" si="7"/>
        <v>0.335551091103072</v>
      </c>
      <c r="Z52" s="199"/>
    </row>
    <row r="53" spans="1:26">
      <c r="A53" s="197"/>
      <c r="B53" s="153">
        <v>670</v>
      </c>
      <c r="C53" s="154" t="s">
        <v>748</v>
      </c>
      <c r="D53" s="144">
        <v>16</v>
      </c>
      <c r="E53" s="145">
        <v>77</v>
      </c>
      <c r="F53" s="145">
        <v>95</v>
      </c>
      <c r="G53" s="145">
        <v>69</v>
      </c>
      <c r="H53" s="145">
        <v>49</v>
      </c>
      <c r="I53" s="145">
        <v>72</v>
      </c>
      <c r="J53" s="145">
        <f t="shared" si="4"/>
        <v>362</v>
      </c>
      <c r="K53" s="145">
        <v>64</v>
      </c>
      <c r="L53" s="147" t="s">
        <v>114</v>
      </c>
      <c r="M53" s="147" t="s">
        <v>130</v>
      </c>
      <c r="N53" s="147" t="s">
        <v>115</v>
      </c>
      <c r="O53" s="147" t="s">
        <v>130</v>
      </c>
      <c r="P53" s="147" t="s">
        <v>130</v>
      </c>
      <c r="Q53" s="147" t="s">
        <v>114</v>
      </c>
      <c r="R53" s="148" t="s">
        <v>749</v>
      </c>
      <c r="S53" s="148" t="s">
        <v>132</v>
      </c>
      <c r="T53" s="148" t="s">
        <v>119</v>
      </c>
      <c r="U53" s="148" t="s">
        <v>126</v>
      </c>
      <c r="V53" s="145">
        <f t="shared" si="5"/>
        <v>172</v>
      </c>
      <c r="W53" s="149"/>
      <c r="X53" s="145">
        <f t="shared" si="6"/>
        <v>241</v>
      </c>
      <c r="Y53">
        <f ca="1" t="shared" si="7"/>
        <v>0.550715295534103</v>
      </c>
      <c r="Z53" s="199"/>
    </row>
    <row r="54" spans="1:26">
      <c r="A54" s="197"/>
      <c r="B54" s="153">
        <v>153</v>
      </c>
      <c r="C54" s="154" t="s">
        <v>491</v>
      </c>
      <c r="D54" s="144">
        <v>1</v>
      </c>
      <c r="E54" s="145">
        <v>14</v>
      </c>
      <c r="F54" s="145">
        <v>17</v>
      </c>
      <c r="G54" s="145">
        <v>74</v>
      </c>
      <c r="H54" s="145">
        <v>84</v>
      </c>
      <c r="I54" s="145">
        <v>65</v>
      </c>
      <c r="J54" s="145">
        <f t="shared" si="4"/>
        <v>254</v>
      </c>
      <c r="K54" s="145">
        <v>79</v>
      </c>
      <c r="L54" s="147" t="s">
        <v>124</v>
      </c>
      <c r="M54" s="147" t="s">
        <v>124</v>
      </c>
      <c r="N54" s="147" t="s">
        <v>124</v>
      </c>
      <c r="O54" s="147" t="s">
        <v>124</v>
      </c>
      <c r="P54" s="147" t="s">
        <v>124</v>
      </c>
      <c r="Q54" s="147" t="s">
        <v>124</v>
      </c>
      <c r="R54" s="148" t="s">
        <v>342</v>
      </c>
      <c r="S54" s="148" t="s">
        <v>132</v>
      </c>
      <c r="T54" s="148" t="s">
        <v>119</v>
      </c>
      <c r="U54" s="148" t="s">
        <v>120</v>
      </c>
      <c r="V54" s="145">
        <f t="shared" si="5"/>
        <v>31</v>
      </c>
      <c r="W54" s="149"/>
      <c r="X54" s="145">
        <f t="shared" si="6"/>
        <v>105</v>
      </c>
      <c r="Y54">
        <f ca="1" t="shared" si="7"/>
        <v>0.348448458300605</v>
      </c>
      <c r="Z54" s="199"/>
    </row>
    <row r="55" spans="1:26">
      <c r="A55" s="197"/>
      <c r="B55" s="153">
        <v>591</v>
      </c>
      <c r="C55" s="154" t="s">
        <v>517</v>
      </c>
      <c r="D55" s="144">
        <v>4</v>
      </c>
      <c r="E55" s="145">
        <v>71</v>
      </c>
      <c r="F55" s="145">
        <v>87</v>
      </c>
      <c r="G55" s="145">
        <v>34</v>
      </c>
      <c r="H55" s="145">
        <v>42</v>
      </c>
      <c r="I55" s="145">
        <v>61</v>
      </c>
      <c r="J55" s="145">
        <f t="shared" si="4"/>
        <v>295</v>
      </c>
      <c r="K55" s="145">
        <v>51</v>
      </c>
      <c r="L55" s="147" t="s">
        <v>130</v>
      </c>
      <c r="M55" s="147" t="s">
        <v>114</v>
      </c>
      <c r="N55" s="147" t="s">
        <v>114</v>
      </c>
      <c r="O55" s="147" t="s">
        <v>114</v>
      </c>
      <c r="P55" s="147" t="s">
        <v>124</v>
      </c>
      <c r="Q55" s="147" t="s">
        <v>130</v>
      </c>
      <c r="R55" s="148" t="s">
        <v>236</v>
      </c>
      <c r="S55" s="148" t="s">
        <v>119</v>
      </c>
      <c r="T55" s="148" t="s">
        <v>119</v>
      </c>
      <c r="U55" s="148" t="s">
        <v>250</v>
      </c>
      <c r="V55" s="145">
        <f t="shared" si="5"/>
        <v>158</v>
      </c>
      <c r="W55" s="149"/>
      <c r="X55" s="145">
        <f t="shared" si="6"/>
        <v>192</v>
      </c>
      <c r="Y55">
        <f ca="1" t="shared" si="7"/>
        <v>0.056631558615156</v>
      </c>
      <c r="Z55" s="199"/>
    </row>
    <row r="56" spans="1:26">
      <c r="A56" s="197"/>
      <c r="B56" s="153">
        <v>545</v>
      </c>
      <c r="C56" s="154" t="s">
        <v>576</v>
      </c>
      <c r="D56" s="144">
        <v>6</v>
      </c>
      <c r="E56" s="145">
        <v>78</v>
      </c>
      <c r="F56" s="145">
        <v>83</v>
      </c>
      <c r="G56" s="145">
        <v>57</v>
      </c>
      <c r="H56" s="145">
        <v>64</v>
      </c>
      <c r="I56" s="145">
        <v>45</v>
      </c>
      <c r="J56" s="145">
        <f t="shared" si="4"/>
        <v>327</v>
      </c>
      <c r="K56" s="145">
        <v>127</v>
      </c>
      <c r="L56" s="147" t="s">
        <v>130</v>
      </c>
      <c r="M56" s="147" t="s">
        <v>130</v>
      </c>
      <c r="N56" s="147" t="s">
        <v>124</v>
      </c>
      <c r="O56" s="147" t="s">
        <v>115</v>
      </c>
      <c r="P56" s="147" t="s">
        <v>124</v>
      </c>
      <c r="Q56" s="147" t="s">
        <v>124</v>
      </c>
      <c r="R56" s="148" t="s">
        <v>577</v>
      </c>
      <c r="S56" s="148" t="s">
        <v>119</v>
      </c>
      <c r="T56" s="148" t="s">
        <v>119</v>
      </c>
      <c r="U56" s="148" t="s">
        <v>126</v>
      </c>
      <c r="V56" s="145">
        <f t="shared" si="5"/>
        <v>161</v>
      </c>
      <c r="W56" s="149"/>
      <c r="X56" s="145">
        <f t="shared" si="6"/>
        <v>218</v>
      </c>
      <c r="Y56">
        <f ca="1" t="shared" si="7"/>
        <v>0.957208569242355</v>
      </c>
      <c r="Z56" s="199"/>
    </row>
    <row r="57" ht="17.6" spans="1:26">
      <c r="A57" s="197"/>
      <c r="B57" s="122">
        <v>35</v>
      </c>
      <c r="C57" s="121" t="s">
        <v>1368</v>
      </c>
      <c r="D57" s="124">
        <v>4</v>
      </c>
      <c r="E57" s="121" t="s">
        <v>1369</v>
      </c>
      <c r="F57" s="121" t="s">
        <v>281</v>
      </c>
      <c r="G57" s="145"/>
      <c r="H57" s="145"/>
      <c r="I57" s="145"/>
      <c r="J57" s="145"/>
      <c r="K57" s="145"/>
      <c r="L57" s="147"/>
      <c r="M57" s="147"/>
      <c r="N57" s="147"/>
      <c r="O57" s="147"/>
      <c r="P57" s="147"/>
      <c r="Q57" s="147"/>
      <c r="R57" s="148"/>
      <c r="S57" s="148"/>
      <c r="T57" s="148"/>
      <c r="U57" s="148"/>
      <c r="V57" s="145"/>
      <c r="W57" s="149"/>
      <c r="X57" s="145"/>
      <c r="Z57" s="199"/>
    </row>
    <row r="58" spans="1:26">
      <c r="A58" s="197"/>
      <c r="B58" s="153">
        <v>334</v>
      </c>
      <c r="C58" s="154" t="s">
        <v>860</v>
      </c>
      <c r="D58" s="144">
        <v>11</v>
      </c>
      <c r="E58" s="145">
        <v>72</v>
      </c>
      <c r="F58" s="145">
        <v>81</v>
      </c>
      <c r="G58" s="145">
        <v>51</v>
      </c>
      <c r="H58" s="145">
        <v>49</v>
      </c>
      <c r="I58" s="145">
        <v>46</v>
      </c>
      <c r="J58" s="145">
        <f t="shared" ref="J58:J68" si="8">SUM(E58:I58)</f>
        <v>299</v>
      </c>
      <c r="K58" s="145">
        <v>69</v>
      </c>
      <c r="L58" s="147" t="s">
        <v>130</v>
      </c>
      <c r="M58" s="147" t="s">
        <v>114</v>
      </c>
      <c r="N58" s="147" t="s">
        <v>114</v>
      </c>
      <c r="O58" s="147" t="s">
        <v>124</v>
      </c>
      <c r="P58" s="147" t="s">
        <v>130</v>
      </c>
      <c r="Q58" s="147" t="s">
        <v>114</v>
      </c>
      <c r="R58" s="148" t="s">
        <v>160</v>
      </c>
      <c r="S58" s="148" t="s">
        <v>132</v>
      </c>
      <c r="T58" s="148" t="s">
        <v>136</v>
      </c>
      <c r="U58" s="148" t="s">
        <v>120</v>
      </c>
      <c r="V58" s="145">
        <f t="shared" ref="V58:V68" si="9">E58+F58</f>
        <v>153</v>
      </c>
      <c r="W58" s="149"/>
      <c r="X58" s="145">
        <f t="shared" ref="X58:X68" si="10">E58+F58+G58</f>
        <v>204</v>
      </c>
      <c r="Y58">
        <f ca="1" t="shared" ref="Y58:Y68" si="11">RAND()</f>
        <v>0.669443058695109</v>
      </c>
      <c r="Z58" s="199"/>
    </row>
    <row r="59" spans="1:26">
      <c r="A59" s="197"/>
      <c r="B59" s="153">
        <v>318</v>
      </c>
      <c r="C59" s="154" t="s">
        <v>642</v>
      </c>
      <c r="D59" s="144">
        <v>4</v>
      </c>
      <c r="E59" s="145">
        <v>52</v>
      </c>
      <c r="F59" s="145">
        <v>40</v>
      </c>
      <c r="G59" s="145">
        <v>81</v>
      </c>
      <c r="H59" s="145">
        <v>80</v>
      </c>
      <c r="I59" s="145">
        <v>89</v>
      </c>
      <c r="J59" s="145">
        <f t="shared" si="8"/>
        <v>342</v>
      </c>
      <c r="K59" s="145">
        <v>82</v>
      </c>
      <c r="L59" s="147" t="s">
        <v>124</v>
      </c>
      <c r="M59" s="147" t="s">
        <v>124</v>
      </c>
      <c r="N59" s="147" t="s">
        <v>130</v>
      </c>
      <c r="O59" s="147" t="s">
        <v>124</v>
      </c>
      <c r="P59" s="147" t="s">
        <v>130</v>
      </c>
      <c r="Q59" s="147" t="s">
        <v>124</v>
      </c>
      <c r="R59" s="148" t="s">
        <v>316</v>
      </c>
      <c r="S59" s="148" t="s">
        <v>119</v>
      </c>
      <c r="T59" s="148" t="s">
        <v>279</v>
      </c>
      <c r="U59" s="148" t="s">
        <v>148</v>
      </c>
      <c r="V59" s="145">
        <f t="shared" si="9"/>
        <v>92</v>
      </c>
      <c r="W59" s="149"/>
      <c r="X59" s="145">
        <f t="shared" si="10"/>
        <v>173</v>
      </c>
      <c r="Y59">
        <f ca="1" t="shared" si="11"/>
        <v>0.0908849081244658</v>
      </c>
      <c r="Z59" s="199"/>
    </row>
    <row r="60" spans="1:26">
      <c r="A60" s="197"/>
      <c r="B60" s="153">
        <v>465</v>
      </c>
      <c r="C60" s="154" t="s">
        <v>451</v>
      </c>
      <c r="D60" s="144">
        <v>4</v>
      </c>
      <c r="E60" s="145">
        <v>73</v>
      </c>
      <c r="F60" s="145">
        <v>80</v>
      </c>
      <c r="G60" s="145">
        <v>56</v>
      </c>
      <c r="H60" s="145">
        <v>62</v>
      </c>
      <c r="I60" s="145">
        <v>71</v>
      </c>
      <c r="J60" s="145">
        <f t="shared" si="8"/>
        <v>342</v>
      </c>
      <c r="K60" s="145">
        <v>18</v>
      </c>
      <c r="L60" s="147" t="s">
        <v>130</v>
      </c>
      <c r="M60" s="147" t="s">
        <v>130</v>
      </c>
      <c r="N60" s="147" t="s">
        <v>124</v>
      </c>
      <c r="O60" s="147" t="s">
        <v>124</v>
      </c>
      <c r="P60" s="147" t="s">
        <v>124</v>
      </c>
      <c r="Q60" s="147" t="s">
        <v>115</v>
      </c>
      <c r="R60" s="148" t="s">
        <v>452</v>
      </c>
      <c r="S60" s="148" t="s">
        <v>132</v>
      </c>
      <c r="T60" s="148" t="s">
        <v>119</v>
      </c>
      <c r="U60" s="148" t="s">
        <v>250</v>
      </c>
      <c r="V60" s="145">
        <f t="shared" si="9"/>
        <v>153</v>
      </c>
      <c r="W60" s="149"/>
      <c r="X60" s="145">
        <f t="shared" si="10"/>
        <v>209</v>
      </c>
      <c r="Y60">
        <f ca="1" t="shared" si="11"/>
        <v>0.31157615231236</v>
      </c>
      <c r="Z60" s="199"/>
    </row>
    <row r="61" spans="1:26">
      <c r="A61" s="197"/>
      <c r="B61" s="153">
        <v>326</v>
      </c>
      <c r="C61" s="154" t="s">
        <v>829</v>
      </c>
      <c r="D61" s="144">
        <v>6</v>
      </c>
      <c r="E61" s="145">
        <v>77</v>
      </c>
      <c r="F61" s="145">
        <v>81</v>
      </c>
      <c r="G61" s="145">
        <v>61</v>
      </c>
      <c r="H61" s="145">
        <v>62</v>
      </c>
      <c r="I61" s="145">
        <v>57</v>
      </c>
      <c r="J61" s="145">
        <f t="shared" si="8"/>
        <v>338</v>
      </c>
      <c r="K61" s="145">
        <v>65</v>
      </c>
      <c r="L61" s="147" t="s">
        <v>114</v>
      </c>
      <c r="M61" s="147" t="s">
        <v>115</v>
      </c>
      <c r="N61" s="147" t="s">
        <v>114</v>
      </c>
      <c r="O61" s="147" t="s">
        <v>124</v>
      </c>
      <c r="P61" s="147" t="s">
        <v>130</v>
      </c>
      <c r="Q61" s="147" t="s">
        <v>114</v>
      </c>
      <c r="R61" s="148" t="s">
        <v>192</v>
      </c>
      <c r="S61" s="148" t="s">
        <v>118</v>
      </c>
      <c r="T61" s="148" t="s">
        <v>119</v>
      </c>
      <c r="U61" s="148" t="s">
        <v>126</v>
      </c>
      <c r="V61" s="145">
        <f t="shared" si="9"/>
        <v>158</v>
      </c>
      <c r="W61" s="149"/>
      <c r="X61" s="145">
        <f t="shared" si="10"/>
        <v>219</v>
      </c>
      <c r="Y61">
        <f ca="1" t="shared" si="11"/>
        <v>0.974967631278406</v>
      </c>
      <c r="Z61" s="199"/>
    </row>
    <row r="62" spans="1:26">
      <c r="A62" s="197"/>
      <c r="B62" s="153">
        <v>562</v>
      </c>
      <c r="C62" s="154" t="s">
        <v>969</v>
      </c>
      <c r="D62" s="144">
        <v>8</v>
      </c>
      <c r="E62" s="145">
        <v>82</v>
      </c>
      <c r="F62" s="145">
        <v>79</v>
      </c>
      <c r="G62" s="145">
        <v>50</v>
      </c>
      <c r="H62" s="145">
        <v>69</v>
      </c>
      <c r="I62" s="145">
        <v>72</v>
      </c>
      <c r="J62" s="145">
        <f t="shared" si="8"/>
        <v>352</v>
      </c>
      <c r="K62" s="145">
        <v>36</v>
      </c>
      <c r="L62" s="147" t="s">
        <v>114</v>
      </c>
      <c r="M62" s="147" t="s">
        <v>130</v>
      </c>
      <c r="N62" s="147" t="s">
        <v>130</v>
      </c>
      <c r="O62" s="147" t="s">
        <v>115</v>
      </c>
      <c r="P62" s="147" t="s">
        <v>114</v>
      </c>
      <c r="Q62" s="147" t="s">
        <v>130</v>
      </c>
      <c r="R62" s="148" t="s">
        <v>155</v>
      </c>
      <c r="S62" s="148" t="s">
        <v>118</v>
      </c>
      <c r="T62" s="148" t="s">
        <v>119</v>
      </c>
      <c r="U62" s="148" t="s">
        <v>120</v>
      </c>
      <c r="V62" s="145">
        <f t="shared" si="9"/>
        <v>161</v>
      </c>
      <c r="W62" s="149"/>
      <c r="X62" s="145">
        <f t="shared" si="10"/>
        <v>211</v>
      </c>
      <c r="Y62">
        <f ca="1" t="shared" si="11"/>
        <v>0.547656886785524</v>
      </c>
      <c r="Z62" s="199"/>
    </row>
    <row r="63" spans="1:26">
      <c r="A63" s="197"/>
      <c r="B63" s="153">
        <v>99</v>
      </c>
      <c r="C63" s="154" t="s">
        <v>526</v>
      </c>
      <c r="D63" s="144">
        <v>1</v>
      </c>
      <c r="E63" s="145">
        <v>24</v>
      </c>
      <c r="F63" s="145">
        <v>33</v>
      </c>
      <c r="G63" s="145">
        <v>87</v>
      </c>
      <c r="H63" s="145">
        <v>72</v>
      </c>
      <c r="I63" s="145">
        <v>59</v>
      </c>
      <c r="J63" s="145">
        <f t="shared" si="8"/>
        <v>275</v>
      </c>
      <c r="K63" s="145">
        <v>104</v>
      </c>
      <c r="L63" s="147" t="s">
        <v>124</v>
      </c>
      <c r="M63" s="147" t="s">
        <v>124</v>
      </c>
      <c r="N63" s="147" t="s">
        <v>124</v>
      </c>
      <c r="O63" s="147" t="s">
        <v>124</v>
      </c>
      <c r="P63" s="147" t="s">
        <v>124</v>
      </c>
      <c r="Q63" s="147" t="s">
        <v>124</v>
      </c>
      <c r="R63" s="148" t="s">
        <v>372</v>
      </c>
      <c r="S63" s="148" t="s">
        <v>119</v>
      </c>
      <c r="T63" s="148" t="s">
        <v>119</v>
      </c>
      <c r="U63" s="148" t="s">
        <v>120</v>
      </c>
      <c r="V63" s="145">
        <f t="shared" si="9"/>
        <v>57</v>
      </c>
      <c r="W63" s="149"/>
      <c r="X63" s="145">
        <f t="shared" si="10"/>
        <v>144</v>
      </c>
      <c r="Y63">
        <f ca="1" t="shared" si="11"/>
        <v>0.22288387630062</v>
      </c>
      <c r="Z63" s="199"/>
    </row>
    <row r="64" spans="1:26">
      <c r="A64" s="197"/>
      <c r="B64" s="153">
        <v>538</v>
      </c>
      <c r="C64" s="154" t="s">
        <v>440</v>
      </c>
      <c r="D64" s="144">
        <v>9</v>
      </c>
      <c r="E64" s="145">
        <v>26</v>
      </c>
      <c r="F64" s="145">
        <v>40</v>
      </c>
      <c r="G64" s="145">
        <v>92</v>
      </c>
      <c r="H64" s="145">
        <v>74</v>
      </c>
      <c r="I64" s="145">
        <v>72</v>
      </c>
      <c r="J64" s="145">
        <f t="shared" si="8"/>
        <v>304</v>
      </c>
      <c r="K64" s="145">
        <v>130</v>
      </c>
      <c r="L64" s="147" t="s">
        <v>124</v>
      </c>
      <c r="M64" s="147" t="s">
        <v>124</v>
      </c>
      <c r="N64" s="147" t="s">
        <v>124</v>
      </c>
      <c r="O64" s="147" t="s">
        <v>124</v>
      </c>
      <c r="P64" s="147" t="s">
        <v>124</v>
      </c>
      <c r="Q64" s="147" t="s">
        <v>124</v>
      </c>
      <c r="R64" s="158" t="s">
        <v>296</v>
      </c>
      <c r="S64" s="148" t="s">
        <v>132</v>
      </c>
      <c r="T64" s="148" t="s">
        <v>119</v>
      </c>
      <c r="U64" s="148" t="s">
        <v>120</v>
      </c>
      <c r="V64" s="145">
        <f t="shared" si="9"/>
        <v>66</v>
      </c>
      <c r="W64" s="148" t="s">
        <v>297</v>
      </c>
      <c r="X64" s="145">
        <f t="shared" si="10"/>
        <v>158</v>
      </c>
      <c r="Y64">
        <f ca="1" t="shared" si="11"/>
        <v>0.88855257843209</v>
      </c>
      <c r="Z64" s="200"/>
    </row>
    <row r="65" spans="1:26">
      <c r="A65" s="197" t="s">
        <v>1370</v>
      </c>
      <c r="B65" s="153">
        <v>140</v>
      </c>
      <c r="C65" s="154" t="s">
        <v>619</v>
      </c>
      <c r="D65" s="144">
        <v>15</v>
      </c>
      <c r="E65" s="145">
        <v>80</v>
      </c>
      <c r="F65" s="145">
        <v>77</v>
      </c>
      <c r="G65" s="145">
        <v>74</v>
      </c>
      <c r="H65" s="145">
        <v>80</v>
      </c>
      <c r="I65" s="145">
        <v>95</v>
      </c>
      <c r="J65" s="145">
        <f t="shared" si="8"/>
        <v>406</v>
      </c>
      <c r="K65" s="145">
        <v>75</v>
      </c>
      <c r="L65" s="147" t="s">
        <v>130</v>
      </c>
      <c r="M65" s="147" t="s">
        <v>115</v>
      </c>
      <c r="N65" s="147" t="s">
        <v>114</v>
      </c>
      <c r="O65" s="147" t="s">
        <v>130</v>
      </c>
      <c r="P65" s="147" t="s">
        <v>130</v>
      </c>
      <c r="Q65" s="147" t="s">
        <v>130</v>
      </c>
      <c r="R65" s="158" t="s">
        <v>243</v>
      </c>
      <c r="S65" s="148" t="s">
        <v>119</v>
      </c>
      <c r="T65" s="148" t="s">
        <v>145</v>
      </c>
      <c r="U65" s="148" t="s">
        <v>120</v>
      </c>
      <c r="V65" s="145">
        <f t="shared" si="9"/>
        <v>157</v>
      </c>
      <c r="W65" s="149"/>
      <c r="X65" s="145">
        <f t="shared" si="10"/>
        <v>231</v>
      </c>
      <c r="Y65">
        <f ca="1" t="shared" si="11"/>
        <v>0.647030127330653</v>
      </c>
      <c r="Z65" s="200"/>
    </row>
    <row r="66" spans="1:26">
      <c r="A66" s="197"/>
      <c r="B66" s="153">
        <v>11</v>
      </c>
      <c r="C66" s="154" t="s">
        <v>201</v>
      </c>
      <c r="D66" s="144">
        <v>13</v>
      </c>
      <c r="E66" s="145">
        <v>85</v>
      </c>
      <c r="F66" s="145">
        <v>69</v>
      </c>
      <c r="G66" s="145">
        <v>88</v>
      </c>
      <c r="H66" s="145">
        <v>70</v>
      </c>
      <c r="I66" s="145">
        <v>75</v>
      </c>
      <c r="J66" s="145">
        <f t="shared" si="8"/>
        <v>387</v>
      </c>
      <c r="K66" s="145">
        <v>66</v>
      </c>
      <c r="L66" s="147" t="s">
        <v>114</v>
      </c>
      <c r="M66" s="147" t="s">
        <v>114</v>
      </c>
      <c r="N66" s="147" t="s">
        <v>114</v>
      </c>
      <c r="O66" s="147" t="s">
        <v>130</v>
      </c>
      <c r="P66" s="147" t="s">
        <v>115</v>
      </c>
      <c r="Q66" s="147" t="s">
        <v>130</v>
      </c>
      <c r="R66" s="158" t="s">
        <v>157</v>
      </c>
      <c r="S66" s="148" t="s">
        <v>118</v>
      </c>
      <c r="T66" s="148" t="s">
        <v>119</v>
      </c>
      <c r="U66" s="148" t="s">
        <v>120</v>
      </c>
      <c r="V66" s="145">
        <f t="shared" si="9"/>
        <v>154</v>
      </c>
      <c r="W66" s="148" t="s">
        <v>158</v>
      </c>
      <c r="X66" s="145">
        <f t="shared" si="10"/>
        <v>242</v>
      </c>
      <c r="Y66">
        <f ca="1" t="shared" si="11"/>
        <v>0.497188197024033</v>
      </c>
      <c r="Z66" s="200"/>
    </row>
    <row r="67" spans="1:26">
      <c r="A67" s="197"/>
      <c r="B67" s="153">
        <v>665</v>
      </c>
      <c r="C67" s="154" t="s">
        <v>185</v>
      </c>
      <c r="D67" s="144">
        <v>8</v>
      </c>
      <c r="E67" s="145">
        <v>75</v>
      </c>
      <c r="F67" s="145">
        <v>90</v>
      </c>
      <c r="G67" s="145">
        <v>77</v>
      </c>
      <c r="H67" s="145">
        <v>70</v>
      </c>
      <c r="I67" s="145">
        <v>79</v>
      </c>
      <c r="J67" s="145">
        <f t="shared" si="8"/>
        <v>391</v>
      </c>
      <c r="K67" s="145">
        <v>58</v>
      </c>
      <c r="L67" s="147" t="s">
        <v>114</v>
      </c>
      <c r="M67" s="147" t="s">
        <v>130</v>
      </c>
      <c r="N67" s="147" t="s">
        <v>114</v>
      </c>
      <c r="O67" s="147" t="s">
        <v>130</v>
      </c>
      <c r="P67" s="147" t="s">
        <v>115</v>
      </c>
      <c r="Q67" s="147" t="s">
        <v>114</v>
      </c>
      <c r="R67" s="148" t="s">
        <v>186</v>
      </c>
      <c r="S67" s="148" t="s">
        <v>118</v>
      </c>
      <c r="T67" s="148" t="s">
        <v>119</v>
      </c>
      <c r="U67" s="148" t="s">
        <v>126</v>
      </c>
      <c r="V67" s="145">
        <f t="shared" si="9"/>
        <v>165</v>
      </c>
      <c r="W67" s="149"/>
      <c r="X67" s="145">
        <f t="shared" si="10"/>
        <v>242</v>
      </c>
      <c r="Y67">
        <f ca="1" t="shared" si="11"/>
        <v>0.215623080617083</v>
      </c>
      <c r="Z67" s="200"/>
    </row>
    <row r="68" spans="1:38">
      <c r="A68" s="197"/>
      <c r="B68" s="153">
        <v>781</v>
      </c>
      <c r="C68" s="156" t="s">
        <v>725</v>
      </c>
      <c r="D68" s="144">
        <v>1</v>
      </c>
      <c r="E68" s="145">
        <v>32</v>
      </c>
      <c r="F68" s="145">
        <v>54</v>
      </c>
      <c r="G68" s="145">
        <v>89</v>
      </c>
      <c r="H68" s="145">
        <v>89</v>
      </c>
      <c r="I68" s="145">
        <v>75</v>
      </c>
      <c r="J68" s="145">
        <f t="shared" si="8"/>
        <v>339</v>
      </c>
      <c r="K68" s="145">
        <v>125</v>
      </c>
      <c r="L68" s="147" t="s">
        <v>124</v>
      </c>
      <c r="M68" s="147" t="s">
        <v>124</v>
      </c>
      <c r="N68" s="147" t="s">
        <v>124</v>
      </c>
      <c r="O68" s="147" t="s">
        <v>124</v>
      </c>
      <c r="P68" s="147" t="s">
        <v>130</v>
      </c>
      <c r="Q68" s="147" t="s">
        <v>130</v>
      </c>
      <c r="R68" s="148" t="s">
        <v>330</v>
      </c>
      <c r="S68" s="148" t="s">
        <v>119</v>
      </c>
      <c r="T68" s="148" t="s">
        <v>133</v>
      </c>
      <c r="U68" s="148" t="s">
        <v>148</v>
      </c>
      <c r="V68" s="145">
        <f t="shared" si="9"/>
        <v>86</v>
      </c>
      <c r="W68" s="149"/>
      <c r="X68" s="145">
        <f t="shared" si="10"/>
        <v>175</v>
      </c>
      <c r="Y68">
        <f ca="1" t="shared" si="11"/>
        <v>0.723808555831309</v>
      </c>
      <c r="Z68" s="199"/>
      <c r="AA68" s="199"/>
      <c r="AB68" s="199"/>
      <c r="AC68" s="199"/>
      <c r="AD68" s="199"/>
      <c r="AE68" s="199"/>
      <c r="AF68" s="199"/>
      <c r="AG68" s="199"/>
      <c r="AH68" s="199"/>
      <c r="AI68" s="199"/>
      <c r="AJ68" s="199"/>
      <c r="AK68" s="199"/>
      <c r="AL68" s="199"/>
    </row>
    <row r="69" ht="17.6" spans="1:38">
      <c r="A69" s="197"/>
      <c r="B69" s="122">
        <v>4</v>
      </c>
      <c r="C69" s="121" t="s">
        <v>1371</v>
      </c>
      <c r="D69" s="124">
        <v>4</v>
      </c>
      <c r="E69" s="121" t="s">
        <v>1360</v>
      </c>
      <c r="F69" s="121" t="s">
        <v>636</v>
      </c>
      <c r="G69" s="145"/>
      <c r="H69" s="145"/>
      <c r="I69" s="145"/>
      <c r="J69" s="145"/>
      <c r="K69" s="145"/>
      <c r="L69" s="147"/>
      <c r="M69" s="147"/>
      <c r="N69" s="147"/>
      <c r="O69" s="147"/>
      <c r="P69" s="147"/>
      <c r="Q69" s="147"/>
      <c r="R69" s="148"/>
      <c r="S69" s="148"/>
      <c r="T69" s="148"/>
      <c r="U69" s="148"/>
      <c r="V69" s="145"/>
      <c r="W69" s="149"/>
      <c r="X69" s="145"/>
      <c r="Z69" s="199"/>
      <c r="AA69" s="199"/>
      <c r="AB69" s="199"/>
      <c r="AC69" s="199"/>
      <c r="AD69" s="199"/>
      <c r="AE69" s="199"/>
      <c r="AF69" s="199"/>
      <c r="AG69" s="199"/>
      <c r="AH69" s="199"/>
      <c r="AI69" s="199"/>
      <c r="AJ69" s="199"/>
      <c r="AK69" s="199"/>
      <c r="AL69" s="199"/>
    </row>
    <row r="70" spans="1:38">
      <c r="A70" s="197"/>
      <c r="B70" s="153">
        <v>21</v>
      </c>
      <c r="C70" s="154" t="s">
        <v>616</v>
      </c>
      <c r="D70" s="144">
        <v>4</v>
      </c>
      <c r="E70" s="145">
        <v>69</v>
      </c>
      <c r="F70" s="145">
        <v>62</v>
      </c>
      <c r="G70" s="145">
        <v>71</v>
      </c>
      <c r="H70" s="145">
        <v>85</v>
      </c>
      <c r="I70" s="145">
        <v>95</v>
      </c>
      <c r="J70" s="145">
        <f t="shared" ref="J70:J80" si="12">SUM(E70:I70)</f>
        <v>382</v>
      </c>
      <c r="K70" s="145">
        <v>20</v>
      </c>
      <c r="L70" s="147" t="s">
        <v>124</v>
      </c>
      <c r="M70" s="147" t="s">
        <v>114</v>
      </c>
      <c r="N70" s="147" t="s">
        <v>130</v>
      </c>
      <c r="O70" s="147" t="s">
        <v>130</v>
      </c>
      <c r="P70" s="147" t="s">
        <v>130</v>
      </c>
      <c r="Q70" s="147" t="s">
        <v>130</v>
      </c>
      <c r="R70" s="148" t="s">
        <v>286</v>
      </c>
      <c r="S70" s="148" t="s">
        <v>132</v>
      </c>
      <c r="T70" s="148" t="s">
        <v>136</v>
      </c>
      <c r="U70" s="148" t="s">
        <v>120</v>
      </c>
      <c r="V70" s="145">
        <f t="shared" ref="V70:V80" si="13">E70+F70</f>
        <v>131</v>
      </c>
      <c r="W70" s="149"/>
      <c r="X70" s="145">
        <f t="shared" ref="X70:X80" si="14">E70+F70+G70</f>
        <v>202</v>
      </c>
      <c r="Y70">
        <f ca="1" t="shared" ref="Y70:Y80" si="15">RAND()</f>
        <v>0.342666796969338</v>
      </c>
      <c r="Z70" s="199"/>
      <c r="AA70" s="199"/>
      <c r="AB70" s="199"/>
      <c r="AC70" s="199"/>
      <c r="AD70" s="199"/>
      <c r="AE70" s="199"/>
      <c r="AF70" s="199"/>
      <c r="AG70" s="199"/>
      <c r="AH70" s="199"/>
      <c r="AI70" s="199"/>
      <c r="AJ70" s="199"/>
      <c r="AK70" s="199"/>
      <c r="AL70" s="199"/>
    </row>
    <row r="71" spans="1:38">
      <c r="A71" s="197"/>
      <c r="B71" s="153">
        <v>460</v>
      </c>
      <c r="C71" s="154" t="s">
        <v>864</v>
      </c>
      <c r="D71" s="144">
        <v>12</v>
      </c>
      <c r="E71" s="145">
        <v>86</v>
      </c>
      <c r="F71" s="145">
        <v>81</v>
      </c>
      <c r="G71" s="145">
        <v>83</v>
      </c>
      <c r="H71" s="145">
        <v>49</v>
      </c>
      <c r="I71" s="145">
        <v>43</v>
      </c>
      <c r="J71" s="145">
        <f t="shared" si="12"/>
        <v>342</v>
      </c>
      <c r="K71" s="145">
        <v>14</v>
      </c>
      <c r="L71" s="147" t="s">
        <v>114</v>
      </c>
      <c r="M71" s="147" t="s">
        <v>114</v>
      </c>
      <c r="N71" s="147" t="s">
        <v>115</v>
      </c>
      <c r="O71" s="147" t="s">
        <v>114</v>
      </c>
      <c r="P71" s="147" t="s">
        <v>130</v>
      </c>
      <c r="Q71" s="147" t="s">
        <v>114</v>
      </c>
      <c r="R71" s="148" t="s">
        <v>411</v>
      </c>
      <c r="S71" s="148" t="s">
        <v>132</v>
      </c>
      <c r="T71" s="148" t="s">
        <v>136</v>
      </c>
      <c r="U71" s="148" t="s">
        <v>120</v>
      </c>
      <c r="V71" s="145">
        <f t="shared" si="13"/>
        <v>167</v>
      </c>
      <c r="W71" s="149"/>
      <c r="X71" s="145">
        <f t="shared" si="14"/>
        <v>250</v>
      </c>
      <c r="Y71">
        <f ca="1" t="shared" si="15"/>
        <v>0.698683484519727</v>
      </c>
      <c r="Z71" s="199"/>
      <c r="AA71" s="199"/>
      <c r="AB71" s="199"/>
      <c r="AC71" s="199"/>
      <c r="AD71" s="199"/>
      <c r="AE71" s="199"/>
      <c r="AF71" s="199"/>
      <c r="AG71" s="199"/>
      <c r="AH71" s="199"/>
      <c r="AI71" s="199"/>
      <c r="AJ71" s="199"/>
      <c r="AK71" s="199"/>
      <c r="AL71" s="199"/>
    </row>
    <row r="72" spans="1:38">
      <c r="A72" s="197"/>
      <c r="B72" s="153">
        <v>308</v>
      </c>
      <c r="C72" s="154" t="s">
        <v>859</v>
      </c>
      <c r="D72" s="144">
        <v>11</v>
      </c>
      <c r="E72" s="145">
        <v>78</v>
      </c>
      <c r="F72" s="145">
        <v>91</v>
      </c>
      <c r="G72" s="145">
        <v>62</v>
      </c>
      <c r="H72" s="145">
        <v>52</v>
      </c>
      <c r="I72" s="145">
        <v>47</v>
      </c>
      <c r="J72" s="145">
        <f t="shared" si="12"/>
        <v>330</v>
      </c>
      <c r="K72" s="145">
        <v>133</v>
      </c>
      <c r="L72" s="147" t="s">
        <v>115</v>
      </c>
      <c r="M72" s="147" t="s">
        <v>130</v>
      </c>
      <c r="N72" s="147" t="s">
        <v>130</v>
      </c>
      <c r="O72" s="147" t="s">
        <v>114</v>
      </c>
      <c r="P72" s="147" t="s">
        <v>130</v>
      </c>
      <c r="Q72" s="147" t="s">
        <v>124</v>
      </c>
      <c r="R72" s="148" t="s">
        <v>783</v>
      </c>
      <c r="S72" s="148" t="s">
        <v>132</v>
      </c>
      <c r="T72" s="148" t="s">
        <v>119</v>
      </c>
      <c r="U72" s="148" t="s">
        <v>250</v>
      </c>
      <c r="V72" s="145">
        <f t="shared" si="13"/>
        <v>169</v>
      </c>
      <c r="W72" s="149"/>
      <c r="X72" s="145">
        <f t="shared" si="14"/>
        <v>231</v>
      </c>
      <c r="Y72">
        <f ca="1" t="shared" si="15"/>
        <v>0.402278470417513</v>
      </c>
      <c r="Z72" s="199"/>
      <c r="AA72" s="199"/>
      <c r="AB72" s="199"/>
      <c r="AC72" s="199"/>
      <c r="AD72" s="199"/>
      <c r="AE72" s="199"/>
      <c r="AF72" s="199"/>
      <c r="AG72" s="199"/>
      <c r="AH72" s="199"/>
      <c r="AI72" s="199"/>
      <c r="AJ72" s="199"/>
      <c r="AK72" s="199"/>
      <c r="AL72" s="199"/>
    </row>
    <row r="73" spans="1:38">
      <c r="A73" s="197"/>
      <c r="B73" s="153">
        <v>607</v>
      </c>
      <c r="C73" s="154" t="s">
        <v>989</v>
      </c>
      <c r="D73" s="144">
        <v>4</v>
      </c>
      <c r="E73" s="145">
        <v>80</v>
      </c>
      <c r="F73" s="145">
        <v>78</v>
      </c>
      <c r="G73" s="145">
        <v>71</v>
      </c>
      <c r="H73" s="145">
        <v>67</v>
      </c>
      <c r="I73" s="145">
        <v>67</v>
      </c>
      <c r="J73" s="145">
        <f t="shared" si="12"/>
        <v>363</v>
      </c>
      <c r="K73" s="145">
        <v>50</v>
      </c>
      <c r="L73" s="147" t="s">
        <v>114</v>
      </c>
      <c r="M73" s="147" t="s">
        <v>114</v>
      </c>
      <c r="N73" s="147" t="s">
        <v>130</v>
      </c>
      <c r="O73" s="147" t="s">
        <v>130</v>
      </c>
      <c r="P73" s="147" t="s">
        <v>114</v>
      </c>
      <c r="Q73" s="147" t="s">
        <v>130</v>
      </c>
      <c r="R73" s="148" t="s">
        <v>203</v>
      </c>
      <c r="S73" s="148" t="s">
        <v>119</v>
      </c>
      <c r="T73" s="148" t="s">
        <v>145</v>
      </c>
      <c r="U73" s="148" t="s">
        <v>126</v>
      </c>
      <c r="V73" s="145">
        <f t="shared" si="13"/>
        <v>158</v>
      </c>
      <c r="W73" s="149"/>
      <c r="X73" s="145">
        <f t="shared" si="14"/>
        <v>229</v>
      </c>
      <c r="Y73">
        <f ca="1" t="shared" si="15"/>
        <v>0.247011778308025</v>
      </c>
      <c r="Z73" s="199"/>
      <c r="AA73" s="199"/>
      <c r="AB73" s="199"/>
      <c r="AC73" s="199"/>
      <c r="AD73" s="199"/>
      <c r="AE73" s="199"/>
      <c r="AF73" s="199"/>
      <c r="AG73" s="199"/>
      <c r="AH73" s="199"/>
      <c r="AI73" s="199"/>
      <c r="AJ73" s="199"/>
      <c r="AK73" s="199"/>
      <c r="AL73" s="199"/>
    </row>
    <row r="74" spans="1:38">
      <c r="A74" s="197"/>
      <c r="B74" s="153">
        <v>96</v>
      </c>
      <c r="C74" s="154" t="s">
        <v>949</v>
      </c>
      <c r="D74" s="144">
        <v>2</v>
      </c>
      <c r="E74" s="145">
        <v>78</v>
      </c>
      <c r="F74" s="145">
        <v>62</v>
      </c>
      <c r="G74" s="145">
        <v>63</v>
      </c>
      <c r="H74" s="145">
        <v>78</v>
      </c>
      <c r="I74" s="145">
        <v>76</v>
      </c>
      <c r="J74" s="145">
        <f t="shared" si="12"/>
        <v>357</v>
      </c>
      <c r="K74" s="145">
        <v>98</v>
      </c>
      <c r="L74" s="147" t="s">
        <v>130</v>
      </c>
      <c r="M74" s="147" t="s">
        <v>114</v>
      </c>
      <c r="N74" s="147" t="s">
        <v>130</v>
      </c>
      <c r="O74" s="147" t="s">
        <v>124</v>
      </c>
      <c r="P74" s="147" t="s">
        <v>114</v>
      </c>
      <c r="Q74" s="147" t="s">
        <v>115</v>
      </c>
      <c r="R74" s="149"/>
      <c r="S74" s="148" t="s">
        <v>132</v>
      </c>
      <c r="T74" s="148" t="s">
        <v>119</v>
      </c>
      <c r="U74" s="148" t="s">
        <v>126</v>
      </c>
      <c r="V74" s="145">
        <f t="shared" si="13"/>
        <v>140</v>
      </c>
      <c r="W74" s="149"/>
      <c r="X74" s="145">
        <f t="shared" si="14"/>
        <v>203</v>
      </c>
      <c r="Y74">
        <f ca="1" t="shared" si="15"/>
        <v>0.227674307351545</v>
      </c>
      <c r="Z74" s="199"/>
      <c r="AA74" s="199"/>
      <c r="AB74" s="199"/>
      <c r="AC74" s="199"/>
      <c r="AD74" s="199"/>
      <c r="AE74" s="199"/>
      <c r="AF74" s="199"/>
      <c r="AG74" s="199"/>
      <c r="AH74" s="199"/>
      <c r="AI74" s="199"/>
      <c r="AJ74" s="199"/>
      <c r="AK74" s="199"/>
      <c r="AL74" s="199"/>
    </row>
    <row r="75" spans="1:38">
      <c r="A75" s="197"/>
      <c r="B75" s="153">
        <v>143</v>
      </c>
      <c r="C75" s="154" t="s">
        <v>385</v>
      </c>
      <c r="D75" s="144">
        <v>7</v>
      </c>
      <c r="E75" s="145">
        <v>43</v>
      </c>
      <c r="F75" s="145">
        <v>31</v>
      </c>
      <c r="G75" s="145">
        <v>85</v>
      </c>
      <c r="H75" s="145">
        <v>101</v>
      </c>
      <c r="I75" s="145">
        <v>79</v>
      </c>
      <c r="J75" s="145">
        <f t="shared" si="12"/>
        <v>339</v>
      </c>
      <c r="K75" s="145">
        <v>75</v>
      </c>
      <c r="L75" s="147" t="s">
        <v>124</v>
      </c>
      <c r="M75" s="147" t="s">
        <v>124</v>
      </c>
      <c r="N75" s="147" t="s">
        <v>124</v>
      </c>
      <c r="O75" s="147" t="s">
        <v>124</v>
      </c>
      <c r="P75" s="147" t="s">
        <v>124</v>
      </c>
      <c r="Q75" s="147" t="s">
        <v>124</v>
      </c>
      <c r="R75" s="148" t="s">
        <v>386</v>
      </c>
      <c r="S75" s="148" t="s">
        <v>132</v>
      </c>
      <c r="T75" s="148" t="s">
        <v>119</v>
      </c>
      <c r="U75" s="148" t="s">
        <v>120</v>
      </c>
      <c r="V75" s="145">
        <f t="shared" si="13"/>
        <v>74</v>
      </c>
      <c r="W75" s="149"/>
      <c r="X75" s="145">
        <f t="shared" si="14"/>
        <v>159</v>
      </c>
      <c r="Y75">
        <f ca="1" t="shared" si="15"/>
        <v>0.791579803497342</v>
      </c>
      <c r="Z75" s="199"/>
      <c r="AA75" s="199"/>
      <c r="AB75" s="199"/>
      <c r="AC75" s="199"/>
      <c r="AD75" s="199"/>
      <c r="AE75" s="199"/>
      <c r="AF75" s="199"/>
      <c r="AG75" s="199"/>
      <c r="AH75" s="199"/>
      <c r="AI75" s="199"/>
      <c r="AJ75" s="199"/>
      <c r="AK75" s="199"/>
      <c r="AL75" s="199"/>
    </row>
    <row r="76" spans="1:38">
      <c r="A76" s="197"/>
      <c r="B76" s="153">
        <v>81</v>
      </c>
      <c r="C76" s="154" t="s">
        <v>999</v>
      </c>
      <c r="D76" s="144">
        <v>2</v>
      </c>
      <c r="E76" s="145">
        <v>70</v>
      </c>
      <c r="F76" s="145">
        <v>46</v>
      </c>
      <c r="G76" s="145">
        <v>91</v>
      </c>
      <c r="H76" s="145">
        <v>77</v>
      </c>
      <c r="I76" s="145">
        <v>64</v>
      </c>
      <c r="J76" s="145">
        <f t="shared" si="12"/>
        <v>348</v>
      </c>
      <c r="K76" s="145">
        <v>3</v>
      </c>
      <c r="L76" s="147" t="s">
        <v>114</v>
      </c>
      <c r="M76" s="147" t="s">
        <v>114</v>
      </c>
      <c r="N76" s="147" t="s">
        <v>130</v>
      </c>
      <c r="O76" s="147" t="s">
        <v>130</v>
      </c>
      <c r="P76" s="147" t="s">
        <v>114</v>
      </c>
      <c r="Q76" s="147" t="s">
        <v>130</v>
      </c>
      <c r="R76" s="148" t="s">
        <v>168</v>
      </c>
      <c r="S76" s="148" t="s">
        <v>119</v>
      </c>
      <c r="T76" s="148" t="s">
        <v>119</v>
      </c>
      <c r="U76" s="148" t="s">
        <v>120</v>
      </c>
      <c r="V76" s="145">
        <f t="shared" si="13"/>
        <v>116</v>
      </c>
      <c r="W76" s="149"/>
      <c r="X76" s="145">
        <f t="shared" si="14"/>
        <v>207</v>
      </c>
      <c r="Y76">
        <f ca="1" t="shared" si="15"/>
        <v>0.45650549954335</v>
      </c>
      <c r="Z76" s="199"/>
      <c r="AA76" s="199"/>
      <c r="AB76" s="199"/>
      <c r="AC76" s="199"/>
      <c r="AD76" s="199"/>
      <c r="AE76" s="199"/>
      <c r="AF76" s="199"/>
      <c r="AG76" s="199"/>
      <c r="AH76" s="199"/>
      <c r="AI76" s="199"/>
      <c r="AJ76" s="199"/>
      <c r="AK76" s="199"/>
      <c r="AL76" s="199"/>
    </row>
    <row r="77" spans="1:38">
      <c r="A77" s="197"/>
      <c r="B77" s="153">
        <v>768</v>
      </c>
      <c r="C77" s="154" t="s">
        <v>251</v>
      </c>
      <c r="D77" s="144">
        <v>3</v>
      </c>
      <c r="E77" s="145">
        <v>71</v>
      </c>
      <c r="F77" s="145">
        <v>66</v>
      </c>
      <c r="G77" s="145">
        <v>73</v>
      </c>
      <c r="H77" s="145">
        <v>62</v>
      </c>
      <c r="I77" s="145">
        <v>58</v>
      </c>
      <c r="J77" s="145">
        <f t="shared" si="12"/>
        <v>330</v>
      </c>
      <c r="K77" s="145">
        <v>92</v>
      </c>
      <c r="L77" s="147" t="s">
        <v>114</v>
      </c>
      <c r="M77" s="147" t="s">
        <v>114</v>
      </c>
      <c r="N77" s="147" t="s">
        <v>130</v>
      </c>
      <c r="O77" s="147" t="s">
        <v>130</v>
      </c>
      <c r="P77" s="147" t="s">
        <v>115</v>
      </c>
      <c r="Q77" s="147" t="s">
        <v>124</v>
      </c>
      <c r="R77" s="148" t="s">
        <v>217</v>
      </c>
      <c r="S77" s="148" t="s">
        <v>132</v>
      </c>
      <c r="T77" s="148" t="s">
        <v>119</v>
      </c>
      <c r="U77" s="148" t="s">
        <v>120</v>
      </c>
      <c r="V77" s="145">
        <f t="shared" si="13"/>
        <v>137</v>
      </c>
      <c r="W77" s="149"/>
      <c r="X77" s="145">
        <f t="shared" si="14"/>
        <v>210</v>
      </c>
      <c r="Y77">
        <f ca="1" t="shared" si="15"/>
        <v>0.225076383235607</v>
      </c>
      <c r="Z77" s="199"/>
      <c r="AA77" s="199"/>
      <c r="AB77" s="199"/>
      <c r="AC77" s="199"/>
      <c r="AD77" s="199"/>
      <c r="AE77" s="199"/>
      <c r="AF77" s="199"/>
      <c r="AG77" s="199"/>
      <c r="AH77" s="199"/>
      <c r="AI77" s="199"/>
      <c r="AJ77" s="199"/>
      <c r="AK77" s="199"/>
      <c r="AL77" s="199"/>
    </row>
    <row r="78" spans="1:38">
      <c r="A78" s="197"/>
      <c r="B78" s="153">
        <v>263</v>
      </c>
      <c r="C78" s="154" t="s">
        <v>1024</v>
      </c>
      <c r="D78" s="144">
        <v>1</v>
      </c>
      <c r="E78" s="145">
        <v>70</v>
      </c>
      <c r="F78" s="145">
        <v>52</v>
      </c>
      <c r="G78" s="145">
        <v>80</v>
      </c>
      <c r="H78" s="145">
        <v>74</v>
      </c>
      <c r="I78" s="145">
        <v>55</v>
      </c>
      <c r="J78" s="145">
        <f t="shared" si="12"/>
        <v>331</v>
      </c>
      <c r="K78" s="145">
        <v>22</v>
      </c>
      <c r="L78" s="147" t="s">
        <v>130</v>
      </c>
      <c r="M78" s="147" t="s">
        <v>130</v>
      </c>
      <c r="N78" s="147" t="s">
        <v>114</v>
      </c>
      <c r="O78" s="147" t="s">
        <v>124</v>
      </c>
      <c r="P78" s="147" t="s">
        <v>114</v>
      </c>
      <c r="Q78" s="147" t="s">
        <v>124</v>
      </c>
      <c r="R78" s="148" t="s">
        <v>205</v>
      </c>
      <c r="S78" s="148" t="s">
        <v>175</v>
      </c>
      <c r="T78" s="148" t="s">
        <v>145</v>
      </c>
      <c r="U78" s="148" t="s">
        <v>250</v>
      </c>
      <c r="V78" s="145">
        <f t="shared" si="13"/>
        <v>122</v>
      </c>
      <c r="W78" s="149"/>
      <c r="X78" s="145">
        <f t="shared" si="14"/>
        <v>202</v>
      </c>
      <c r="Y78">
        <f ca="1" t="shared" si="15"/>
        <v>0.299246078674421</v>
      </c>
      <c r="Z78" s="199"/>
      <c r="AA78" s="199"/>
      <c r="AB78" s="199"/>
      <c r="AC78" s="199"/>
      <c r="AD78" s="199"/>
      <c r="AE78" s="199"/>
      <c r="AF78" s="199"/>
      <c r="AG78" s="199"/>
      <c r="AH78" s="199"/>
      <c r="AI78" s="199"/>
      <c r="AJ78" s="199"/>
      <c r="AK78" s="199"/>
      <c r="AL78" s="199"/>
    </row>
    <row r="79" spans="1:38">
      <c r="A79" s="197"/>
      <c r="B79" s="153">
        <v>128</v>
      </c>
      <c r="C79" s="154" t="s">
        <v>631</v>
      </c>
      <c r="D79" s="144">
        <v>11</v>
      </c>
      <c r="E79" s="145">
        <v>64</v>
      </c>
      <c r="F79" s="145">
        <v>56</v>
      </c>
      <c r="G79" s="145">
        <v>86</v>
      </c>
      <c r="H79" s="145">
        <v>93</v>
      </c>
      <c r="I79" s="145">
        <v>93</v>
      </c>
      <c r="J79" s="145">
        <f t="shared" si="12"/>
        <v>392</v>
      </c>
      <c r="K79" s="145">
        <v>26</v>
      </c>
      <c r="L79" s="147" t="s">
        <v>130</v>
      </c>
      <c r="M79" s="147" t="s">
        <v>114</v>
      </c>
      <c r="N79" s="147" t="s">
        <v>130</v>
      </c>
      <c r="O79" s="147" t="s">
        <v>124</v>
      </c>
      <c r="P79" s="147" t="s">
        <v>130</v>
      </c>
      <c r="Q79" s="147" t="s">
        <v>124</v>
      </c>
      <c r="R79" s="148" t="s">
        <v>302</v>
      </c>
      <c r="S79" s="148" t="s">
        <v>118</v>
      </c>
      <c r="T79" s="148" t="s">
        <v>119</v>
      </c>
      <c r="U79" s="148" t="s">
        <v>120</v>
      </c>
      <c r="V79" s="145">
        <f t="shared" si="13"/>
        <v>120</v>
      </c>
      <c r="W79" s="149"/>
      <c r="X79" s="145">
        <f t="shared" si="14"/>
        <v>206</v>
      </c>
      <c r="Y79">
        <f ca="1" t="shared" si="15"/>
        <v>0.968803674342013</v>
      </c>
      <c r="Z79" s="199"/>
      <c r="AA79" s="199"/>
      <c r="AB79" s="199"/>
      <c r="AC79" s="199"/>
      <c r="AD79" s="199"/>
      <c r="AE79" s="199"/>
      <c r="AF79" s="199"/>
      <c r="AG79" s="199"/>
      <c r="AH79" s="199"/>
      <c r="AI79" s="199"/>
      <c r="AJ79" s="199"/>
      <c r="AK79" s="199"/>
      <c r="AL79" s="199"/>
    </row>
    <row r="80" spans="1:38">
      <c r="A80" s="197" t="s">
        <v>1372</v>
      </c>
      <c r="B80" s="153">
        <v>75</v>
      </c>
      <c r="C80" s="154" t="s">
        <v>567</v>
      </c>
      <c r="D80" s="144">
        <v>16</v>
      </c>
      <c r="E80" s="145">
        <v>22</v>
      </c>
      <c r="F80" s="145">
        <v>36</v>
      </c>
      <c r="G80" s="145">
        <v>72</v>
      </c>
      <c r="H80" s="145">
        <v>97</v>
      </c>
      <c r="I80" s="145">
        <v>48</v>
      </c>
      <c r="J80" s="145">
        <f t="shared" si="12"/>
        <v>275</v>
      </c>
      <c r="K80" s="145">
        <v>147</v>
      </c>
      <c r="L80" s="147" t="s">
        <v>124</v>
      </c>
      <c r="M80" s="147" t="s">
        <v>124</v>
      </c>
      <c r="N80" s="147" t="s">
        <v>124</v>
      </c>
      <c r="O80" s="147" t="s">
        <v>124</v>
      </c>
      <c r="P80" s="147" t="s">
        <v>124</v>
      </c>
      <c r="Q80" s="147" t="s">
        <v>124</v>
      </c>
      <c r="R80" s="148" t="s">
        <v>292</v>
      </c>
      <c r="S80" s="148" t="s">
        <v>175</v>
      </c>
      <c r="T80" s="148" t="s">
        <v>136</v>
      </c>
      <c r="U80" s="148" t="s">
        <v>120</v>
      </c>
      <c r="V80" s="145">
        <f t="shared" si="13"/>
        <v>58</v>
      </c>
      <c r="W80" s="149"/>
      <c r="X80" s="145">
        <f t="shared" si="14"/>
        <v>130</v>
      </c>
      <c r="Y80">
        <f ca="1" t="shared" si="15"/>
        <v>0.435955596204713</v>
      </c>
      <c r="Z80" s="199"/>
      <c r="AA80" s="199"/>
      <c r="AB80" s="199"/>
      <c r="AC80" s="199"/>
      <c r="AD80" s="199"/>
      <c r="AE80" s="199"/>
      <c r="AF80" s="199"/>
      <c r="AG80" s="199"/>
      <c r="AH80" s="199"/>
      <c r="AI80" s="199"/>
      <c r="AJ80" s="199"/>
      <c r="AK80" s="199"/>
      <c r="AL80" s="199"/>
    </row>
    <row r="81" ht="17.6" spans="1:38">
      <c r="A81" s="197"/>
      <c r="B81" s="122">
        <v>11</v>
      </c>
      <c r="C81" s="121" t="s">
        <v>1373</v>
      </c>
      <c r="D81" s="124">
        <v>6</v>
      </c>
      <c r="E81" s="121" t="s">
        <v>1374</v>
      </c>
      <c r="F81" s="121" t="s">
        <v>459</v>
      </c>
      <c r="G81" s="145"/>
      <c r="H81" s="145"/>
      <c r="I81" s="145"/>
      <c r="J81" s="145"/>
      <c r="K81" s="145"/>
      <c r="L81" s="147"/>
      <c r="M81" s="147"/>
      <c r="N81" s="147"/>
      <c r="O81" s="147"/>
      <c r="P81" s="147"/>
      <c r="Q81" s="147"/>
      <c r="R81" s="148"/>
      <c r="S81" s="148"/>
      <c r="T81" s="148"/>
      <c r="U81" s="148"/>
      <c r="V81" s="145"/>
      <c r="W81" s="149"/>
      <c r="X81" s="145"/>
      <c r="Z81" s="199"/>
      <c r="AA81" s="199"/>
      <c r="AB81" s="199"/>
      <c r="AC81" s="199"/>
      <c r="AD81" s="199"/>
      <c r="AE81" s="199"/>
      <c r="AF81" s="199"/>
      <c r="AG81" s="199"/>
      <c r="AH81" s="199"/>
      <c r="AI81" s="199"/>
      <c r="AJ81" s="199"/>
      <c r="AK81" s="199"/>
      <c r="AL81" s="199"/>
    </row>
    <row r="82" spans="1:38">
      <c r="A82" s="197"/>
      <c r="B82" s="153">
        <v>414</v>
      </c>
      <c r="C82" s="154" t="s">
        <v>649</v>
      </c>
      <c r="D82" s="144">
        <v>15</v>
      </c>
      <c r="E82" s="145">
        <v>87</v>
      </c>
      <c r="F82" s="145">
        <v>78</v>
      </c>
      <c r="G82" s="145">
        <v>94</v>
      </c>
      <c r="H82" s="145">
        <v>87</v>
      </c>
      <c r="I82" s="145">
        <v>88</v>
      </c>
      <c r="J82" s="145">
        <f t="shared" ref="J82:J95" si="16">SUM(E82:I82)</f>
        <v>434</v>
      </c>
      <c r="K82" s="145">
        <v>0</v>
      </c>
      <c r="L82" s="147" t="s">
        <v>115</v>
      </c>
      <c r="M82" s="147" t="s">
        <v>114</v>
      </c>
      <c r="N82" s="147" t="s">
        <v>114</v>
      </c>
      <c r="O82" s="147" t="s">
        <v>115</v>
      </c>
      <c r="P82" s="147" t="s">
        <v>130</v>
      </c>
      <c r="Q82" s="147" t="s">
        <v>130</v>
      </c>
      <c r="R82" s="158" t="s">
        <v>296</v>
      </c>
      <c r="S82" s="148" t="s">
        <v>119</v>
      </c>
      <c r="T82" s="148" t="s">
        <v>145</v>
      </c>
      <c r="U82" s="148" t="s">
        <v>126</v>
      </c>
      <c r="V82" s="145">
        <f t="shared" ref="V82:V95" si="17">E82+F82</f>
        <v>165</v>
      </c>
      <c r="W82" s="148" t="s">
        <v>297</v>
      </c>
      <c r="X82" s="145">
        <f t="shared" ref="X82:X95" si="18">E82+F82+G82</f>
        <v>259</v>
      </c>
      <c r="Y82">
        <f ca="1" t="shared" ref="Y82:Y95" si="19">RAND()</f>
        <v>0.055618487572872</v>
      </c>
      <c r="Z82" s="199"/>
      <c r="AA82" s="199"/>
      <c r="AB82" s="199"/>
      <c r="AC82" s="199"/>
      <c r="AD82" s="199"/>
      <c r="AE82" s="199"/>
      <c r="AF82" s="199"/>
      <c r="AG82" s="199"/>
      <c r="AH82" s="199"/>
      <c r="AI82" s="199"/>
      <c r="AJ82" s="199"/>
      <c r="AK82" s="199"/>
      <c r="AL82" s="199"/>
    </row>
    <row r="83" spans="1:38">
      <c r="A83" s="197"/>
      <c r="B83" s="153">
        <v>612</v>
      </c>
      <c r="C83" s="154" t="s">
        <v>696</v>
      </c>
      <c r="D83" s="144">
        <v>1</v>
      </c>
      <c r="E83" s="145">
        <v>67</v>
      </c>
      <c r="F83" s="145">
        <v>64</v>
      </c>
      <c r="G83" s="145">
        <v>70</v>
      </c>
      <c r="H83" s="145">
        <v>76</v>
      </c>
      <c r="I83" s="145">
        <v>80</v>
      </c>
      <c r="J83" s="145">
        <f t="shared" si="16"/>
        <v>357</v>
      </c>
      <c r="K83" s="145">
        <v>40</v>
      </c>
      <c r="L83" s="147" t="s">
        <v>130</v>
      </c>
      <c r="M83" s="147" t="s">
        <v>114</v>
      </c>
      <c r="N83" s="147" t="s">
        <v>130</v>
      </c>
      <c r="O83" s="147" t="s">
        <v>124</v>
      </c>
      <c r="P83" s="147" t="s">
        <v>130</v>
      </c>
      <c r="Q83" s="147" t="s">
        <v>130</v>
      </c>
      <c r="R83" s="148" t="s">
        <v>414</v>
      </c>
      <c r="S83" s="148" t="s">
        <v>119</v>
      </c>
      <c r="T83" s="148" t="s">
        <v>136</v>
      </c>
      <c r="U83" s="148" t="s">
        <v>120</v>
      </c>
      <c r="V83" s="145">
        <f t="shared" si="17"/>
        <v>131</v>
      </c>
      <c r="W83" s="149"/>
      <c r="X83" s="145">
        <f t="shared" si="18"/>
        <v>201</v>
      </c>
      <c r="Y83">
        <f ca="1" t="shared" si="19"/>
        <v>0.927919731784023</v>
      </c>
      <c r="Z83" s="199"/>
      <c r="AA83" s="199"/>
      <c r="AB83" s="199"/>
      <c r="AC83" s="199"/>
      <c r="AD83" s="199"/>
      <c r="AE83" s="199"/>
      <c r="AF83" s="199"/>
      <c r="AG83" s="199"/>
      <c r="AH83" s="199"/>
      <c r="AI83" s="199"/>
      <c r="AJ83" s="199"/>
      <c r="AK83" s="199"/>
      <c r="AL83" s="199"/>
    </row>
    <row r="84" spans="1:38">
      <c r="A84" s="197"/>
      <c r="B84" s="153">
        <v>786</v>
      </c>
      <c r="C84" s="154" t="s">
        <v>847</v>
      </c>
      <c r="D84" s="144">
        <v>9</v>
      </c>
      <c r="E84" s="145">
        <v>74</v>
      </c>
      <c r="F84" s="145">
        <v>90</v>
      </c>
      <c r="G84" s="145">
        <v>47</v>
      </c>
      <c r="H84" s="145">
        <v>45</v>
      </c>
      <c r="I84" s="145">
        <v>51</v>
      </c>
      <c r="J84" s="145">
        <f t="shared" si="16"/>
        <v>307</v>
      </c>
      <c r="K84" s="145">
        <v>112</v>
      </c>
      <c r="L84" s="147" t="s">
        <v>130</v>
      </c>
      <c r="M84" s="147" t="s">
        <v>130</v>
      </c>
      <c r="N84" s="147" t="s">
        <v>130</v>
      </c>
      <c r="O84" s="147" t="s">
        <v>124</v>
      </c>
      <c r="P84" s="147" t="s">
        <v>130</v>
      </c>
      <c r="Q84" s="147" t="s">
        <v>114</v>
      </c>
      <c r="R84" s="148" t="s">
        <v>256</v>
      </c>
      <c r="S84" s="148" t="s">
        <v>132</v>
      </c>
      <c r="T84" s="148" t="s">
        <v>119</v>
      </c>
      <c r="U84" s="148" t="s">
        <v>250</v>
      </c>
      <c r="V84" s="145">
        <f t="shared" si="17"/>
        <v>164</v>
      </c>
      <c r="W84" s="149"/>
      <c r="X84" s="145">
        <f t="shared" si="18"/>
        <v>211</v>
      </c>
      <c r="Y84">
        <f ca="1" t="shared" si="19"/>
        <v>0.773975454923567</v>
      </c>
      <c r="Z84" s="199"/>
      <c r="AA84" s="199"/>
      <c r="AB84" s="199"/>
      <c r="AC84" s="199"/>
      <c r="AD84" s="199"/>
      <c r="AE84" s="199"/>
      <c r="AF84" s="199"/>
      <c r="AG84" s="199"/>
      <c r="AH84" s="199"/>
      <c r="AI84" s="199"/>
      <c r="AJ84" s="199"/>
      <c r="AK84" s="199"/>
      <c r="AL84" s="199"/>
    </row>
    <row r="85" spans="1:38">
      <c r="A85" s="197"/>
      <c r="B85" s="153">
        <v>683</v>
      </c>
      <c r="C85" s="154" t="s">
        <v>1043</v>
      </c>
      <c r="D85" s="144">
        <v>7</v>
      </c>
      <c r="E85" s="145">
        <v>82</v>
      </c>
      <c r="F85" s="145">
        <v>80</v>
      </c>
      <c r="G85" s="145">
        <v>49</v>
      </c>
      <c r="H85" s="145">
        <v>56</v>
      </c>
      <c r="I85" s="145">
        <v>43</v>
      </c>
      <c r="J85" s="145">
        <f t="shared" si="16"/>
        <v>310</v>
      </c>
      <c r="K85" s="145">
        <v>95</v>
      </c>
      <c r="L85" s="147" t="s">
        <v>130</v>
      </c>
      <c r="M85" s="147" t="s">
        <v>130</v>
      </c>
      <c r="N85" s="147" t="s">
        <v>114</v>
      </c>
      <c r="O85" s="147" t="s">
        <v>115</v>
      </c>
      <c r="P85" s="147" t="s">
        <v>114</v>
      </c>
      <c r="Q85" s="147" t="s">
        <v>124</v>
      </c>
      <c r="R85" s="148" t="s">
        <v>339</v>
      </c>
      <c r="S85" s="148" t="s">
        <v>119</v>
      </c>
      <c r="T85" s="148" t="s">
        <v>119</v>
      </c>
      <c r="U85" s="148" t="s">
        <v>126</v>
      </c>
      <c r="V85" s="145">
        <f t="shared" si="17"/>
        <v>162</v>
      </c>
      <c r="W85" s="149"/>
      <c r="X85" s="145">
        <f t="shared" si="18"/>
        <v>211</v>
      </c>
      <c r="Y85">
        <f ca="1" t="shared" si="19"/>
        <v>0.934332043258865</v>
      </c>
      <c r="Z85" s="199"/>
      <c r="AA85" s="199"/>
      <c r="AB85" s="199"/>
      <c r="AC85" s="199"/>
      <c r="AD85" s="199"/>
      <c r="AE85" s="199"/>
      <c r="AF85" s="199"/>
      <c r="AG85" s="199"/>
      <c r="AH85" s="199"/>
      <c r="AI85" s="199"/>
      <c r="AJ85" s="199"/>
      <c r="AK85" s="199"/>
      <c r="AL85" s="199"/>
    </row>
    <row r="86" spans="1:38">
      <c r="A86" s="197"/>
      <c r="B86" s="153">
        <v>167</v>
      </c>
      <c r="C86" s="154" t="s">
        <v>423</v>
      </c>
      <c r="D86" s="144">
        <v>5</v>
      </c>
      <c r="E86" s="145">
        <v>55</v>
      </c>
      <c r="F86" s="145">
        <v>73</v>
      </c>
      <c r="G86" s="145">
        <v>58</v>
      </c>
      <c r="H86" s="145">
        <v>72</v>
      </c>
      <c r="I86" s="145">
        <v>74</v>
      </c>
      <c r="J86" s="145">
        <f t="shared" si="16"/>
        <v>332</v>
      </c>
      <c r="K86" s="145">
        <v>72</v>
      </c>
      <c r="L86" s="147" t="s">
        <v>124</v>
      </c>
      <c r="M86" s="147" t="s">
        <v>130</v>
      </c>
      <c r="N86" s="147" t="s">
        <v>130</v>
      </c>
      <c r="O86" s="147" t="s">
        <v>114</v>
      </c>
      <c r="P86" s="147" t="s">
        <v>124</v>
      </c>
      <c r="Q86" s="147" t="s">
        <v>124</v>
      </c>
      <c r="R86" s="148" t="s">
        <v>402</v>
      </c>
      <c r="S86" s="148" t="s">
        <v>118</v>
      </c>
      <c r="T86" s="148" t="s">
        <v>279</v>
      </c>
      <c r="U86" s="148" t="s">
        <v>148</v>
      </c>
      <c r="V86" s="145">
        <f t="shared" si="17"/>
        <v>128</v>
      </c>
      <c r="W86" s="149"/>
      <c r="X86" s="145">
        <f t="shared" si="18"/>
        <v>186</v>
      </c>
      <c r="Y86">
        <f ca="1" t="shared" si="19"/>
        <v>0.242296656179046</v>
      </c>
      <c r="Z86" s="199"/>
      <c r="AA86" s="199"/>
      <c r="AB86" s="199"/>
      <c r="AC86" s="199"/>
      <c r="AD86" s="199"/>
      <c r="AE86" s="199"/>
      <c r="AF86" s="199"/>
      <c r="AG86" s="199"/>
      <c r="AH86" s="199"/>
      <c r="AI86" s="199"/>
      <c r="AJ86" s="199"/>
      <c r="AK86" s="199"/>
      <c r="AL86" s="199"/>
    </row>
    <row r="87" spans="1:38">
      <c r="A87" s="197"/>
      <c r="B87" s="153">
        <v>67</v>
      </c>
      <c r="C87" s="154" t="s">
        <v>816</v>
      </c>
      <c r="D87" s="144">
        <v>4</v>
      </c>
      <c r="E87" s="145">
        <v>68</v>
      </c>
      <c r="F87" s="145">
        <v>44</v>
      </c>
      <c r="G87" s="145">
        <v>91</v>
      </c>
      <c r="H87" s="145">
        <v>87</v>
      </c>
      <c r="I87" s="145">
        <v>60</v>
      </c>
      <c r="J87" s="145">
        <f t="shared" si="16"/>
        <v>350</v>
      </c>
      <c r="K87" s="145">
        <v>16</v>
      </c>
      <c r="L87" s="147" t="s">
        <v>124</v>
      </c>
      <c r="M87" s="147" t="s">
        <v>114</v>
      </c>
      <c r="N87" s="147" t="s">
        <v>114</v>
      </c>
      <c r="O87" s="147" t="s">
        <v>124</v>
      </c>
      <c r="P87" s="147" t="s">
        <v>130</v>
      </c>
      <c r="Q87" s="147" t="s">
        <v>130</v>
      </c>
      <c r="R87" s="148" t="s">
        <v>333</v>
      </c>
      <c r="S87" s="148" t="s">
        <v>119</v>
      </c>
      <c r="T87" s="148" t="s">
        <v>119</v>
      </c>
      <c r="U87" s="148" t="s">
        <v>126</v>
      </c>
      <c r="V87" s="145">
        <f t="shared" si="17"/>
        <v>112</v>
      </c>
      <c r="W87" s="149"/>
      <c r="X87" s="145">
        <f t="shared" si="18"/>
        <v>203</v>
      </c>
      <c r="Y87">
        <f ca="1" t="shared" si="19"/>
        <v>0.89293955311757</v>
      </c>
      <c r="Z87" s="199"/>
      <c r="AA87" s="199"/>
      <c r="AB87" s="199"/>
      <c r="AC87" s="199"/>
      <c r="AD87" s="199"/>
      <c r="AE87" s="199"/>
      <c r="AF87" s="199"/>
      <c r="AG87" s="199"/>
      <c r="AH87" s="199"/>
      <c r="AI87" s="199"/>
      <c r="AJ87" s="199"/>
      <c r="AK87" s="199"/>
      <c r="AL87" s="199"/>
    </row>
    <row r="88" spans="1:38">
      <c r="A88" s="197"/>
      <c r="B88" s="153">
        <v>692</v>
      </c>
      <c r="C88" s="154" t="s">
        <v>947</v>
      </c>
      <c r="D88" s="144">
        <v>6</v>
      </c>
      <c r="E88" s="145">
        <v>86</v>
      </c>
      <c r="F88" s="145">
        <v>76</v>
      </c>
      <c r="G88" s="145">
        <v>60</v>
      </c>
      <c r="H88" s="145">
        <v>77</v>
      </c>
      <c r="I88" s="145">
        <v>77</v>
      </c>
      <c r="J88" s="145">
        <f t="shared" si="16"/>
        <v>376</v>
      </c>
      <c r="K88" s="145">
        <v>95</v>
      </c>
      <c r="L88" s="147" t="s">
        <v>114</v>
      </c>
      <c r="M88" s="147" t="s">
        <v>130</v>
      </c>
      <c r="N88" s="147" t="s">
        <v>130</v>
      </c>
      <c r="O88" s="147" t="s">
        <v>124</v>
      </c>
      <c r="P88" s="147" t="s">
        <v>114</v>
      </c>
      <c r="Q88" s="147" t="s">
        <v>115</v>
      </c>
      <c r="R88" s="148" t="s">
        <v>186</v>
      </c>
      <c r="S88" s="148" t="s">
        <v>119</v>
      </c>
      <c r="T88" s="148" t="s">
        <v>136</v>
      </c>
      <c r="U88" s="148" t="s">
        <v>120</v>
      </c>
      <c r="V88" s="145">
        <f t="shared" si="17"/>
        <v>162</v>
      </c>
      <c r="W88" s="149"/>
      <c r="X88" s="145">
        <f t="shared" si="18"/>
        <v>222</v>
      </c>
      <c r="Y88">
        <f ca="1" t="shared" si="19"/>
        <v>0.382184677526781</v>
      </c>
      <c r="Z88" s="199"/>
      <c r="AA88" s="199"/>
      <c r="AB88" s="199"/>
      <c r="AC88" s="199"/>
      <c r="AD88" s="199"/>
      <c r="AE88" s="199"/>
      <c r="AF88" s="199"/>
      <c r="AG88" s="199"/>
      <c r="AH88" s="199"/>
      <c r="AI88" s="199"/>
      <c r="AJ88" s="199"/>
      <c r="AK88" s="199"/>
      <c r="AL88" s="199"/>
    </row>
    <row r="89" spans="1:38">
      <c r="A89" s="197"/>
      <c r="B89" s="153">
        <v>39</v>
      </c>
      <c r="C89" s="154" t="s">
        <v>787</v>
      </c>
      <c r="D89" s="144">
        <v>4</v>
      </c>
      <c r="E89" s="145">
        <v>82</v>
      </c>
      <c r="F89" s="145">
        <v>49</v>
      </c>
      <c r="G89" s="145">
        <v>76</v>
      </c>
      <c r="H89" s="145">
        <v>72</v>
      </c>
      <c r="I89" s="145">
        <v>66</v>
      </c>
      <c r="J89" s="145">
        <f t="shared" si="16"/>
        <v>345</v>
      </c>
      <c r="K89" s="145">
        <v>19</v>
      </c>
      <c r="L89" s="147" t="s">
        <v>130</v>
      </c>
      <c r="M89" s="147" t="s">
        <v>114</v>
      </c>
      <c r="N89" s="147" t="s">
        <v>115</v>
      </c>
      <c r="O89" s="147" t="s">
        <v>130</v>
      </c>
      <c r="P89" s="147" t="s">
        <v>130</v>
      </c>
      <c r="Q89" s="147" t="s">
        <v>124</v>
      </c>
      <c r="R89" s="148" t="s">
        <v>217</v>
      </c>
      <c r="S89" s="148" t="s">
        <v>119</v>
      </c>
      <c r="T89" s="148" t="s">
        <v>119</v>
      </c>
      <c r="U89" s="148" t="s">
        <v>120</v>
      </c>
      <c r="V89" s="145">
        <f t="shared" si="17"/>
        <v>131</v>
      </c>
      <c r="W89" s="149"/>
      <c r="X89" s="145">
        <f t="shared" si="18"/>
        <v>207</v>
      </c>
      <c r="Y89">
        <f ca="1" t="shared" si="19"/>
        <v>0.934383202415645</v>
      </c>
      <c r="Z89" s="199"/>
      <c r="AA89" s="199"/>
      <c r="AB89" s="199"/>
      <c r="AC89" s="199"/>
      <c r="AD89" s="199"/>
      <c r="AE89" s="199"/>
      <c r="AF89" s="199"/>
      <c r="AG89" s="199"/>
      <c r="AH89" s="199"/>
      <c r="AI89" s="199"/>
      <c r="AJ89" s="199"/>
      <c r="AK89" s="199"/>
      <c r="AL89" s="199"/>
    </row>
    <row r="90" spans="1:38">
      <c r="A90" s="197"/>
      <c r="B90" s="153">
        <v>463</v>
      </c>
      <c r="C90" s="154" t="s">
        <v>871</v>
      </c>
      <c r="D90" s="144">
        <v>1</v>
      </c>
      <c r="E90" s="145">
        <v>65</v>
      </c>
      <c r="F90" s="145">
        <v>63</v>
      </c>
      <c r="G90" s="145">
        <v>70</v>
      </c>
      <c r="H90" s="145">
        <v>75</v>
      </c>
      <c r="I90" s="145">
        <v>34</v>
      </c>
      <c r="J90" s="145">
        <f t="shared" si="16"/>
        <v>307</v>
      </c>
      <c r="K90" s="145">
        <v>15</v>
      </c>
      <c r="L90" s="147" t="s">
        <v>130</v>
      </c>
      <c r="M90" s="147" t="s">
        <v>130</v>
      </c>
      <c r="N90" s="147" t="s">
        <v>124</v>
      </c>
      <c r="O90" s="147" t="s">
        <v>130</v>
      </c>
      <c r="P90" s="147" t="s">
        <v>130</v>
      </c>
      <c r="Q90" s="147" t="s">
        <v>130</v>
      </c>
      <c r="R90" s="148" t="s">
        <v>414</v>
      </c>
      <c r="S90" s="148" t="s">
        <v>175</v>
      </c>
      <c r="T90" s="148" t="s">
        <v>145</v>
      </c>
      <c r="U90" s="148" t="s">
        <v>250</v>
      </c>
      <c r="V90" s="145">
        <f t="shared" si="17"/>
        <v>128</v>
      </c>
      <c r="W90" s="149"/>
      <c r="X90" s="145">
        <f t="shared" si="18"/>
        <v>198</v>
      </c>
      <c r="Y90">
        <f ca="1" t="shared" si="19"/>
        <v>0.359851522004229</v>
      </c>
      <c r="Z90" s="199"/>
      <c r="AA90" s="199"/>
      <c r="AB90" s="199"/>
      <c r="AC90" s="199"/>
      <c r="AD90" s="199"/>
      <c r="AE90" s="199"/>
      <c r="AF90" s="199"/>
      <c r="AG90" s="199"/>
      <c r="AH90" s="199"/>
      <c r="AI90" s="199"/>
      <c r="AJ90" s="199"/>
      <c r="AK90" s="199"/>
      <c r="AL90" s="199"/>
    </row>
    <row r="91" spans="1:38">
      <c r="A91" s="197"/>
      <c r="B91" s="153">
        <v>517</v>
      </c>
      <c r="C91" s="154" t="s">
        <v>962</v>
      </c>
      <c r="D91" s="144">
        <v>9</v>
      </c>
      <c r="E91" s="145">
        <v>80</v>
      </c>
      <c r="F91" s="145">
        <v>89</v>
      </c>
      <c r="G91" s="145">
        <v>52</v>
      </c>
      <c r="H91" s="145">
        <v>58</v>
      </c>
      <c r="I91" s="145">
        <v>74</v>
      </c>
      <c r="J91" s="145">
        <f t="shared" si="16"/>
        <v>353</v>
      </c>
      <c r="K91" s="145">
        <v>49</v>
      </c>
      <c r="L91" s="147" t="s">
        <v>114</v>
      </c>
      <c r="M91" s="147" t="s">
        <v>130</v>
      </c>
      <c r="N91" s="147" t="s">
        <v>114</v>
      </c>
      <c r="O91" s="147" t="s">
        <v>115</v>
      </c>
      <c r="P91" s="147" t="s">
        <v>114</v>
      </c>
      <c r="Q91" s="147" t="s">
        <v>124</v>
      </c>
      <c r="R91" s="148" t="s">
        <v>311</v>
      </c>
      <c r="S91" s="148" t="s">
        <v>118</v>
      </c>
      <c r="T91" s="148" t="s">
        <v>119</v>
      </c>
      <c r="U91" s="148" t="s">
        <v>126</v>
      </c>
      <c r="V91" s="145">
        <f t="shared" si="17"/>
        <v>169</v>
      </c>
      <c r="W91" s="149"/>
      <c r="X91" s="145">
        <f t="shared" si="18"/>
        <v>221</v>
      </c>
      <c r="Y91">
        <f ca="1" t="shared" si="19"/>
        <v>0.889037370399462</v>
      </c>
      <c r="Z91" s="199"/>
      <c r="AA91" s="199"/>
      <c r="AB91" s="199"/>
      <c r="AC91" s="199"/>
      <c r="AD91" s="199"/>
      <c r="AE91" s="199"/>
      <c r="AF91" s="199"/>
      <c r="AG91" s="199"/>
      <c r="AH91" s="199"/>
      <c r="AI91" s="199"/>
      <c r="AJ91" s="199"/>
      <c r="AK91" s="199"/>
      <c r="AL91" s="199"/>
    </row>
    <row r="92" spans="1:38">
      <c r="A92" s="197"/>
      <c r="B92" s="153">
        <v>20</v>
      </c>
      <c r="C92" s="154" t="s">
        <v>146</v>
      </c>
      <c r="D92" s="144">
        <v>4</v>
      </c>
      <c r="E92" s="145">
        <v>66</v>
      </c>
      <c r="F92" s="145">
        <v>60</v>
      </c>
      <c r="G92" s="145">
        <v>85</v>
      </c>
      <c r="H92" s="145">
        <v>73</v>
      </c>
      <c r="I92" s="145">
        <v>105</v>
      </c>
      <c r="J92" s="145">
        <f t="shared" si="16"/>
        <v>389</v>
      </c>
      <c r="K92" s="145">
        <v>70</v>
      </c>
      <c r="L92" s="147" t="s">
        <v>124</v>
      </c>
      <c r="M92" s="147" t="s">
        <v>124</v>
      </c>
      <c r="N92" s="147" t="s">
        <v>130</v>
      </c>
      <c r="O92" s="147" t="s">
        <v>124</v>
      </c>
      <c r="P92" s="147" t="s">
        <v>115</v>
      </c>
      <c r="Q92" s="147" t="s">
        <v>130</v>
      </c>
      <c r="R92" s="148" t="s">
        <v>147</v>
      </c>
      <c r="S92" s="148" t="s">
        <v>119</v>
      </c>
      <c r="T92" s="148" t="s">
        <v>119</v>
      </c>
      <c r="U92" s="148" t="s">
        <v>148</v>
      </c>
      <c r="V92" s="145">
        <f t="shared" si="17"/>
        <v>126</v>
      </c>
      <c r="W92" s="149"/>
      <c r="X92" s="145">
        <f t="shared" si="18"/>
        <v>211</v>
      </c>
      <c r="Y92">
        <f ca="1" t="shared" si="19"/>
        <v>0.458092076781349</v>
      </c>
      <c r="Z92" s="199"/>
      <c r="AA92" s="199"/>
      <c r="AB92" s="199"/>
      <c r="AC92" s="199"/>
      <c r="AD92" s="199"/>
      <c r="AE92" s="199"/>
      <c r="AF92" s="199"/>
      <c r="AG92" s="199"/>
      <c r="AH92" s="199"/>
      <c r="AI92" s="199"/>
      <c r="AJ92" s="199"/>
      <c r="AK92" s="199"/>
      <c r="AL92" s="199"/>
    </row>
    <row r="93" spans="1:38">
      <c r="A93" s="197"/>
      <c r="B93" s="153">
        <v>204</v>
      </c>
      <c r="C93" s="154" t="s">
        <v>648</v>
      </c>
      <c r="D93" s="144">
        <v>4</v>
      </c>
      <c r="E93" s="145">
        <v>68</v>
      </c>
      <c r="F93" s="145">
        <v>72</v>
      </c>
      <c r="G93" s="145">
        <v>74</v>
      </c>
      <c r="H93" s="145">
        <v>83</v>
      </c>
      <c r="I93" s="145">
        <v>88</v>
      </c>
      <c r="J93" s="145">
        <f t="shared" si="16"/>
        <v>385</v>
      </c>
      <c r="K93" s="145">
        <v>69</v>
      </c>
      <c r="L93" s="147" t="s">
        <v>130</v>
      </c>
      <c r="M93" s="147" t="s">
        <v>124</v>
      </c>
      <c r="N93" s="147" t="s">
        <v>114</v>
      </c>
      <c r="O93" s="147" t="s">
        <v>114</v>
      </c>
      <c r="P93" s="147" t="s">
        <v>130</v>
      </c>
      <c r="Q93" s="147" t="s">
        <v>124</v>
      </c>
      <c r="R93" s="148" t="s">
        <v>550</v>
      </c>
      <c r="S93" s="148" t="s">
        <v>132</v>
      </c>
      <c r="T93" s="148" t="s">
        <v>119</v>
      </c>
      <c r="U93" s="148" t="s">
        <v>148</v>
      </c>
      <c r="V93" s="145">
        <f t="shared" si="17"/>
        <v>140</v>
      </c>
      <c r="W93" s="149"/>
      <c r="X93" s="145">
        <f t="shared" si="18"/>
        <v>214</v>
      </c>
      <c r="Y93">
        <f ca="1" t="shared" si="19"/>
        <v>0.55884517818093</v>
      </c>
      <c r="Z93" s="199"/>
      <c r="AA93" s="199"/>
      <c r="AB93" s="199"/>
      <c r="AC93" s="199"/>
      <c r="AD93" s="199"/>
      <c r="AE93" s="199"/>
      <c r="AF93" s="199"/>
      <c r="AG93" s="199"/>
      <c r="AH93" s="199"/>
      <c r="AI93" s="199"/>
      <c r="AJ93" s="199"/>
      <c r="AK93" s="199"/>
      <c r="AL93" s="199"/>
    </row>
    <row r="94" spans="1:38">
      <c r="A94" s="197" t="s">
        <v>1375</v>
      </c>
      <c r="B94" s="153">
        <v>526</v>
      </c>
      <c r="C94" s="154" t="s">
        <v>159</v>
      </c>
      <c r="D94" s="144">
        <v>13</v>
      </c>
      <c r="E94" s="145">
        <v>87</v>
      </c>
      <c r="F94" s="145">
        <v>75</v>
      </c>
      <c r="G94" s="145">
        <v>79</v>
      </c>
      <c r="H94" s="145">
        <v>75</v>
      </c>
      <c r="I94" s="145">
        <v>90</v>
      </c>
      <c r="J94" s="145">
        <f t="shared" si="16"/>
        <v>406</v>
      </c>
      <c r="K94" s="145">
        <v>44</v>
      </c>
      <c r="L94" s="147" t="s">
        <v>114</v>
      </c>
      <c r="M94" s="147" t="s">
        <v>115</v>
      </c>
      <c r="N94" s="147" t="s">
        <v>130</v>
      </c>
      <c r="O94" s="147" t="s">
        <v>114</v>
      </c>
      <c r="P94" s="147" t="s">
        <v>115</v>
      </c>
      <c r="Q94" s="147" t="s">
        <v>130</v>
      </c>
      <c r="R94" s="148" t="s">
        <v>160</v>
      </c>
      <c r="S94" s="148" t="s">
        <v>118</v>
      </c>
      <c r="T94" s="148" t="s">
        <v>119</v>
      </c>
      <c r="U94" s="148" t="s">
        <v>126</v>
      </c>
      <c r="V94" s="145">
        <f t="shared" si="17"/>
        <v>162</v>
      </c>
      <c r="W94" s="149"/>
      <c r="X94" s="145">
        <f t="shared" si="18"/>
        <v>241</v>
      </c>
      <c r="Y94">
        <f ca="1" t="shared" si="19"/>
        <v>0.998662729679294</v>
      </c>
      <c r="Z94" s="199"/>
      <c r="AA94" s="199"/>
      <c r="AB94" s="199"/>
      <c r="AC94" s="199"/>
      <c r="AD94" s="199"/>
      <c r="AE94" s="199"/>
      <c r="AF94" s="199"/>
      <c r="AG94" s="199"/>
      <c r="AH94" s="199"/>
      <c r="AI94" s="199"/>
      <c r="AJ94" s="199"/>
      <c r="AK94" s="199"/>
      <c r="AL94" s="199"/>
    </row>
    <row r="95" spans="1:38">
      <c r="A95" s="197"/>
      <c r="B95" s="153">
        <v>360</v>
      </c>
      <c r="C95" s="154" t="s">
        <v>924</v>
      </c>
      <c r="D95" s="144">
        <v>15</v>
      </c>
      <c r="E95" s="145">
        <v>88</v>
      </c>
      <c r="F95" s="145">
        <v>69</v>
      </c>
      <c r="G95" s="145">
        <v>80</v>
      </c>
      <c r="H95" s="145">
        <v>78</v>
      </c>
      <c r="I95" s="145">
        <v>82</v>
      </c>
      <c r="J95" s="145">
        <f t="shared" si="16"/>
        <v>397</v>
      </c>
      <c r="K95" s="145">
        <v>77</v>
      </c>
      <c r="L95" s="147" t="s">
        <v>114</v>
      </c>
      <c r="M95" s="147" t="s">
        <v>115</v>
      </c>
      <c r="N95" s="147" t="s">
        <v>114</v>
      </c>
      <c r="O95" s="147" t="s">
        <v>130</v>
      </c>
      <c r="P95" s="147" t="s">
        <v>114</v>
      </c>
      <c r="Q95" s="147" t="s">
        <v>115</v>
      </c>
      <c r="R95" s="158" t="s">
        <v>243</v>
      </c>
      <c r="S95" s="148" t="s">
        <v>132</v>
      </c>
      <c r="T95" s="148" t="s">
        <v>136</v>
      </c>
      <c r="U95" s="148" t="s">
        <v>120</v>
      </c>
      <c r="V95" s="145">
        <f t="shared" si="17"/>
        <v>157</v>
      </c>
      <c r="W95" s="149"/>
      <c r="X95" s="145">
        <f t="shared" si="18"/>
        <v>237</v>
      </c>
      <c r="Y95">
        <f ca="1" t="shared" si="19"/>
        <v>0.728270534388684</v>
      </c>
      <c r="Z95" s="199"/>
      <c r="AA95" s="199"/>
      <c r="AB95" s="199"/>
      <c r="AC95" s="199"/>
      <c r="AD95" s="199"/>
      <c r="AE95" s="199"/>
      <c r="AF95" s="199"/>
      <c r="AG95" s="199"/>
      <c r="AH95" s="199"/>
      <c r="AI95" s="199"/>
      <c r="AJ95" s="199"/>
      <c r="AK95" s="199"/>
      <c r="AL95" s="199"/>
    </row>
    <row r="96" ht="17.6" spans="1:38">
      <c r="A96" s="197"/>
      <c r="B96" s="122">
        <v>25</v>
      </c>
      <c r="C96" s="121" t="s">
        <v>1376</v>
      </c>
      <c r="D96" s="124">
        <v>8</v>
      </c>
      <c r="E96" s="121" t="s">
        <v>1369</v>
      </c>
      <c r="F96" s="121" t="s">
        <v>856</v>
      </c>
      <c r="G96" s="145"/>
      <c r="H96" s="145"/>
      <c r="I96" s="145"/>
      <c r="J96" s="145"/>
      <c r="K96" s="145"/>
      <c r="L96" s="147"/>
      <c r="M96" s="147"/>
      <c r="N96" s="147"/>
      <c r="O96" s="147"/>
      <c r="P96" s="147"/>
      <c r="Q96" s="147"/>
      <c r="R96" s="158"/>
      <c r="S96" s="148"/>
      <c r="T96" s="148"/>
      <c r="U96" s="148"/>
      <c r="V96" s="145"/>
      <c r="W96" s="149"/>
      <c r="X96" s="145"/>
      <c r="Z96" s="199"/>
      <c r="AA96" s="199"/>
      <c r="AB96" s="199"/>
      <c r="AC96" s="199"/>
      <c r="AD96" s="199"/>
      <c r="AE96" s="199"/>
      <c r="AF96" s="199"/>
      <c r="AG96" s="199"/>
      <c r="AH96" s="199"/>
      <c r="AI96" s="199"/>
      <c r="AJ96" s="199"/>
      <c r="AK96" s="199"/>
      <c r="AL96" s="199"/>
    </row>
    <row r="97" spans="1:38">
      <c r="A97" s="197"/>
      <c r="B97" s="153">
        <v>529</v>
      </c>
      <c r="C97" s="154" t="s">
        <v>904</v>
      </c>
      <c r="D97" s="144">
        <v>5</v>
      </c>
      <c r="E97" s="145">
        <v>78</v>
      </c>
      <c r="F97" s="145">
        <v>76</v>
      </c>
      <c r="G97" s="145">
        <v>67</v>
      </c>
      <c r="H97" s="145">
        <v>82</v>
      </c>
      <c r="I97" s="145">
        <v>87</v>
      </c>
      <c r="J97" s="145">
        <f t="shared" ref="J97:J130" si="20">SUM(E97:I97)</f>
        <v>390</v>
      </c>
      <c r="K97" s="145">
        <v>41</v>
      </c>
      <c r="L97" s="147" t="s">
        <v>115</v>
      </c>
      <c r="M97" s="147" t="s">
        <v>130</v>
      </c>
      <c r="N97" s="147" t="s">
        <v>124</v>
      </c>
      <c r="O97" s="147" t="s">
        <v>114</v>
      </c>
      <c r="P97" s="147" t="s">
        <v>114</v>
      </c>
      <c r="Q97" s="147" t="s">
        <v>124</v>
      </c>
      <c r="R97" s="148" t="s">
        <v>378</v>
      </c>
      <c r="S97" s="148" t="s">
        <v>118</v>
      </c>
      <c r="T97" s="148" t="s">
        <v>136</v>
      </c>
      <c r="U97" s="148" t="s">
        <v>126</v>
      </c>
      <c r="V97" s="145">
        <f t="shared" ref="V97:V130" si="21">E97+F97</f>
        <v>154</v>
      </c>
      <c r="W97" s="149"/>
      <c r="X97" s="145">
        <f t="shared" ref="X97:X130" si="22">E97+F97+G97</f>
        <v>221</v>
      </c>
      <c r="Y97">
        <f ca="1" t="shared" ref="Y97:Y130" si="23">RAND()</f>
        <v>0.849900082064281</v>
      </c>
      <c r="Z97" s="199"/>
      <c r="AA97" s="199"/>
      <c r="AB97" s="199"/>
      <c r="AC97" s="199"/>
      <c r="AD97" s="199"/>
      <c r="AE97" s="199"/>
      <c r="AF97" s="199"/>
      <c r="AG97" s="199"/>
      <c r="AH97" s="199"/>
      <c r="AI97" s="199"/>
      <c r="AJ97" s="199"/>
      <c r="AK97" s="199"/>
      <c r="AL97" s="199"/>
    </row>
    <row r="98" spans="1:38">
      <c r="A98" s="197"/>
      <c r="B98" s="153">
        <v>234</v>
      </c>
      <c r="C98" s="154" t="s">
        <v>906</v>
      </c>
      <c r="D98" s="144">
        <v>2</v>
      </c>
      <c r="E98" s="145">
        <v>68</v>
      </c>
      <c r="F98" s="145">
        <v>73</v>
      </c>
      <c r="G98" s="145">
        <v>69</v>
      </c>
      <c r="H98" s="145">
        <v>73</v>
      </c>
      <c r="I98" s="145">
        <v>86</v>
      </c>
      <c r="J98" s="145">
        <f t="shared" si="20"/>
        <v>369</v>
      </c>
      <c r="K98" s="145">
        <v>34</v>
      </c>
      <c r="L98" s="147" t="s">
        <v>114</v>
      </c>
      <c r="M98" s="147" t="s">
        <v>114</v>
      </c>
      <c r="N98" s="147" t="s">
        <v>114</v>
      </c>
      <c r="O98" s="147" t="s">
        <v>130</v>
      </c>
      <c r="P98" s="147" t="s">
        <v>114</v>
      </c>
      <c r="Q98" s="147" t="s">
        <v>130</v>
      </c>
      <c r="R98" s="148" t="s">
        <v>337</v>
      </c>
      <c r="S98" s="148" t="s">
        <v>132</v>
      </c>
      <c r="T98" s="148" t="s">
        <v>119</v>
      </c>
      <c r="U98" s="148" t="s">
        <v>126</v>
      </c>
      <c r="V98" s="145">
        <f t="shared" si="21"/>
        <v>141</v>
      </c>
      <c r="W98" s="149"/>
      <c r="X98" s="145">
        <f t="shared" si="22"/>
        <v>210</v>
      </c>
      <c r="Y98">
        <f ca="1" t="shared" si="23"/>
        <v>0.508354275310225</v>
      </c>
      <c r="Z98" s="199"/>
      <c r="AA98" s="199"/>
      <c r="AB98" s="199"/>
      <c r="AC98" s="199"/>
      <c r="AD98" s="199"/>
      <c r="AE98" s="199"/>
      <c r="AF98" s="199"/>
      <c r="AG98" s="199"/>
      <c r="AH98" s="199"/>
      <c r="AI98" s="199"/>
      <c r="AJ98" s="199"/>
      <c r="AK98" s="199"/>
      <c r="AL98" s="199"/>
    </row>
    <row r="99" spans="1:38">
      <c r="A99" s="197"/>
      <c r="B99" s="153">
        <v>629</v>
      </c>
      <c r="C99" s="154" t="s">
        <v>975</v>
      </c>
      <c r="D99" s="144">
        <v>5</v>
      </c>
      <c r="E99" s="145">
        <v>78</v>
      </c>
      <c r="F99" s="145">
        <v>78</v>
      </c>
      <c r="G99" s="145">
        <v>57</v>
      </c>
      <c r="H99" s="145">
        <v>26</v>
      </c>
      <c r="I99" s="145">
        <v>70</v>
      </c>
      <c r="J99" s="145">
        <f t="shared" si="20"/>
        <v>309</v>
      </c>
      <c r="K99" s="145">
        <v>65</v>
      </c>
      <c r="L99" s="147" t="s">
        <v>114</v>
      </c>
      <c r="M99" s="147" t="s">
        <v>130</v>
      </c>
      <c r="N99" s="147" t="s">
        <v>114</v>
      </c>
      <c r="O99" s="147" t="s">
        <v>114</v>
      </c>
      <c r="P99" s="147" t="s">
        <v>114</v>
      </c>
      <c r="Q99" s="147" t="s">
        <v>124</v>
      </c>
      <c r="R99" s="148" t="s">
        <v>606</v>
      </c>
      <c r="S99" s="148" t="s">
        <v>132</v>
      </c>
      <c r="T99" s="148" t="s">
        <v>119</v>
      </c>
      <c r="U99" s="148" t="s">
        <v>250</v>
      </c>
      <c r="V99" s="145">
        <f t="shared" si="21"/>
        <v>156</v>
      </c>
      <c r="W99" s="149"/>
      <c r="X99" s="145">
        <f t="shared" si="22"/>
        <v>213</v>
      </c>
      <c r="Y99">
        <f ca="1" t="shared" si="23"/>
        <v>0.152517157899916</v>
      </c>
      <c r="Z99" s="199"/>
      <c r="AA99" s="199"/>
      <c r="AB99" s="199"/>
      <c r="AC99" s="199"/>
      <c r="AD99" s="199"/>
      <c r="AE99" s="199"/>
      <c r="AF99" s="199"/>
      <c r="AG99" s="199"/>
      <c r="AH99" s="199"/>
      <c r="AI99" s="199"/>
      <c r="AJ99" s="199"/>
      <c r="AK99" s="199"/>
      <c r="AL99" s="199"/>
    </row>
    <row r="100" spans="1:38">
      <c r="A100" s="197"/>
      <c r="B100" s="153">
        <v>149</v>
      </c>
      <c r="C100" s="154" t="s">
        <v>254</v>
      </c>
      <c r="D100" s="144">
        <v>11</v>
      </c>
      <c r="E100" s="145">
        <v>82</v>
      </c>
      <c r="F100" s="145">
        <v>83</v>
      </c>
      <c r="G100" s="145">
        <v>54</v>
      </c>
      <c r="H100" s="145">
        <v>53</v>
      </c>
      <c r="I100" s="145">
        <v>57</v>
      </c>
      <c r="J100" s="145">
        <f t="shared" si="20"/>
        <v>329</v>
      </c>
      <c r="K100" s="145">
        <v>74</v>
      </c>
      <c r="L100" s="147" t="s">
        <v>130</v>
      </c>
      <c r="M100" s="147" t="s">
        <v>114</v>
      </c>
      <c r="N100" s="147" t="s">
        <v>130</v>
      </c>
      <c r="O100" s="147" t="s">
        <v>114</v>
      </c>
      <c r="P100" s="147" t="s">
        <v>115</v>
      </c>
      <c r="Q100" s="147" t="s">
        <v>130</v>
      </c>
      <c r="R100" s="148" t="s">
        <v>196</v>
      </c>
      <c r="S100" s="148" t="s">
        <v>132</v>
      </c>
      <c r="T100" s="148" t="s">
        <v>119</v>
      </c>
      <c r="U100" s="148" t="s">
        <v>120</v>
      </c>
      <c r="V100" s="145">
        <f t="shared" si="21"/>
        <v>165</v>
      </c>
      <c r="W100" s="149"/>
      <c r="X100" s="145">
        <f t="shared" si="22"/>
        <v>219</v>
      </c>
      <c r="Y100">
        <f ca="1" t="shared" si="23"/>
        <v>0.679739786365015</v>
      </c>
      <c r="Z100" s="199"/>
      <c r="AA100" s="199"/>
      <c r="AB100" s="199"/>
      <c r="AC100" s="199"/>
      <c r="AD100" s="199"/>
      <c r="AE100" s="199"/>
      <c r="AF100" s="199"/>
      <c r="AG100" s="199"/>
      <c r="AH100" s="199"/>
      <c r="AI100" s="199"/>
      <c r="AJ100" s="199"/>
      <c r="AK100" s="199"/>
      <c r="AL100" s="199"/>
    </row>
    <row r="101" spans="1:38">
      <c r="A101" s="197"/>
      <c r="B101" s="153">
        <v>542</v>
      </c>
      <c r="C101" s="154" t="s">
        <v>908</v>
      </c>
      <c r="D101" s="144">
        <v>8</v>
      </c>
      <c r="E101" s="145">
        <v>82</v>
      </c>
      <c r="F101" s="145">
        <v>66</v>
      </c>
      <c r="G101" s="145">
        <v>80</v>
      </c>
      <c r="H101" s="145">
        <v>84</v>
      </c>
      <c r="I101" s="145">
        <v>86</v>
      </c>
      <c r="J101" s="145">
        <f t="shared" si="20"/>
        <v>398</v>
      </c>
      <c r="K101" s="145">
        <v>63</v>
      </c>
      <c r="L101" s="147" t="s">
        <v>114</v>
      </c>
      <c r="M101" s="147" t="s">
        <v>130</v>
      </c>
      <c r="N101" s="147" t="s">
        <v>114</v>
      </c>
      <c r="O101" s="147" t="s">
        <v>124</v>
      </c>
      <c r="P101" s="147" t="s">
        <v>114</v>
      </c>
      <c r="Q101" s="147" t="s">
        <v>115</v>
      </c>
      <c r="R101" s="148" t="s">
        <v>294</v>
      </c>
      <c r="S101" s="148" t="s">
        <v>132</v>
      </c>
      <c r="T101" s="148" t="s">
        <v>136</v>
      </c>
      <c r="U101" s="148" t="s">
        <v>120</v>
      </c>
      <c r="V101" s="145">
        <f t="shared" si="21"/>
        <v>148</v>
      </c>
      <c r="W101" s="149"/>
      <c r="X101" s="145">
        <f t="shared" si="22"/>
        <v>228</v>
      </c>
      <c r="Y101">
        <f ca="1" t="shared" si="23"/>
        <v>0.346790358780747</v>
      </c>
      <c r="Z101" s="200"/>
      <c r="AA101" s="199"/>
      <c r="AB101" s="199"/>
      <c r="AC101" s="199"/>
      <c r="AD101" s="199"/>
      <c r="AE101" s="199"/>
      <c r="AF101" s="199"/>
      <c r="AG101" s="199"/>
      <c r="AH101" s="199"/>
      <c r="AI101" s="199"/>
      <c r="AJ101" s="199"/>
      <c r="AK101" s="199"/>
      <c r="AL101" s="199"/>
    </row>
    <row r="102" spans="1:38">
      <c r="A102" s="197"/>
      <c r="B102" s="153">
        <v>420</v>
      </c>
      <c r="C102" s="154" t="s">
        <v>1057</v>
      </c>
      <c r="D102" s="144">
        <v>8</v>
      </c>
      <c r="E102" s="145">
        <v>83</v>
      </c>
      <c r="F102" s="145">
        <v>80</v>
      </c>
      <c r="G102" s="145">
        <v>78</v>
      </c>
      <c r="H102" s="145">
        <v>24</v>
      </c>
      <c r="I102" s="145">
        <v>18</v>
      </c>
      <c r="J102" s="145">
        <f t="shared" si="20"/>
        <v>283</v>
      </c>
      <c r="K102" s="145">
        <v>145</v>
      </c>
      <c r="L102" s="147" t="s">
        <v>114</v>
      </c>
      <c r="M102" s="147" t="s">
        <v>130</v>
      </c>
      <c r="N102" s="147" t="s">
        <v>130</v>
      </c>
      <c r="O102" s="147" t="s">
        <v>114</v>
      </c>
      <c r="P102" s="147" t="s">
        <v>114</v>
      </c>
      <c r="Q102" s="147" t="s">
        <v>114</v>
      </c>
      <c r="R102" s="148" t="s">
        <v>606</v>
      </c>
      <c r="S102" s="148" t="s">
        <v>275</v>
      </c>
      <c r="T102" s="148" t="s">
        <v>145</v>
      </c>
      <c r="U102" s="148" t="s">
        <v>250</v>
      </c>
      <c r="V102" s="145">
        <f t="shared" si="21"/>
        <v>163</v>
      </c>
      <c r="W102" s="149"/>
      <c r="X102" s="145">
        <f t="shared" si="22"/>
        <v>241</v>
      </c>
      <c r="Y102">
        <f ca="1" t="shared" si="23"/>
        <v>0.479917805009673</v>
      </c>
      <c r="Z102" s="200"/>
      <c r="AA102" s="200"/>
      <c r="AB102" s="199"/>
      <c r="AC102" s="199"/>
      <c r="AD102" s="199"/>
      <c r="AE102" s="199"/>
      <c r="AF102" s="199"/>
      <c r="AG102" s="199"/>
      <c r="AH102" s="199"/>
      <c r="AI102" s="199"/>
      <c r="AJ102" s="199"/>
      <c r="AK102" s="199"/>
      <c r="AL102" s="199"/>
    </row>
    <row r="103" spans="1:38">
      <c r="A103" s="197"/>
      <c r="B103" s="153">
        <v>85</v>
      </c>
      <c r="C103" s="154" t="s">
        <v>770</v>
      </c>
      <c r="D103" s="144">
        <v>10</v>
      </c>
      <c r="E103" s="145">
        <v>69</v>
      </c>
      <c r="F103" s="145">
        <v>84</v>
      </c>
      <c r="G103" s="145">
        <v>55</v>
      </c>
      <c r="H103" s="145">
        <v>70</v>
      </c>
      <c r="I103" s="145">
        <v>69</v>
      </c>
      <c r="J103" s="145">
        <f t="shared" si="20"/>
        <v>347</v>
      </c>
      <c r="K103" s="145">
        <v>24</v>
      </c>
      <c r="L103" s="147" t="s">
        <v>114</v>
      </c>
      <c r="M103" s="147" t="s">
        <v>130</v>
      </c>
      <c r="N103" s="147" t="s">
        <v>124</v>
      </c>
      <c r="O103" s="147" t="s">
        <v>114</v>
      </c>
      <c r="P103" s="147" t="s">
        <v>130</v>
      </c>
      <c r="Q103" s="147" t="s">
        <v>124</v>
      </c>
      <c r="R103" s="148" t="s">
        <v>268</v>
      </c>
      <c r="S103" s="148" t="s">
        <v>132</v>
      </c>
      <c r="T103" s="148" t="s">
        <v>119</v>
      </c>
      <c r="U103" s="148" t="s">
        <v>126</v>
      </c>
      <c r="V103" s="145">
        <f t="shared" si="21"/>
        <v>153</v>
      </c>
      <c r="W103" s="149"/>
      <c r="X103" s="145">
        <f t="shared" si="22"/>
        <v>208</v>
      </c>
      <c r="Y103">
        <f ca="1" t="shared" si="23"/>
        <v>0.0107242908424325</v>
      </c>
      <c r="Z103" s="200"/>
      <c r="AA103" s="199"/>
      <c r="AB103" s="199"/>
      <c r="AC103" s="199"/>
      <c r="AD103" s="199"/>
      <c r="AE103" s="199"/>
      <c r="AF103" s="199"/>
      <c r="AG103" s="199"/>
      <c r="AH103" s="199"/>
      <c r="AI103" s="199"/>
      <c r="AJ103" s="199"/>
      <c r="AK103" s="199"/>
      <c r="AL103" s="199"/>
    </row>
    <row r="104" spans="1:38">
      <c r="A104" s="197"/>
      <c r="B104" s="153">
        <v>441</v>
      </c>
      <c r="C104" s="154" t="s">
        <v>688</v>
      </c>
      <c r="D104" s="144">
        <v>2</v>
      </c>
      <c r="E104" s="145">
        <v>72</v>
      </c>
      <c r="F104" s="145">
        <v>86</v>
      </c>
      <c r="G104" s="145">
        <v>57</v>
      </c>
      <c r="H104" s="145">
        <v>64</v>
      </c>
      <c r="I104" s="145">
        <v>81</v>
      </c>
      <c r="J104" s="145">
        <f t="shared" si="20"/>
        <v>360</v>
      </c>
      <c r="K104" s="145">
        <v>8</v>
      </c>
      <c r="L104" s="147" t="s">
        <v>130</v>
      </c>
      <c r="M104" s="147" t="s">
        <v>130</v>
      </c>
      <c r="N104" s="147" t="s">
        <v>114</v>
      </c>
      <c r="O104" s="147" t="s">
        <v>130</v>
      </c>
      <c r="P104" s="147" t="s">
        <v>130</v>
      </c>
      <c r="Q104" s="147" t="s">
        <v>124</v>
      </c>
      <c r="R104" s="149"/>
      <c r="S104" s="148" t="s">
        <v>132</v>
      </c>
      <c r="T104" s="148" t="s">
        <v>119</v>
      </c>
      <c r="U104" s="148" t="s">
        <v>120</v>
      </c>
      <c r="V104" s="145">
        <f t="shared" si="21"/>
        <v>158</v>
      </c>
      <c r="W104" s="149"/>
      <c r="X104" s="145">
        <f t="shared" si="22"/>
        <v>215</v>
      </c>
      <c r="Y104">
        <f ca="1" t="shared" si="23"/>
        <v>0.456624346185807</v>
      </c>
      <c r="Z104" s="199"/>
      <c r="AA104" s="199"/>
      <c r="AB104" s="199"/>
      <c r="AC104" s="199"/>
      <c r="AD104" s="199"/>
      <c r="AE104" s="199"/>
      <c r="AF104" s="199"/>
      <c r="AG104" s="199"/>
      <c r="AH104" s="199"/>
      <c r="AI104" s="199"/>
      <c r="AJ104" s="199"/>
      <c r="AK104" s="199"/>
      <c r="AL104" s="199"/>
    </row>
    <row r="105" spans="1:38">
      <c r="A105" s="197"/>
      <c r="B105" s="153">
        <v>473</v>
      </c>
      <c r="C105" s="154" t="s">
        <v>538</v>
      </c>
      <c r="D105" s="144">
        <v>8</v>
      </c>
      <c r="E105" s="145">
        <v>64</v>
      </c>
      <c r="F105" s="145">
        <v>90</v>
      </c>
      <c r="G105" s="145">
        <v>33</v>
      </c>
      <c r="H105" s="145">
        <v>28</v>
      </c>
      <c r="I105" s="145">
        <v>56</v>
      </c>
      <c r="J105" s="145">
        <f t="shared" si="20"/>
        <v>271</v>
      </c>
      <c r="K105" s="145">
        <v>24</v>
      </c>
      <c r="L105" s="147" t="s">
        <v>114</v>
      </c>
      <c r="M105" s="147" t="s">
        <v>130</v>
      </c>
      <c r="N105" s="147" t="s">
        <v>124</v>
      </c>
      <c r="O105" s="147" t="s">
        <v>130</v>
      </c>
      <c r="P105" s="147" t="s">
        <v>124</v>
      </c>
      <c r="Q105" s="147" t="s">
        <v>130</v>
      </c>
      <c r="R105" s="148" t="s">
        <v>306</v>
      </c>
      <c r="S105" s="148" t="s">
        <v>119</v>
      </c>
      <c r="T105" s="148" t="s">
        <v>119</v>
      </c>
      <c r="U105" s="148" t="s">
        <v>250</v>
      </c>
      <c r="V105" s="145">
        <f t="shared" si="21"/>
        <v>154</v>
      </c>
      <c r="W105" s="149"/>
      <c r="X105" s="145">
        <f t="shared" si="22"/>
        <v>187</v>
      </c>
      <c r="Y105">
        <f ca="1" t="shared" si="23"/>
        <v>0.448049005374993</v>
      </c>
      <c r="Z105" s="199"/>
      <c r="AA105" s="199"/>
      <c r="AB105" s="199"/>
      <c r="AC105" s="199"/>
      <c r="AD105" s="199"/>
      <c r="AE105" s="199"/>
      <c r="AF105" s="199"/>
      <c r="AG105" s="199"/>
      <c r="AH105" s="199"/>
      <c r="AI105" s="199"/>
      <c r="AJ105" s="199"/>
      <c r="AK105" s="199"/>
      <c r="AL105" s="199"/>
    </row>
    <row r="106" spans="1:38">
      <c r="A106" s="197" t="s">
        <v>1377</v>
      </c>
      <c r="B106" s="153">
        <v>495</v>
      </c>
      <c r="C106" s="154" t="s">
        <v>955</v>
      </c>
      <c r="D106" s="144">
        <v>14</v>
      </c>
      <c r="E106" s="145">
        <v>93</v>
      </c>
      <c r="F106" s="145">
        <v>57</v>
      </c>
      <c r="G106" s="145">
        <v>89</v>
      </c>
      <c r="H106" s="145">
        <v>83</v>
      </c>
      <c r="I106" s="145">
        <v>76</v>
      </c>
      <c r="J106" s="145">
        <f t="shared" si="20"/>
        <v>398</v>
      </c>
      <c r="K106" s="145">
        <v>41</v>
      </c>
      <c r="L106" s="147" t="s">
        <v>115</v>
      </c>
      <c r="M106" s="147" t="s">
        <v>114</v>
      </c>
      <c r="N106" s="147" t="s">
        <v>114</v>
      </c>
      <c r="O106" s="147" t="s">
        <v>115</v>
      </c>
      <c r="P106" s="147" t="s">
        <v>114</v>
      </c>
      <c r="Q106" s="147" t="s">
        <v>130</v>
      </c>
      <c r="R106" s="158" t="s">
        <v>226</v>
      </c>
      <c r="S106" s="148" t="s">
        <v>132</v>
      </c>
      <c r="T106" s="148" t="s">
        <v>119</v>
      </c>
      <c r="U106" s="148" t="s">
        <v>120</v>
      </c>
      <c r="V106" s="145">
        <f t="shared" si="21"/>
        <v>150</v>
      </c>
      <c r="W106" s="149"/>
      <c r="X106" s="145">
        <f t="shared" si="22"/>
        <v>239</v>
      </c>
      <c r="Y106">
        <f ca="1" t="shared" si="23"/>
        <v>0.0419646524750179</v>
      </c>
      <c r="Z106" s="199"/>
      <c r="AA106" s="199"/>
      <c r="AB106" s="199"/>
      <c r="AC106" s="199"/>
      <c r="AD106" s="199"/>
      <c r="AE106" s="199"/>
      <c r="AF106" s="199"/>
      <c r="AG106" s="199"/>
      <c r="AH106" s="199"/>
      <c r="AI106" s="199"/>
      <c r="AJ106" s="199"/>
      <c r="AK106" s="199"/>
      <c r="AL106" s="199"/>
    </row>
    <row r="107" spans="1:38">
      <c r="A107" s="198"/>
      <c r="B107" s="153">
        <v>508</v>
      </c>
      <c r="C107" s="154" t="s">
        <v>593</v>
      </c>
      <c r="D107" s="144">
        <v>14</v>
      </c>
      <c r="E107" s="145">
        <v>77</v>
      </c>
      <c r="F107" s="145">
        <v>94</v>
      </c>
      <c r="G107" s="145">
        <v>36</v>
      </c>
      <c r="H107" s="145">
        <v>43</v>
      </c>
      <c r="I107" s="145">
        <v>36</v>
      </c>
      <c r="J107" s="145">
        <f t="shared" si="20"/>
        <v>286</v>
      </c>
      <c r="K107" s="145">
        <v>40</v>
      </c>
      <c r="L107" s="147" t="s">
        <v>114</v>
      </c>
      <c r="M107" s="147" t="s">
        <v>130</v>
      </c>
      <c r="N107" s="147" t="s">
        <v>130</v>
      </c>
      <c r="O107" s="147" t="s">
        <v>115</v>
      </c>
      <c r="P107" s="147" t="s">
        <v>124</v>
      </c>
      <c r="Q107" s="147" t="s">
        <v>124</v>
      </c>
      <c r="R107" s="148" t="s">
        <v>435</v>
      </c>
      <c r="S107" s="148" t="s">
        <v>275</v>
      </c>
      <c r="T107" s="148" t="s">
        <v>136</v>
      </c>
      <c r="U107" s="148" t="s">
        <v>250</v>
      </c>
      <c r="V107" s="145">
        <f t="shared" si="21"/>
        <v>171</v>
      </c>
      <c r="W107" s="149"/>
      <c r="X107" s="145">
        <f t="shared" si="22"/>
        <v>207</v>
      </c>
      <c r="Y107">
        <f ca="1" t="shared" si="23"/>
        <v>0.290841461412736</v>
      </c>
      <c r="Z107" s="199"/>
      <c r="AA107" s="199"/>
      <c r="AB107" s="199"/>
      <c r="AC107" s="199"/>
      <c r="AD107" s="199"/>
      <c r="AE107" s="199"/>
      <c r="AF107" s="199"/>
      <c r="AG107" s="199"/>
      <c r="AH107" s="199"/>
      <c r="AI107" s="199"/>
      <c r="AJ107" s="199"/>
      <c r="AK107" s="199"/>
      <c r="AL107" s="199"/>
    </row>
    <row r="108" spans="1:38">
      <c r="A108" s="198"/>
      <c r="B108" s="153">
        <v>640</v>
      </c>
      <c r="C108" s="154" t="s">
        <v>886</v>
      </c>
      <c r="D108" s="144">
        <v>6</v>
      </c>
      <c r="E108" s="145">
        <v>70</v>
      </c>
      <c r="F108" s="145">
        <v>43</v>
      </c>
      <c r="G108" s="145">
        <v>78</v>
      </c>
      <c r="H108" s="145">
        <v>91</v>
      </c>
      <c r="I108" s="145">
        <v>96</v>
      </c>
      <c r="J108" s="145">
        <f t="shared" si="20"/>
        <v>378</v>
      </c>
      <c r="K108" s="145">
        <v>64</v>
      </c>
      <c r="L108" s="147" t="s">
        <v>130</v>
      </c>
      <c r="M108" s="147" t="s">
        <v>114</v>
      </c>
      <c r="N108" s="147" t="s">
        <v>114</v>
      </c>
      <c r="O108" s="147" t="s">
        <v>124</v>
      </c>
      <c r="P108" s="147" t="s">
        <v>114</v>
      </c>
      <c r="Q108" s="147" t="s">
        <v>130</v>
      </c>
      <c r="R108" s="148" t="s">
        <v>170</v>
      </c>
      <c r="S108" s="148" t="s">
        <v>118</v>
      </c>
      <c r="T108" s="148" t="s">
        <v>119</v>
      </c>
      <c r="U108" s="148" t="s">
        <v>126</v>
      </c>
      <c r="V108" s="145">
        <f t="shared" si="21"/>
        <v>113</v>
      </c>
      <c r="W108" s="149"/>
      <c r="X108" s="145">
        <f t="shared" si="22"/>
        <v>191</v>
      </c>
      <c r="Y108">
        <f ca="1" t="shared" si="23"/>
        <v>0.504621031563556</v>
      </c>
      <c r="Z108" s="199"/>
      <c r="AA108" s="199"/>
      <c r="AB108" s="199"/>
      <c r="AC108" s="199"/>
      <c r="AD108" s="199"/>
      <c r="AE108" s="199"/>
      <c r="AF108" s="199"/>
      <c r="AG108" s="199"/>
      <c r="AH108" s="199"/>
      <c r="AI108" s="199"/>
      <c r="AJ108" s="199"/>
      <c r="AK108" s="199"/>
      <c r="AL108" s="199"/>
    </row>
    <row r="109" spans="1:38">
      <c r="A109" s="198"/>
      <c r="B109" s="153">
        <v>452</v>
      </c>
      <c r="C109" s="154" t="s">
        <v>917</v>
      </c>
      <c r="D109" s="144">
        <v>4</v>
      </c>
      <c r="E109" s="145">
        <v>77</v>
      </c>
      <c r="F109" s="145">
        <v>74</v>
      </c>
      <c r="G109" s="145">
        <v>78</v>
      </c>
      <c r="H109" s="145">
        <v>77</v>
      </c>
      <c r="I109" s="145">
        <v>84</v>
      </c>
      <c r="J109" s="145">
        <f t="shared" si="20"/>
        <v>390</v>
      </c>
      <c r="K109" s="145">
        <v>6</v>
      </c>
      <c r="L109" s="147" t="s">
        <v>114</v>
      </c>
      <c r="M109" s="147" t="s">
        <v>130</v>
      </c>
      <c r="N109" s="147" t="s">
        <v>114</v>
      </c>
      <c r="O109" s="147" t="s">
        <v>130</v>
      </c>
      <c r="P109" s="147" t="s">
        <v>114</v>
      </c>
      <c r="Q109" s="147" t="s">
        <v>130</v>
      </c>
      <c r="R109" s="148" t="s">
        <v>192</v>
      </c>
      <c r="S109" s="148" t="s">
        <v>118</v>
      </c>
      <c r="T109" s="148" t="s">
        <v>119</v>
      </c>
      <c r="U109" s="148" t="s">
        <v>126</v>
      </c>
      <c r="V109" s="145">
        <f t="shared" si="21"/>
        <v>151</v>
      </c>
      <c r="W109" s="149"/>
      <c r="X109" s="145">
        <f t="shared" si="22"/>
        <v>229</v>
      </c>
      <c r="Y109">
        <f ca="1" t="shared" si="23"/>
        <v>0.748681023832082</v>
      </c>
      <c r="Z109" s="199"/>
      <c r="AA109" s="199"/>
      <c r="AB109" s="199"/>
      <c r="AC109" s="199"/>
      <c r="AD109" s="199"/>
      <c r="AE109" s="199"/>
      <c r="AF109" s="199"/>
      <c r="AG109" s="199"/>
      <c r="AH109" s="199"/>
      <c r="AI109" s="199"/>
      <c r="AJ109" s="199"/>
      <c r="AK109" s="199"/>
      <c r="AL109" s="199"/>
    </row>
    <row r="110" spans="1:38">
      <c r="A110" s="198"/>
      <c r="B110" s="153">
        <v>699</v>
      </c>
      <c r="C110" s="154" t="s">
        <v>548</v>
      </c>
      <c r="D110" s="144">
        <v>10</v>
      </c>
      <c r="E110" s="145">
        <v>33</v>
      </c>
      <c r="F110" s="145">
        <v>58</v>
      </c>
      <c r="G110" s="145">
        <v>76</v>
      </c>
      <c r="H110" s="145">
        <v>72</v>
      </c>
      <c r="I110" s="145">
        <v>54</v>
      </c>
      <c r="J110" s="145">
        <f t="shared" si="20"/>
        <v>293</v>
      </c>
      <c r="K110" s="145">
        <v>60</v>
      </c>
      <c r="L110" s="147" t="s">
        <v>124</v>
      </c>
      <c r="M110" s="147" t="s">
        <v>124</v>
      </c>
      <c r="N110" s="147" t="s">
        <v>124</v>
      </c>
      <c r="O110" s="147" t="s">
        <v>124</v>
      </c>
      <c r="P110" s="147" t="s">
        <v>124</v>
      </c>
      <c r="Q110" s="147" t="s">
        <v>124</v>
      </c>
      <c r="R110" s="148" t="s">
        <v>153</v>
      </c>
      <c r="S110" s="148" t="s">
        <v>275</v>
      </c>
      <c r="T110" s="148" t="s">
        <v>145</v>
      </c>
      <c r="U110" s="148" t="s">
        <v>126</v>
      </c>
      <c r="V110" s="145">
        <f t="shared" si="21"/>
        <v>91</v>
      </c>
      <c r="W110" s="149"/>
      <c r="X110" s="145">
        <f t="shared" si="22"/>
        <v>167</v>
      </c>
      <c r="Y110">
        <f ca="1" t="shared" si="23"/>
        <v>0.166592767906538</v>
      </c>
      <c r="Z110" s="199"/>
      <c r="AA110" s="199"/>
      <c r="AB110" s="199"/>
      <c r="AC110" s="199"/>
      <c r="AD110" s="199"/>
      <c r="AE110" s="199"/>
      <c r="AF110" s="199"/>
      <c r="AG110" s="199"/>
      <c r="AH110" s="199"/>
      <c r="AI110" s="199"/>
      <c r="AJ110" s="199"/>
      <c r="AK110" s="199"/>
      <c r="AL110" s="199"/>
    </row>
    <row r="111" spans="1:38">
      <c r="A111" s="198"/>
      <c r="B111" s="153">
        <v>632</v>
      </c>
      <c r="C111" s="154" t="s">
        <v>771</v>
      </c>
      <c r="D111" s="144">
        <v>4</v>
      </c>
      <c r="E111" s="145">
        <v>75</v>
      </c>
      <c r="F111" s="145">
        <v>54</v>
      </c>
      <c r="G111" s="145">
        <v>92</v>
      </c>
      <c r="H111" s="145">
        <v>86</v>
      </c>
      <c r="I111" s="145">
        <v>69</v>
      </c>
      <c r="J111" s="145">
        <f t="shared" si="20"/>
        <v>376</v>
      </c>
      <c r="K111" s="145">
        <v>61</v>
      </c>
      <c r="L111" s="147" t="s">
        <v>130</v>
      </c>
      <c r="M111" s="147" t="s">
        <v>130</v>
      </c>
      <c r="N111" s="147" t="s">
        <v>114</v>
      </c>
      <c r="O111" s="147" t="s">
        <v>114</v>
      </c>
      <c r="P111" s="147" t="s">
        <v>130</v>
      </c>
      <c r="Q111" s="147" t="s">
        <v>130</v>
      </c>
      <c r="R111" s="148" t="s">
        <v>372</v>
      </c>
      <c r="S111" s="148" t="s">
        <v>132</v>
      </c>
      <c r="T111" s="148" t="s">
        <v>119</v>
      </c>
      <c r="U111" s="148" t="s">
        <v>126</v>
      </c>
      <c r="V111" s="145">
        <f t="shared" si="21"/>
        <v>129</v>
      </c>
      <c r="W111" s="149"/>
      <c r="X111" s="145">
        <f t="shared" si="22"/>
        <v>221</v>
      </c>
      <c r="Y111">
        <f ca="1" t="shared" si="23"/>
        <v>0.950881777740028</v>
      </c>
      <c r="Z111" s="199"/>
      <c r="AA111" s="199"/>
      <c r="AB111" s="199"/>
      <c r="AC111" s="199"/>
      <c r="AD111" s="199"/>
      <c r="AE111" s="199"/>
      <c r="AF111" s="199"/>
      <c r="AG111" s="199"/>
      <c r="AH111" s="199"/>
      <c r="AI111" s="199"/>
      <c r="AJ111" s="199"/>
      <c r="AK111" s="199"/>
      <c r="AL111" s="199"/>
    </row>
    <row r="112" spans="1:38">
      <c r="A112" s="198"/>
      <c r="B112" s="153">
        <v>281</v>
      </c>
      <c r="C112" s="154" t="s">
        <v>942</v>
      </c>
      <c r="D112" s="144">
        <v>1</v>
      </c>
      <c r="E112" s="145">
        <v>60</v>
      </c>
      <c r="F112" s="145">
        <v>48</v>
      </c>
      <c r="G112" s="145">
        <v>83</v>
      </c>
      <c r="H112" s="145">
        <v>86</v>
      </c>
      <c r="I112" s="145">
        <v>77</v>
      </c>
      <c r="J112" s="145">
        <f t="shared" si="20"/>
        <v>354</v>
      </c>
      <c r="K112" s="145">
        <v>7</v>
      </c>
      <c r="L112" s="147" t="s">
        <v>130</v>
      </c>
      <c r="M112" s="147" t="s">
        <v>130</v>
      </c>
      <c r="N112" s="147" t="s">
        <v>130</v>
      </c>
      <c r="O112" s="147" t="s">
        <v>130</v>
      </c>
      <c r="P112" s="147" t="s">
        <v>114</v>
      </c>
      <c r="Q112" s="147" t="s">
        <v>124</v>
      </c>
      <c r="R112" s="148" t="s">
        <v>414</v>
      </c>
      <c r="S112" s="148" t="s">
        <v>132</v>
      </c>
      <c r="T112" s="148" t="s">
        <v>119</v>
      </c>
      <c r="U112" s="148" t="s">
        <v>148</v>
      </c>
      <c r="V112" s="145">
        <f t="shared" si="21"/>
        <v>108</v>
      </c>
      <c r="W112" s="149"/>
      <c r="X112" s="145">
        <f t="shared" si="22"/>
        <v>191</v>
      </c>
      <c r="Y112">
        <f ca="1" t="shared" si="23"/>
        <v>0.0689392080560824</v>
      </c>
      <c r="Z112" s="199"/>
      <c r="AA112" s="199"/>
      <c r="AB112" s="199"/>
      <c r="AC112" s="199"/>
      <c r="AD112" s="199"/>
      <c r="AE112" s="199"/>
      <c r="AF112" s="199"/>
      <c r="AG112" s="199"/>
      <c r="AH112" s="199"/>
      <c r="AI112" s="199"/>
      <c r="AJ112" s="199"/>
      <c r="AK112" s="199"/>
      <c r="AL112" s="199"/>
    </row>
    <row r="113" spans="1:38">
      <c r="A113" s="198"/>
      <c r="B113" s="153">
        <v>654</v>
      </c>
      <c r="C113" s="154" t="s">
        <v>663</v>
      </c>
      <c r="D113" s="144">
        <v>2</v>
      </c>
      <c r="E113" s="145">
        <v>65</v>
      </c>
      <c r="F113" s="145">
        <v>59</v>
      </c>
      <c r="G113" s="145">
        <v>75</v>
      </c>
      <c r="H113" s="145">
        <v>81</v>
      </c>
      <c r="I113" s="145">
        <v>85</v>
      </c>
      <c r="J113" s="145">
        <f t="shared" si="20"/>
        <v>365</v>
      </c>
      <c r="K113" s="145">
        <v>59</v>
      </c>
      <c r="L113" s="147" t="s">
        <v>124</v>
      </c>
      <c r="M113" s="147" t="s">
        <v>124</v>
      </c>
      <c r="N113" s="147" t="s">
        <v>114</v>
      </c>
      <c r="O113" s="147" t="s">
        <v>124</v>
      </c>
      <c r="P113" s="147" t="s">
        <v>130</v>
      </c>
      <c r="Q113" s="147" t="s">
        <v>114</v>
      </c>
      <c r="R113" s="148" t="s">
        <v>344</v>
      </c>
      <c r="S113" s="148" t="s">
        <v>118</v>
      </c>
      <c r="T113" s="148" t="s">
        <v>136</v>
      </c>
      <c r="U113" s="148" t="s">
        <v>120</v>
      </c>
      <c r="V113" s="145">
        <f t="shared" si="21"/>
        <v>124</v>
      </c>
      <c r="W113" s="149"/>
      <c r="X113" s="145">
        <f t="shared" si="22"/>
        <v>199</v>
      </c>
      <c r="Y113">
        <f ca="1" t="shared" si="23"/>
        <v>0.724620746452228</v>
      </c>
      <c r="Z113" s="199"/>
      <c r="AA113" s="199"/>
      <c r="AB113" s="199"/>
      <c r="AC113" s="199"/>
      <c r="AD113" s="199"/>
      <c r="AE113" s="199"/>
      <c r="AF113" s="199"/>
      <c r="AG113" s="199"/>
      <c r="AH113" s="199"/>
      <c r="AI113" s="199"/>
      <c r="AJ113" s="199"/>
      <c r="AK113" s="199"/>
      <c r="AL113" s="199"/>
    </row>
    <row r="114" spans="1:38">
      <c r="A114" s="198"/>
      <c r="B114" s="153">
        <v>34</v>
      </c>
      <c r="C114" s="154" t="s">
        <v>633</v>
      </c>
      <c r="D114" s="144">
        <v>13</v>
      </c>
      <c r="E114" s="145">
        <v>65</v>
      </c>
      <c r="F114" s="145">
        <v>54</v>
      </c>
      <c r="G114" s="145">
        <v>62</v>
      </c>
      <c r="H114" s="145">
        <v>73</v>
      </c>
      <c r="I114" s="145">
        <v>92</v>
      </c>
      <c r="J114" s="145">
        <f t="shared" si="20"/>
        <v>346</v>
      </c>
      <c r="K114" s="145">
        <v>22</v>
      </c>
      <c r="L114" s="147" t="s">
        <v>124</v>
      </c>
      <c r="M114" s="147" t="s">
        <v>124</v>
      </c>
      <c r="N114" s="147" t="s">
        <v>114</v>
      </c>
      <c r="O114" s="147" t="s">
        <v>124</v>
      </c>
      <c r="P114" s="147" t="s">
        <v>130</v>
      </c>
      <c r="Q114" s="147" t="s">
        <v>124</v>
      </c>
      <c r="R114" s="148" t="s">
        <v>153</v>
      </c>
      <c r="S114" s="148" t="s">
        <v>132</v>
      </c>
      <c r="T114" s="148" t="s">
        <v>119</v>
      </c>
      <c r="U114" s="148" t="s">
        <v>148</v>
      </c>
      <c r="V114" s="145">
        <f t="shared" si="21"/>
        <v>119</v>
      </c>
      <c r="W114" s="149"/>
      <c r="X114" s="145">
        <f t="shared" si="22"/>
        <v>181</v>
      </c>
      <c r="Y114">
        <f ca="1" t="shared" si="23"/>
        <v>0.80411599272494</v>
      </c>
      <c r="Z114" s="199"/>
      <c r="AA114" s="199"/>
      <c r="AB114" s="199"/>
      <c r="AC114" s="199"/>
      <c r="AD114" s="199"/>
      <c r="AE114" s="199"/>
      <c r="AF114" s="199"/>
      <c r="AG114" s="199"/>
      <c r="AH114" s="199"/>
      <c r="AI114" s="199"/>
      <c r="AJ114" s="199"/>
      <c r="AK114" s="199"/>
      <c r="AL114" s="199"/>
    </row>
    <row r="115" spans="1:38">
      <c r="A115" s="198"/>
      <c r="B115" s="153">
        <v>565</v>
      </c>
      <c r="C115" s="154" t="s">
        <v>818</v>
      </c>
      <c r="D115" s="144">
        <v>3</v>
      </c>
      <c r="E115" s="145">
        <v>69</v>
      </c>
      <c r="F115" s="145">
        <v>63</v>
      </c>
      <c r="G115" s="145">
        <v>90</v>
      </c>
      <c r="H115" s="145">
        <v>78</v>
      </c>
      <c r="I115" s="145">
        <v>60</v>
      </c>
      <c r="J115" s="145">
        <f t="shared" si="20"/>
        <v>360</v>
      </c>
      <c r="K115" s="145">
        <v>36</v>
      </c>
      <c r="L115" s="147" t="s">
        <v>130</v>
      </c>
      <c r="M115" s="147" t="s">
        <v>130</v>
      </c>
      <c r="N115" s="147" t="s">
        <v>124</v>
      </c>
      <c r="O115" s="147" t="s">
        <v>130</v>
      </c>
      <c r="P115" s="147" t="s">
        <v>130</v>
      </c>
      <c r="Q115" s="147" t="s">
        <v>130</v>
      </c>
      <c r="R115" s="148" t="s">
        <v>372</v>
      </c>
      <c r="S115" s="148" t="s">
        <v>132</v>
      </c>
      <c r="T115" s="148" t="s">
        <v>136</v>
      </c>
      <c r="U115" s="148" t="s">
        <v>120</v>
      </c>
      <c r="V115" s="145">
        <f t="shared" si="21"/>
        <v>132</v>
      </c>
      <c r="W115" s="149"/>
      <c r="X115" s="145">
        <f t="shared" si="22"/>
        <v>222</v>
      </c>
      <c r="Y115">
        <f ca="1" t="shared" si="23"/>
        <v>0.363462786890142</v>
      </c>
      <c r="Z115" s="199"/>
      <c r="AA115" s="199"/>
      <c r="AB115" s="199"/>
      <c r="AC115" s="199"/>
      <c r="AD115" s="199"/>
      <c r="AE115" s="199"/>
      <c r="AF115" s="199"/>
      <c r="AG115" s="199"/>
      <c r="AH115" s="199"/>
      <c r="AI115" s="199"/>
      <c r="AJ115" s="199"/>
      <c r="AK115" s="199"/>
      <c r="AL115" s="199"/>
    </row>
    <row r="116" spans="1:38">
      <c r="A116" s="198"/>
      <c r="B116" s="153">
        <v>626</v>
      </c>
      <c r="C116" s="154" t="s">
        <v>683</v>
      </c>
      <c r="D116" s="144">
        <v>8</v>
      </c>
      <c r="E116" s="145">
        <v>84</v>
      </c>
      <c r="F116" s="145">
        <v>77</v>
      </c>
      <c r="G116" s="145">
        <v>65</v>
      </c>
      <c r="H116" s="145">
        <v>66</v>
      </c>
      <c r="I116" s="145">
        <v>82</v>
      </c>
      <c r="J116" s="145">
        <f t="shared" si="20"/>
        <v>374</v>
      </c>
      <c r="K116" s="145">
        <v>62</v>
      </c>
      <c r="L116" s="147" t="s">
        <v>114</v>
      </c>
      <c r="M116" s="147" t="s">
        <v>114</v>
      </c>
      <c r="N116" s="147" t="s">
        <v>114</v>
      </c>
      <c r="O116" s="147" t="s">
        <v>114</v>
      </c>
      <c r="P116" s="147" t="s">
        <v>130</v>
      </c>
      <c r="Q116" s="147" t="s">
        <v>115</v>
      </c>
      <c r="R116" s="148" t="s">
        <v>181</v>
      </c>
      <c r="S116" s="148" t="s">
        <v>132</v>
      </c>
      <c r="T116" s="148" t="s">
        <v>133</v>
      </c>
      <c r="U116" s="148" t="s">
        <v>148</v>
      </c>
      <c r="V116" s="145">
        <f t="shared" si="21"/>
        <v>161</v>
      </c>
      <c r="W116" s="149"/>
      <c r="X116" s="145">
        <f t="shared" si="22"/>
        <v>226</v>
      </c>
      <c r="Y116">
        <f ca="1" t="shared" si="23"/>
        <v>0.214423834944237</v>
      </c>
      <c r="Z116" s="199"/>
      <c r="AA116" s="199"/>
      <c r="AB116" s="199"/>
      <c r="AC116" s="199"/>
      <c r="AD116" s="199"/>
      <c r="AE116" s="199"/>
      <c r="AF116" s="199"/>
      <c r="AG116" s="199"/>
      <c r="AH116" s="199"/>
      <c r="AI116" s="199"/>
      <c r="AJ116" s="199"/>
      <c r="AK116" s="199"/>
      <c r="AL116" s="199"/>
    </row>
    <row r="117" spans="1:38">
      <c r="A117" s="198"/>
      <c r="B117" s="153">
        <v>429</v>
      </c>
      <c r="C117" s="156" t="s">
        <v>212</v>
      </c>
      <c r="D117" s="144">
        <v>8</v>
      </c>
      <c r="E117" s="145">
        <v>71</v>
      </c>
      <c r="F117" s="145">
        <v>72</v>
      </c>
      <c r="G117" s="145">
        <v>73</v>
      </c>
      <c r="H117" s="145">
        <v>74</v>
      </c>
      <c r="I117" s="145">
        <v>70</v>
      </c>
      <c r="J117" s="145">
        <f t="shared" si="20"/>
        <v>360</v>
      </c>
      <c r="K117" s="145">
        <v>125</v>
      </c>
      <c r="L117" s="147" t="s">
        <v>124</v>
      </c>
      <c r="M117" s="147" t="s">
        <v>130</v>
      </c>
      <c r="N117" s="147" t="s">
        <v>114</v>
      </c>
      <c r="O117" s="147" t="s">
        <v>124</v>
      </c>
      <c r="P117" s="147" t="s">
        <v>115</v>
      </c>
      <c r="Q117" s="147" t="s">
        <v>114</v>
      </c>
      <c r="R117" s="148" t="s">
        <v>160</v>
      </c>
      <c r="S117" s="148" t="s">
        <v>119</v>
      </c>
      <c r="T117" s="148" t="s">
        <v>119</v>
      </c>
      <c r="U117" s="148" t="s">
        <v>148</v>
      </c>
      <c r="V117" s="145">
        <f t="shared" si="21"/>
        <v>143</v>
      </c>
      <c r="W117" s="149"/>
      <c r="X117" s="145">
        <f t="shared" si="22"/>
        <v>216</v>
      </c>
      <c r="Y117">
        <f ca="1" t="shared" si="23"/>
        <v>0.821506226197014</v>
      </c>
      <c r="Z117" s="199"/>
      <c r="AA117" s="199"/>
      <c r="AB117" s="199"/>
      <c r="AC117" s="199"/>
      <c r="AD117" s="199"/>
      <c r="AE117" s="199"/>
      <c r="AF117" s="199"/>
      <c r="AG117" s="199"/>
      <c r="AH117" s="199"/>
      <c r="AI117" s="199"/>
      <c r="AJ117" s="199"/>
      <c r="AK117" s="199"/>
      <c r="AL117" s="199"/>
    </row>
    <row r="118" spans="1:38">
      <c r="A118" s="197" t="s">
        <v>1378</v>
      </c>
      <c r="B118" s="153">
        <v>639</v>
      </c>
      <c r="C118" s="154" t="s">
        <v>197</v>
      </c>
      <c r="D118" s="144">
        <v>14</v>
      </c>
      <c r="E118" s="145">
        <v>86</v>
      </c>
      <c r="F118" s="145">
        <v>87</v>
      </c>
      <c r="G118" s="145">
        <v>69</v>
      </c>
      <c r="H118" s="145">
        <v>54</v>
      </c>
      <c r="I118" s="145">
        <v>75</v>
      </c>
      <c r="J118" s="145">
        <f t="shared" si="20"/>
        <v>371</v>
      </c>
      <c r="K118" s="145">
        <v>56</v>
      </c>
      <c r="L118" s="147" t="s">
        <v>130</v>
      </c>
      <c r="M118" s="147" t="s">
        <v>114</v>
      </c>
      <c r="N118" s="147" t="s">
        <v>115</v>
      </c>
      <c r="O118" s="147" t="s">
        <v>114</v>
      </c>
      <c r="P118" s="147" t="s">
        <v>115</v>
      </c>
      <c r="Q118" s="147" t="s">
        <v>130</v>
      </c>
      <c r="R118" s="148" t="s">
        <v>198</v>
      </c>
      <c r="S118" s="148" t="s">
        <v>118</v>
      </c>
      <c r="T118" s="148" t="s">
        <v>119</v>
      </c>
      <c r="U118" s="148" t="s">
        <v>148</v>
      </c>
      <c r="V118" s="145">
        <f t="shared" si="21"/>
        <v>173</v>
      </c>
      <c r="W118" s="149"/>
      <c r="X118" s="145">
        <f t="shared" si="22"/>
        <v>242</v>
      </c>
      <c r="Y118">
        <f ca="1" t="shared" si="23"/>
        <v>0.773349858809466</v>
      </c>
      <c r="Z118" s="199"/>
      <c r="AA118" s="199"/>
      <c r="AB118" s="199"/>
      <c r="AC118" s="199"/>
      <c r="AD118" s="199"/>
      <c r="AE118" s="199"/>
      <c r="AF118" s="199"/>
      <c r="AG118" s="199"/>
      <c r="AH118" s="199"/>
      <c r="AI118" s="199"/>
      <c r="AJ118" s="199"/>
      <c r="AK118" s="199"/>
      <c r="AL118" s="199"/>
    </row>
    <row r="119" spans="1:38">
      <c r="A119" s="198"/>
      <c r="B119" s="153">
        <v>68</v>
      </c>
      <c r="C119" s="154" t="s">
        <v>262</v>
      </c>
      <c r="D119" s="144">
        <v>13</v>
      </c>
      <c r="E119" s="145">
        <v>83</v>
      </c>
      <c r="F119" s="145">
        <v>66</v>
      </c>
      <c r="G119" s="145">
        <v>64</v>
      </c>
      <c r="H119" s="145">
        <v>78</v>
      </c>
      <c r="I119" s="145">
        <v>51</v>
      </c>
      <c r="J119" s="145">
        <f t="shared" si="20"/>
        <v>342</v>
      </c>
      <c r="K119" s="145">
        <v>149</v>
      </c>
      <c r="L119" s="147" t="s">
        <v>130</v>
      </c>
      <c r="M119" s="147" t="s">
        <v>114</v>
      </c>
      <c r="N119" s="147" t="s">
        <v>114</v>
      </c>
      <c r="O119" s="147" t="s">
        <v>130</v>
      </c>
      <c r="P119" s="147" t="s">
        <v>115</v>
      </c>
      <c r="Q119" s="147" t="s">
        <v>114</v>
      </c>
      <c r="R119" s="148" t="s">
        <v>263</v>
      </c>
      <c r="S119" s="148" t="s">
        <v>119</v>
      </c>
      <c r="T119" s="148" t="s">
        <v>119</v>
      </c>
      <c r="U119" s="148" t="s">
        <v>250</v>
      </c>
      <c r="V119" s="145">
        <f t="shared" si="21"/>
        <v>149</v>
      </c>
      <c r="W119" s="149"/>
      <c r="X119" s="145">
        <f t="shared" si="22"/>
        <v>213</v>
      </c>
      <c r="Y119">
        <f ca="1" t="shared" si="23"/>
        <v>0.534399883634133</v>
      </c>
      <c r="Z119" s="199"/>
      <c r="AA119" s="199"/>
      <c r="AB119" s="199"/>
      <c r="AC119" s="199"/>
      <c r="AD119" s="199"/>
      <c r="AE119" s="199"/>
      <c r="AF119" s="199"/>
      <c r="AG119" s="199"/>
      <c r="AH119" s="199"/>
      <c r="AI119" s="199"/>
      <c r="AJ119" s="199"/>
      <c r="AK119" s="199"/>
      <c r="AL119" s="199"/>
    </row>
    <row r="120" spans="1:38">
      <c r="A120" s="198"/>
      <c r="B120" s="153">
        <v>510</v>
      </c>
      <c r="C120" s="154" t="s">
        <v>424</v>
      </c>
      <c r="D120" s="144">
        <v>2</v>
      </c>
      <c r="E120" s="145">
        <v>52</v>
      </c>
      <c r="F120" s="145">
        <v>51</v>
      </c>
      <c r="G120" s="145">
        <v>88</v>
      </c>
      <c r="H120" s="145">
        <v>81</v>
      </c>
      <c r="I120" s="145">
        <v>74</v>
      </c>
      <c r="J120" s="145">
        <f t="shared" si="20"/>
        <v>346</v>
      </c>
      <c r="K120" s="145">
        <v>48</v>
      </c>
      <c r="L120" s="147" t="s">
        <v>124</v>
      </c>
      <c r="M120" s="147" t="s">
        <v>130</v>
      </c>
      <c r="N120" s="147" t="s">
        <v>124</v>
      </c>
      <c r="O120" s="147" t="s">
        <v>124</v>
      </c>
      <c r="P120" s="147" t="s">
        <v>124</v>
      </c>
      <c r="Q120" s="147" t="s">
        <v>124</v>
      </c>
      <c r="R120" s="148" t="s">
        <v>342</v>
      </c>
      <c r="S120" s="148" t="s">
        <v>132</v>
      </c>
      <c r="T120" s="148" t="s">
        <v>119</v>
      </c>
      <c r="U120" s="148" t="s">
        <v>126</v>
      </c>
      <c r="V120" s="145">
        <f t="shared" si="21"/>
        <v>103</v>
      </c>
      <c r="W120" s="149"/>
      <c r="X120" s="145">
        <f t="shared" si="22"/>
        <v>191</v>
      </c>
      <c r="Y120">
        <f ca="1" t="shared" si="23"/>
        <v>0.0951864294335807</v>
      </c>
      <c r="Z120" s="199"/>
      <c r="AA120" s="199"/>
      <c r="AB120" s="199"/>
      <c r="AC120" s="199"/>
      <c r="AD120" s="199"/>
      <c r="AE120" s="199"/>
      <c r="AF120" s="199"/>
      <c r="AG120" s="199"/>
      <c r="AH120" s="199"/>
      <c r="AI120" s="199"/>
      <c r="AJ120" s="199"/>
      <c r="AK120" s="199"/>
      <c r="AL120" s="199"/>
    </row>
    <row r="121" spans="1:38">
      <c r="A121" s="198"/>
      <c r="B121" s="153">
        <v>428</v>
      </c>
      <c r="C121" s="154" t="s">
        <v>657</v>
      </c>
      <c r="D121" s="144">
        <v>12</v>
      </c>
      <c r="E121" s="145">
        <v>84</v>
      </c>
      <c r="F121" s="145">
        <v>87</v>
      </c>
      <c r="G121" s="145">
        <v>56</v>
      </c>
      <c r="H121" s="145">
        <v>55</v>
      </c>
      <c r="I121" s="145">
        <v>86</v>
      </c>
      <c r="J121" s="145">
        <f t="shared" si="20"/>
        <v>368</v>
      </c>
      <c r="K121" s="145">
        <v>0</v>
      </c>
      <c r="L121" s="147" t="s">
        <v>114</v>
      </c>
      <c r="M121" s="147" t="s">
        <v>114</v>
      </c>
      <c r="N121" s="147" t="s">
        <v>130</v>
      </c>
      <c r="O121" s="147" t="s">
        <v>115</v>
      </c>
      <c r="P121" s="147" t="s">
        <v>130</v>
      </c>
      <c r="Q121" s="147" t="s">
        <v>124</v>
      </c>
      <c r="R121" s="148" t="s">
        <v>198</v>
      </c>
      <c r="S121" s="148" t="s">
        <v>118</v>
      </c>
      <c r="T121" s="148" t="s">
        <v>133</v>
      </c>
      <c r="U121" s="148" t="s">
        <v>126</v>
      </c>
      <c r="V121" s="145">
        <f t="shared" si="21"/>
        <v>171</v>
      </c>
      <c r="W121" s="149"/>
      <c r="X121" s="145">
        <f t="shared" si="22"/>
        <v>227</v>
      </c>
      <c r="Y121">
        <f ca="1" t="shared" si="23"/>
        <v>0.391454729946033</v>
      </c>
      <c r="Z121" s="199"/>
      <c r="AA121" s="199"/>
      <c r="AB121" s="199"/>
      <c r="AC121" s="199"/>
      <c r="AD121" s="199"/>
      <c r="AE121" s="199"/>
      <c r="AF121" s="199"/>
      <c r="AG121" s="199"/>
      <c r="AH121" s="199"/>
      <c r="AI121" s="199"/>
      <c r="AJ121" s="199"/>
      <c r="AK121" s="199"/>
      <c r="AL121" s="199"/>
    </row>
    <row r="122" spans="1:38">
      <c r="A122" s="198"/>
      <c r="B122" s="153">
        <v>476</v>
      </c>
      <c r="C122" s="154" t="s">
        <v>336</v>
      </c>
      <c r="D122" s="144">
        <v>2</v>
      </c>
      <c r="E122" s="145">
        <v>58</v>
      </c>
      <c r="F122" s="145">
        <v>71</v>
      </c>
      <c r="G122" s="145">
        <v>81</v>
      </c>
      <c r="H122" s="145">
        <v>84</v>
      </c>
      <c r="I122" s="145">
        <v>86</v>
      </c>
      <c r="J122" s="145">
        <f t="shared" si="20"/>
        <v>380</v>
      </c>
      <c r="K122" s="145">
        <v>45</v>
      </c>
      <c r="L122" s="147" t="s">
        <v>130</v>
      </c>
      <c r="M122" s="147" t="s">
        <v>114</v>
      </c>
      <c r="N122" s="147" t="s">
        <v>130</v>
      </c>
      <c r="O122" s="147" t="s">
        <v>124</v>
      </c>
      <c r="P122" s="147" t="s">
        <v>124</v>
      </c>
      <c r="Q122" s="147" t="s">
        <v>130</v>
      </c>
      <c r="R122" s="148" t="s">
        <v>337</v>
      </c>
      <c r="S122" s="148" t="s">
        <v>132</v>
      </c>
      <c r="T122" s="148" t="s">
        <v>119</v>
      </c>
      <c r="U122" s="148" t="s">
        <v>120</v>
      </c>
      <c r="V122" s="145">
        <f t="shared" si="21"/>
        <v>129</v>
      </c>
      <c r="W122" s="149"/>
      <c r="X122" s="145">
        <f t="shared" si="22"/>
        <v>210</v>
      </c>
      <c r="Y122">
        <f ca="1" t="shared" si="23"/>
        <v>0.297894302346904</v>
      </c>
      <c r="Z122" s="199"/>
      <c r="AA122" s="199"/>
      <c r="AB122" s="199"/>
      <c r="AC122" s="199"/>
      <c r="AD122" s="199"/>
      <c r="AE122" s="199"/>
      <c r="AF122" s="199"/>
      <c r="AG122" s="199"/>
      <c r="AH122" s="199"/>
      <c r="AI122" s="199"/>
      <c r="AJ122" s="199"/>
      <c r="AK122" s="199"/>
      <c r="AL122" s="199"/>
    </row>
    <row r="123" spans="1:38">
      <c r="A123" s="198"/>
      <c r="B123" s="153">
        <v>66</v>
      </c>
      <c r="C123" s="154" t="s">
        <v>837</v>
      </c>
      <c r="D123" s="144">
        <v>4</v>
      </c>
      <c r="E123" s="145">
        <v>67</v>
      </c>
      <c r="F123" s="145">
        <v>50</v>
      </c>
      <c r="G123" s="145">
        <v>94</v>
      </c>
      <c r="H123" s="145">
        <v>82</v>
      </c>
      <c r="I123" s="145">
        <v>55</v>
      </c>
      <c r="J123" s="145">
        <f t="shared" si="20"/>
        <v>348</v>
      </c>
      <c r="K123" s="145">
        <v>149</v>
      </c>
      <c r="L123" s="147" t="s">
        <v>124</v>
      </c>
      <c r="M123" s="147" t="s">
        <v>114</v>
      </c>
      <c r="N123" s="147" t="s">
        <v>130</v>
      </c>
      <c r="O123" s="147" t="s">
        <v>124</v>
      </c>
      <c r="P123" s="147" t="s">
        <v>130</v>
      </c>
      <c r="Q123" s="147" t="s">
        <v>130</v>
      </c>
      <c r="R123" s="148" t="s">
        <v>686</v>
      </c>
      <c r="S123" s="148" t="s">
        <v>119</v>
      </c>
      <c r="T123" s="148" t="s">
        <v>119</v>
      </c>
      <c r="U123" s="148" t="s">
        <v>120</v>
      </c>
      <c r="V123" s="145">
        <f t="shared" si="21"/>
        <v>117</v>
      </c>
      <c r="W123" s="149"/>
      <c r="X123" s="145">
        <f t="shared" si="22"/>
        <v>211</v>
      </c>
      <c r="Y123">
        <f ca="1" t="shared" si="23"/>
        <v>0.794131334331446</v>
      </c>
      <c r="Z123" s="199"/>
      <c r="AA123" s="199"/>
      <c r="AB123" s="199"/>
      <c r="AC123" s="199"/>
      <c r="AD123" s="199"/>
      <c r="AE123" s="199"/>
      <c r="AF123" s="199"/>
      <c r="AG123" s="199"/>
      <c r="AH123" s="199"/>
      <c r="AI123" s="199"/>
      <c r="AJ123" s="199"/>
      <c r="AK123" s="199"/>
      <c r="AL123" s="199"/>
    </row>
    <row r="124" spans="1:38">
      <c r="A124" s="198"/>
      <c r="B124" s="153">
        <v>312</v>
      </c>
      <c r="C124" s="154" t="s">
        <v>1022</v>
      </c>
      <c r="D124" s="144">
        <v>11</v>
      </c>
      <c r="E124" s="145">
        <v>81</v>
      </c>
      <c r="F124" s="145">
        <v>87</v>
      </c>
      <c r="G124" s="145">
        <v>51</v>
      </c>
      <c r="H124" s="145">
        <v>53</v>
      </c>
      <c r="I124" s="145">
        <v>56</v>
      </c>
      <c r="J124" s="145">
        <f t="shared" si="20"/>
        <v>328</v>
      </c>
      <c r="K124" s="145">
        <v>132</v>
      </c>
      <c r="L124" s="147" t="s">
        <v>114</v>
      </c>
      <c r="M124" s="147" t="s">
        <v>114</v>
      </c>
      <c r="N124" s="147" t="s">
        <v>130</v>
      </c>
      <c r="O124" s="147" t="s">
        <v>115</v>
      </c>
      <c r="P124" s="147" t="s">
        <v>114</v>
      </c>
      <c r="Q124" s="147" t="s">
        <v>124</v>
      </c>
      <c r="R124" s="148" t="s">
        <v>577</v>
      </c>
      <c r="S124" s="148" t="s">
        <v>119</v>
      </c>
      <c r="T124" s="148" t="s">
        <v>136</v>
      </c>
      <c r="U124" s="148" t="s">
        <v>120</v>
      </c>
      <c r="V124" s="145">
        <f t="shared" si="21"/>
        <v>168</v>
      </c>
      <c r="W124" s="149"/>
      <c r="X124" s="145">
        <f t="shared" si="22"/>
        <v>219</v>
      </c>
      <c r="Y124">
        <f ca="1" t="shared" si="23"/>
        <v>0.0334774774305782</v>
      </c>
      <c r="Z124" s="199"/>
      <c r="AA124" s="199"/>
      <c r="AB124" s="199"/>
      <c r="AC124" s="199"/>
      <c r="AD124" s="199"/>
      <c r="AE124" s="199"/>
      <c r="AF124" s="199"/>
      <c r="AG124" s="199"/>
      <c r="AH124" s="199"/>
      <c r="AI124" s="199"/>
      <c r="AJ124" s="199"/>
      <c r="AK124" s="199"/>
      <c r="AL124" s="199"/>
    </row>
    <row r="125" spans="1:38">
      <c r="A125" s="198"/>
      <c r="B125" s="153">
        <v>616</v>
      </c>
      <c r="C125" s="154" t="s">
        <v>755</v>
      </c>
      <c r="D125" s="144">
        <v>4</v>
      </c>
      <c r="E125" s="145">
        <v>69</v>
      </c>
      <c r="F125" s="145">
        <v>71</v>
      </c>
      <c r="G125" s="145">
        <v>61</v>
      </c>
      <c r="H125" s="145">
        <v>73</v>
      </c>
      <c r="I125" s="145">
        <v>71</v>
      </c>
      <c r="J125" s="145">
        <f t="shared" si="20"/>
        <v>345</v>
      </c>
      <c r="K125" s="145">
        <v>105</v>
      </c>
      <c r="L125" s="147" t="s">
        <v>130</v>
      </c>
      <c r="M125" s="147" t="s">
        <v>130</v>
      </c>
      <c r="N125" s="147" t="s">
        <v>130</v>
      </c>
      <c r="O125" s="147" t="s">
        <v>124</v>
      </c>
      <c r="P125" s="147" t="s">
        <v>130</v>
      </c>
      <c r="Q125" s="147" t="s">
        <v>130</v>
      </c>
      <c r="R125" s="148" t="s">
        <v>606</v>
      </c>
      <c r="S125" s="148" t="s">
        <v>119</v>
      </c>
      <c r="T125" s="148" t="s">
        <v>136</v>
      </c>
      <c r="U125" s="148" t="s">
        <v>120</v>
      </c>
      <c r="V125" s="145">
        <f t="shared" si="21"/>
        <v>140</v>
      </c>
      <c r="W125" s="149"/>
      <c r="X125" s="145">
        <f t="shared" si="22"/>
        <v>201</v>
      </c>
      <c r="Y125">
        <f ca="1" t="shared" si="23"/>
        <v>0.885621818001751</v>
      </c>
      <c r="Z125" s="199"/>
      <c r="AA125" s="199"/>
      <c r="AB125" s="199"/>
      <c r="AC125" s="199"/>
      <c r="AD125" s="199"/>
      <c r="AE125" s="199"/>
      <c r="AF125" s="199"/>
      <c r="AG125" s="199"/>
      <c r="AH125" s="199"/>
      <c r="AI125" s="199"/>
      <c r="AJ125" s="199"/>
      <c r="AK125" s="199"/>
      <c r="AL125" s="199"/>
    </row>
    <row r="126" spans="1:38">
      <c r="A126" s="198"/>
      <c r="B126" s="153">
        <v>558</v>
      </c>
      <c r="C126" s="154" t="s">
        <v>516</v>
      </c>
      <c r="D126" s="144">
        <v>2</v>
      </c>
      <c r="E126" s="145">
        <v>17</v>
      </c>
      <c r="F126" s="145">
        <v>36</v>
      </c>
      <c r="G126" s="145">
        <v>83</v>
      </c>
      <c r="H126" s="145">
        <v>70</v>
      </c>
      <c r="I126" s="145">
        <v>61</v>
      </c>
      <c r="J126" s="145">
        <f t="shared" si="20"/>
        <v>267</v>
      </c>
      <c r="K126" s="145">
        <v>82</v>
      </c>
      <c r="L126" s="147" t="s">
        <v>124</v>
      </c>
      <c r="M126" s="147" t="s">
        <v>124</v>
      </c>
      <c r="N126" s="147" t="s">
        <v>124</v>
      </c>
      <c r="O126" s="147" t="s">
        <v>124</v>
      </c>
      <c r="P126" s="147" t="s">
        <v>124</v>
      </c>
      <c r="Q126" s="147" t="s">
        <v>124</v>
      </c>
      <c r="R126" s="148" t="s">
        <v>360</v>
      </c>
      <c r="S126" s="148" t="s">
        <v>132</v>
      </c>
      <c r="T126" s="148" t="s">
        <v>133</v>
      </c>
      <c r="U126" s="148" t="s">
        <v>148</v>
      </c>
      <c r="V126" s="145">
        <f t="shared" si="21"/>
        <v>53</v>
      </c>
      <c r="W126" s="149"/>
      <c r="X126" s="145">
        <f t="shared" si="22"/>
        <v>136</v>
      </c>
      <c r="Y126">
        <f ca="1" t="shared" si="23"/>
        <v>0.135229278425142</v>
      </c>
      <c r="Z126" s="199"/>
      <c r="AA126" s="199"/>
      <c r="AB126" s="199"/>
      <c r="AC126" s="199"/>
      <c r="AD126" s="199"/>
      <c r="AE126" s="199"/>
      <c r="AF126" s="199"/>
      <c r="AG126" s="199"/>
      <c r="AH126" s="199"/>
      <c r="AI126" s="199"/>
      <c r="AJ126" s="199"/>
      <c r="AK126" s="199"/>
      <c r="AL126" s="199"/>
    </row>
    <row r="127" spans="1:38">
      <c r="A127" s="198"/>
      <c r="B127" s="153">
        <v>238</v>
      </c>
      <c r="C127" s="154" t="s">
        <v>940</v>
      </c>
      <c r="D127" s="144">
        <v>6</v>
      </c>
      <c r="E127" s="145">
        <v>79</v>
      </c>
      <c r="F127" s="145">
        <v>71</v>
      </c>
      <c r="G127" s="145">
        <v>77</v>
      </c>
      <c r="H127" s="145">
        <v>80</v>
      </c>
      <c r="I127" s="145">
        <v>78</v>
      </c>
      <c r="J127" s="145">
        <f t="shared" si="20"/>
        <v>385</v>
      </c>
      <c r="K127" s="145">
        <v>29</v>
      </c>
      <c r="L127" s="147" t="s">
        <v>114</v>
      </c>
      <c r="M127" s="147" t="s">
        <v>115</v>
      </c>
      <c r="N127" s="147" t="s">
        <v>114</v>
      </c>
      <c r="O127" s="147" t="s">
        <v>124</v>
      </c>
      <c r="P127" s="147" t="s">
        <v>114</v>
      </c>
      <c r="Q127" s="147" t="s">
        <v>114</v>
      </c>
      <c r="R127" s="148" t="s">
        <v>236</v>
      </c>
      <c r="S127" s="148" t="s">
        <v>132</v>
      </c>
      <c r="T127" s="148" t="s">
        <v>119</v>
      </c>
      <c r="U127" s="148" t="s">
        <v>126</v>
      </c>
      <c r="V127" s="145">
        <f t="shared" si="21"/>
        <v>150</v>
      </c>
      <c r="W127" s="149"/>
      <c r="X127" s="145">
        <f t="shared" si="22"/>
        <v>227</v>
      </c>
      <c r="Y127">
        <f ca="1" t="shared" si="23"/>
        <v>0.206736087372536</v>
      </c>
      <c r="Z127" s="199"/>
      <c r="AA127" s="199"/>
      <c r="AB127" s="199"/>
      <c r="AC127" s="199"/>
      <c r="AD127" s="199"/>
      <c r="AE127" s="199"/>
      <c r="AF127" s="199"/>
      <c r="AG127" s="199"/>
      <c r="AH127" s="199"/>
      <c r="AI127" s="199"/>
      <c r="AJ127" s="199"/>
      <c r="AK127" s="199"/>
      <c r="AL127" s="199"/>
    </row>
    <row r="128" spans="1:38">
      <c r="A128" s="198"/>
      <c r="B128" s="153">
        <v>188</v>
      </c>
      <c r="C128" s="154" t="s">
        <v>692</v>
      </c>
      <c r="D128" s="144">
        <v>5</v>
      </c>
      <c r="E128" s="145">
        <v>79</v>
      </c>
      <c r="F128" s="145">
        <v>59</v>
      </c>
      <c r="G128" s="145">
        <v>85</v>
      </c>
      <c r="H128" s="145">
        <v>90</v>
      </c>
      <c r="I128" s="145">
        <v>81</v>
      </c>
      <c r="J128" s="145">
        <f t="shared" si="20"/>
        <v>394</v>
      </c>
      <c r="K128" s="145">
        <v>73</v>
      </c>
      <c r="L128" s="147" t="s">
        <v>130</v>
      </c>
      <c r="M128" s="147" t="s">
        <v>130</v>
      </c>
      <c r="N128" s="147" t="s">
        <v>114</v>
      </c>
      <c r="O128" s="147" t="s">
        <v>114</v>
      </c>
      <c r="P128" s="147" t="s">
        <v>130</v>
      </c>
      <c r="Q128" s="147" t="s">
        <v>124</v>
      </c>
      <c r="R128" s="148" t="s">
        <v>386</v>
      </c>
      <c r="S128" s="148" t="s">
        <v>132</v>
      </c>
      <c r="T128" s="148" t="s">
        <v>119</v>
      </c>
      <c r="U128" s="148" t="s">
        <v>120</v>
      </c>
      <c r="V128" s="145">
        <f t="shared" si="21"/>
        <v>138</v>
      </c>
      <c r="W128" s="149"/>
      <c r="X128" s="145">
        <f t="shared" si="22"/>
        <v>223</v>
      </c>
      <c r="Y128">
        <f ca="1" t="shared" si="23"/>
        <v>0.21593661855738</v>
      </c>
      <c r="Z128" s="199"/>
      <c r="AA128" s="199"/>
      <c r="AB128" s="199"/>
      <c r="AC128" s="199"/>
      <c r="AD128" s="199"/>
      <c r="AE128" s="199"/>
      <c r="AF128" s="199"/>
      <c r="AG128" s="199"/>
      <c r="AH128" s="199"/>
      <c r="AI128" s="199"/>
      <c r="AJ128" s="199"/>
      <c r="AK128" s="199"/>
      <c r="AL128" s="199"/>
    </row>
    <row r="129" spans="1:38">
      <c r="A129" s="198"/>
      <c r="B129" s="153">
        <v>359</v>
      </c>
      <c r="C129" s="154" t="s">
        <v>225</v>
      </c>
      <c r="D129" s="144">
        <v>12</v>
      </c>
      <c r="E129" s="145">
        <v>91</v>
      </c>
      <c r="F129" s="145">
        <v>37</v>
      </c>
      <c r="G129" s="145">
        <v>78</v>
      </c>
      <c r="H129" s="145">
        <v>64</v>
      </c>
      <c r="I129" s="145">
        <v>66</v>
      </c>
      <c r="J129" s="145">
        <f t="shared" si="20"/>
        <v>336</v>
      </c>
      <c r="K129" s="145">
        <v>77</v>
      </c>
      <c r="L129" s="147" t="s">
        <v>115</v>
      </c>
      <c r="M129" s="147" t="s">
        <v>114</v>
      </c>
      <c r="N129" s="147" t="s">
        <v>130</v>
      </c>
      <c r="O129" s="147" t="s">
        <v>114</v>
      </c>
      <c r="P129" s="147" t="s">
        <v>115</v>
      </c>
      <c r="Q129" s="147" t="s">
        <v>114</v>
      </c>
      <c r="R129" s="158" t="s">
        <v>226</v>
      </c>
      <c r="S129" s="148" t="s">
        <v>132</v>
      </c>
      <c r="T129" s="148" t="s">
        <v>119</v>
      </c>
      <c r="U129" s="148" t="s">
        <v>126</v>
      </c>
      <c r="V129" s="145">
        <f t="shared" si="21"/>
        <v>128</v>
      </c>
      <c r="W129" s="149"/>
      <c r="X129" s="145">
        <f t="shared" si="22"/>
        <v>206</v>
      </c>
      <c r="Y129">
        <f ca="1" t="shared" si="23"/>
        <v>0.195846973195897</v>
      </c>
      <c r="Z129" s="199"/>
      <c r="AA129" s="199"/>
      <c r="AB129" s="199"/>
      <c r="AC129" s="199"/>
      <c r="AD129" s="199"/>
      <c r="AE129" s="199"/>
      <c r="AF129" s="199"/>
      <c r="AG129" s="199"/>
      <c r="AH129" s="199"/>
      <c r="AI129" s="199"/>
      <c r="AJ129" s="199"/>
      <c r="AK129" s="199"/>
      <c r="AL129" s="199"/>
    </row>
    <row r="130" spans="1:38">
      <c r="A130" s="197" t="s">
        <v>1379</v>
      </c>
      <c r="B130" s="153">
        <v>35</v>
      </c>
      <c r="C130" s="154" t="s">
        <v>698</v>
      </c>
      <c r="D130" s="144">
        <v>13</v>
      </c>
      <c r="E130" s="145">
        <v>87</v>
      </c>
      <c r="F130" s="145">
        <v>75</v>
      </c>
      <c r="G130" s="145">
        <v>74</v>
      </c>
      <c r="H130" s="145">
        <v>78</v>
      </c>
      <c r="I130" s="145">
        <v>80</v>
      </c>
      <c r="J130" s="145">
        <f t="shared" si="20"/>
        <v>394</v>
      </c>
      <c r="K130" s="145">
        <v>22</v>
      </c>
      <c r="L130" s="147" t="s">
        <v>114</v>
      </c>
      <c r="M130" s="147" t="s">
        <v>114</v>
      </c>
      <c r="N130" s="147" t="s">
        <v>130</v>
      </c>
      <c r="O130" s="147" t="s">
        <v>115</v>
      </c>
      <c r="P130" s="147" t="s">
        <v>130</v>
      </c>
      <c r="Q130" s="147" t="s">
        <v>124</v>
      </c>
      <c r="R130" s="158" t="s">
        <v>232</v>
      </c>
      <c r="S130" s="148" t="s">
        <v>132</v>
      </c>
      <c r="T130" s="148" t="s">
        <v>119</v>
      </c>
      <c r="U130" s="148" t="s">
        <v>126</v>
      </c>
      <c r="V130" s="145">
        <f t="shared" si="21"/>
        <v>162</v>
      </c>
      <c r="W130" s="148" t="s">
        <v>233</v>
      </c>
      <c r="X130" s="145">
        <f t="shared" si="22"/>
        <v>236</v>
      </c>
      <c r="Y130">
        <f ca="1" t="shared" si="23"/>
        <v>0.830672361529482</v>
      </c>
      <c r="Z130" s="199"/>
      <c r="AA130" s="199"/>
      <c r="AB130" s="199"/>
      <c r="AC130" s="199"/>
      <c r="AD130" s="199"/>
      <c r="AE130" s="199"/>
      <c r="AF130" s="199"/>
      <c r="AG130" s="199"/>
      <c r="AH130" s="199"/>
      <c r="AI130" s="199"/>
      <c r="AJ130" s="199"/>
      <c r="AK130" s="199"/>
      <c r="AL130" s="199"/>
    </row>
    <row r="131" ht="17.6" spans="1:38">
      <c r="A131" s="197"/>
      <c r="B131" s="122">
        <v>1</v>
      </c>
      <c r="C131" s="121" t="s">
        <v>1380</v>
      </c>
      <c r="D131" s="124">
        <v>8</v>
      </c>
      <c r="E131" s="121" t="s">
        <v>1360</v>
      </c>
      <c r="F131" s="121" t="s">
        <v>472</v>
      </c>
      <c r="G131" s="145"/>
      <c r="H131" s="145"/>
      <c r="I131" s="145"/>
      <c r="J131" s="145"/>
      <c r="K131" s="145"/>
      <c r="L131" s="147"/>
      <c r="M131" s="147"/>
      <c r="N131" s="147"/>
      <c r="O131" s="147"/>
      <c r="P131" s="147"/>
      <c r="Q131" s="147"/>
      <c r="R131" s="158"/>
      <c r="S131" s="148"/>
      <c r="T131" s="148"/>
      <c r="U131" s="148"/>
      <c r="V131" s="145"/>
      <c r="W131" s="148"/>
      <c r="X131" s="145"/>
      <c r="Z131" s="199"/>
      <c r="AA131" s="199"/>
      <c r="AB131" s="199"/>
      <c r="AC131" s="199"/>
      <c r="AD131" s="199"/>
      <c r="AE131" s="199"/>
      <c r="AF131" s="199"/>
      <c r="AG131" s="199"/>
      <c r="AH131" s="199"/>
      <c r="AI131" s="199"/>
      <c r="AJ131" s="199"/>
      <c r="AK131" s="199"/>
      <c r="AL131" s="199"/>
    </row>
    <row r="132" spans="1:38">
      <c r="A132" s="197"/>
      <c r="B132" s="153">
        <v>31</v>
      </c>
      <c r="C132" s="154" t="s">
        <v>462</v>
      </c>
      <c r="D132" s="144">
        <v>13</v>
      </c>
      <c r="E132" s="145">
        <v>89</v>
      </c>
      <c r="F132" s="145">
        <v>78</v>
      </c>
      <c r="G132" s="145">
        <v>66</v>
      </c>
      <c r="H132" s="145">
        <v>68</v>
      </c>
      <c r="I132" s="145">
        <v>69</v>
      </c>
      <c r="J132" s="145">
        <f t="shared" ref="J132:J145" si="24">SUM(E132:I132)</f>
        <v>370</v>
      </c>
      <c r="K132" s="145">
        <v>22</v>
      </c>
      <c r="L132" s="147" t="s">
        <v>114</v>
      </c>
      <c r="M132" s="147" t="s">
        <v>130</v>
      </c>
      <c r="N132" s="147" t="s">
        <v>115</v>
      </c>
      <c r="O132" s="147" t="s">
        <v>115</v>
      </c>
      <c r="P132" s="147" t="s">
        <v>124</v>
      </c>
      <c r="Q132" s="147" t="s">
        <v>124</v>
      </c>
      <c r="R132" s="148" t="s">
        <v>416</v>
      </c>
      <c r="S132" s="148" t="s">
        <v>132</v>
      </c>
      <c r="T132" s="148" t="s">
        <v>145</v>
      </c>
      <c r="U132" s="148" t="s">
        <v>250</v>
      </c>
      <c r="V132" s="145">
        <f t="shared" ref="V132:V145" si="25">E132+F132</f>
        <v>167</v>
      </c>
      <c r="W132" s="149"/>
      <c r="X132" s="145">
        <f t="shared" ref="X132:X145" si="26">E132+F132+G132</f>
        <v>233</v>
      </c>
      <c r="Y132">
        <f ca="1" t="shared" ref="Y132:Y145" si="27">RAND()</f>
        <v>0.930874023549398</v>
      </c>
      <c r="Z132" s="199"/>
      <c r="AA132" s="199"/>
      <c r="AB132" s="199"/>
      <c r="AC132" s="199"/>
      <c r="AD132" s="199"/>
      <c r="AE132" s="199"/>
      <c r="AF132" s="199"/>
      <c r="AG132" s="199"/>
      <c r="AH132" s="199"/>
      <c r="AI132" s="199"/>
      <c r="AJ132" s="199"/>
      <c r="AK132" s="199"/>
      <c r="AL132" s="199"/>
    </row>
    <row r="133" spans="1:38">
      <c r="A133" s="197"/>
      <c r="B133" s="153">
        <v>796</v>
      </c>
      <c r="C133" s="154" t="s">
        <v>734</v>
      </c>
      <c r="D133" s="144">
        <v>9</v>
      </c>
      <c r="E133" s="145">
        <v>69</v>
      </c>
      <c r="F133" s="145">
        <v>58</v>
      </c>
      <c r="G133" s="145">
        <v>87</v>
      </c>
      <c r="H133" s="145">
        <v>73</v>
      </c>
      <c r="I133" s="145">
        <v>74</v>
      </c>
      <c r="J133" s="145">
        <f t="shared" si="24"/>
        <v>361</v>
      </c>
      <c r="K133" s="145">
        <v>94</v>
      </c>
      <c r="L133" s="147" t="s">
        <v>130</v>
      </c>
      <c r="M133" s="147" t="s">
        <v>130</v>
      </c>
      <c r="N133" s="147" t="s">
        <v>130</v>
      </c>
      <c r="O133" s="147" t="s">
        <v>124</v>
      </c>
      <c r="P133" s="147" t="s">
        <v>130</v>
      </c>
      <c r="Q133" s="147" t="s">
        <v>130</v>
      </c>
      <c r="R133" s="158" t="s">
        <v>522</v>
      </c>
      <c r="S133" s="148" t="s">
        <v>175</v>
      </c>
      <c r="T133" s="148" t="s">
        <v>136</v>
      </c>
      <c r="U133" s="148" t="s">
        <v>120</v>
      </c>
      <c r="V133" s="145">
        <f t="shared" si="25"/>
        <v>127</v>
      </c>
      <c r="W133" s="148" t="s">
        <v>523</v>
      </c>
      <c r="X133" s="145">
        <f t="shared" si="26"/>
        <v>214</v>
      </c>
      <c r="Y133">
        <f ca="1" t="shared" si="27"/>
        <v>0.738877258159376</v>
      </c>
      <c r="Z133" s="199"/>
      <c r="AA133" s="199"/>
      <c r="AB133" s="199"/>
      <c r="AC133" s="199"/>
      <c r="AD133" s="199"/>
      <c r="AE133" s="199"/>
      <c r="AF133" s="199"/>
      <c r="AG133" s="199"/>
      <c r="AH133" s="199"/>
      <c r="AI133" s="199"/>
      <c r="AJ133" s="199"/>
      <c r="AK133" s="199"/>
      <c r="AL133" s="199"/>
    </row>
    <row r="134" spans="1:38">
      <c r="A134" s="197"/>
      <c r="B134" s="153">
        <v>26</v>
      </c>
      <c r="C134" s="154" t="s">
        <v>647</v>
      </c>
      <c r="D134" s="144">
        <v>5</v>
      </c>
      <c r="E134" s="145">
        <v>60</v>
      </c>
      <c r="F134" s="145">
        <v>59</v>
      </c>
      <c r="G134" s="145">
        <v>73</v>
      </c>
      <c r="H134" s="145">
        <v>82</v>
      </c>
      <c r="I134" s="145">
        <v>88</v>
      </c>
      <c r="J134" s="145">
        <f t="shared" si="24"/>
        <v>362</v>
      </c>
      <c r="K134" s="145">
        <v>22</v>
      </c>
      <c r="L134" s="147" t="s">
        <v>124</v>
      </c>
      <c r="M134" s="147" t="s">
        <v>124</v>
      </c>
      <c r="N134" s="147" t="s">
        <v>130</v>
      </c>
      <c r="O134" s="147" t="s">
        <v>124</v>
      </c>
      <c r="P134" s="147" t="s">
        <v>130</v>
      </c>
      <c r="Q134" s="147" t="s">
        <v>124</v>
      </c>
      <c r="R134" s="148" t="s">
        <v>353</v>
      </c>
      <c r="S134" s="148" t="s">
        <v>118</v>
      </c>
      <c r="T134" s="148" t="s">
        <v>133</v>
      </c>
      <c r="U134" s="148" t="s">
        <v>120</v>
      </c>
      <c r="V134" s="145">
        <f t="shared" si="25"/>
        <v>119</v>
      </c>
      <c r="W134" s="149"/>
      <c r="X134" s="145">
        <f t="shared" si="26"/>
        <v>192</v>
      </c>
      <c r="Y134">
        <f ca="1" t="shared" si="27"/>
        <v>0.748450762545513</v>
      </c>
      <c r="Z134" s="199"/>
      <c r="AA134" s="199"/>
      <c r="AB134" s="199"/>
      <c r="AC134" s="199"/>
      <c r="AD134" s="199"/>
      <c r="AE134" s="199"/>
      <c r="AF134" s="199"/>
      <c r="AG134" s="199"/>
      <c r="AH134" s="199"/>
      <c r="AI134" s="199"/>
      <c r="AJ134" s="199"/>
      <c r="AK134" s="199"/>
      <c r="AL134" s="199"/>
    </row>
    <row r="135" spans="1:38">
      <c r="A135" s="197"/>
      <c r="B135" s="153">
        <v>403</v>
      </c>
      <c r="C135" s="154" t="s">
        <v>983</v>
      </c>
      <c r="D135" s="144">
        <v>4</v>
      </c>
      <c r="E135" s="145">
        <v>81</v>
      </c>
      <c r="F135" s="145">
        <v>48</v>
      </c>
      <c r="G135" s="145">
        <v>84</v>
      </c>
      <c r="H135" s="145">
        <v>79</v>
      </c>
      <c r="I135" s="145">
        <v>69</v>
      </c>
      <c r="J135" s="145">
        <f t="shared" si="24"/>
        <v>361</v>
      </c>
      <c r="K135" s="145">
        <v>143</v>
      </c>
      <c r="L135" s="147" t="s">
        <v>114</v>
      </c>
      <c r="M135" s="147" t="s">
        <v>114</v>
      </c>
      <c r="N135" s="147" t="s">
        <v>130</v>
      </c>
      <c r="O135" s="147" t="s">
        <v>130</v>
      </c>
      <c r="P135" s="147" t="s">
        <v>114</v>
      </c>
      <c r="Q135" s="147" t="s">
        <v>115</v>
      </c>
      <c r="R135" s="148" t="s">
        <v>186</v>
      </c>
      <c r="S135" s="148" t="s">
        <v>132</v>
      </c>
      <c r="T135" s="148" t="s">
        <v>119</v>
      </c>
      <c r="U135" s="148" t="s">
        <v>120</v>
      </c>
      <c r="V135" s="145">
        <f t="shared" si="25"/>
        <v>129</v>
      </c>
      <c r="W135" s="149"/>
      <c r="X135" s="145">
        <f t="shared" si="26"/>
        <v>213</v>
      </c>
      <c r="Y135">
        <f ca="1" t="shared" si="27"/>
        <v>0.0625880432174875</v>
      </c>
      <c r="Z135" s="199"/>
      <c r="AA135" s="199"/>
      <c r="AB135" s="199"/>
      <c r="AC135" s="199"/>
      <c r="AD135" s="199"/>
      <c r="AE135" s="199"/>
      <c r="AF135" s="199"/>
      <c r="AG135" s="199"/>
      <c r="AH135" s="199"/>
      <c r="AI135" s="199"/>
      <c r="AJ135" s="199"/>
      <c r="AK135" s="199"/>
      <c r="AL135" s="199"/>
    </row>
    <row r="136" spans="1:38">
      <c r="A136" s="197"/>
      <c r="B136" s="153">
        <v>622</v>
      </c>
      <c r="C136" s="154" t="s">
        <v>963</v>
      </c>
      <c r="D136" s="144">
        <v>5</v>
      </c>
      <c r="E136" s="145">
        <v>84</v>
      </c>
      <c r="F136" s="145">
        <v>73</v>
      </c>
      <c r="G136" s="145">
        <v>60</v>
      </c>
      <c r="H136" s="145">
        <v>67</v>
      </c>
      <c r="I136" s="145">
        <v>74</v>
      </c>
      <c r="J136" s="145">
        <f t="shared" si="24"/>
        <v>358</v>
      </c>
      <c r="K136" s="145">
        <v>93</v>
      </c>
      <c r="L136" s="147" t="s">
        <v>114</v>
      </c>
      <c r="M136" s="147" t="s">
        <v>130</v>
      </c>
      <c r="N136" s="147" t="s">
        <v>114</v>
      </c>
      <c r="O136" s="147" t="s">
        <v>130</v>
      </c>
      <c r="P136" s="147" t="s">
        <v>114</v>
      </c>
      <c r="Q136" s="147" t="s">
        <v>115</v>
      </c>
      <c r="R136" s="148" t="s">
        <v>245</v>
      </c>
      <c r="S136" s="148" t="s">
        <v>132</v>
      </c>
      <c r="T136" s="148" t="s">
        <v>136</v>
      </c>
      <c r="U136" s="148" t="s">
        <v>148</v>
      </c>
      <c r="V136" s="145">
        <f t="shared" si="25"/>
        <v>157</v>
      </c>
      <c r="W136" s="149"/>
      <c r="X136" s="145">
        <f t="shared" si="26"/>
        <v>217</v>
      </c>
      <c r="Y136">
        <f ca="1" t="shared" si="27"/>
        <v>0.769844363883139</v>
      </c>
      <c r="Z136" s="199"/>
      <c r="AA136" s="199"/>
      <c r="AB136" s="199"/>
      <c r="AC136" s="199"/>
      <c r="AD136" s="199"/>
      <c r="AE136" s="199"/>
      <c r="AF136" s="199"/>
      <c r="AG136" s="199"/>
      <c r="AH136" s="199"/>
      <c r="AI136" s="199"/>
      <c r="AJ136" s="199"/>
      <c r="AK136" s="199"/>
      <c r="AL136" s="199"/>
    </row>
    <row r="137" spans="1:38">
      <c r="A137" s="197"/>
      <c r="B137" s="153">
        <v>147</v>
      </c>
      <c r="C137" s="154" t="s">
        <v>1028</v>
      </c>
      <c r="D137" s="144">
        <v>12</v>
      </c>
      <c r="E137" s="145">
        <v>81</v>
      </c>
      <c r="F137" s="145">
        <v>86</v>
      </c>
      <c r="G137" s="145">
        <v>45</v>
      </c>
      <c r="H137" s="145">
        <v>52</v>
      </c>
      <c r="I137" s="145">
        <v>53</v>
      </c>
      <c r="J137" s="145">
        <f t="shared" si="24"/>
        <v>317</v>
      </c>
      <c r="K137" s="145">
        <v>74</v>
      </c>
      <c r="L137" s="147" t="s">
        <v>130</v>
      </c>
      <c r="M137" s="147" t="s">
        <v>130</v>
      </c>
      <c r="N137" s="147" t="s">
        <v>130</v>
      </c>
      <c r="O137" s="147" t="s">
        <v>115</v>
      </c>
      <c r="P137" s="147" t="s">
        <v>114</v>
      </c>
      <c r="Q137" s="147" t="s">
        <v>124</v>
      </c>
      <c r="R137" s="148" t="s">
        <v>228</v>
      </c>
      <c r="S137" s="148" t="s">
        <v>132</v>
      </c>
      <c r="T137" s="148" t="s">
        <v>119</v>
      </c>
      <c r="U137" s="148" t="s">
        <v>126</v>
      </c>
      <c r="V137" s="145">
        <f t="shared" si="25"/>
        <v>167</v>
      </c>
      <c r="W137" s="149"/>
      <c r="X137" s="145">
        <f t="shared" si="26"/>
        <v>212</v>
      </c>
      <c r="Y137">
        <f ca="1" t="shared" si="27"/>
        <v>0.262269824971392</v>
      </c>
      <c r="Z137" s="199"/>
      <c r="AA137" s="199"/>
      <c r="AB137" s="199"/>
      <c r="AC137" s="199"/>
      <c r="AD137" s="199"/>
      <c r="AE137" s="199"/>
      <c r="AF137" s="199"/>
      <c r="AG137" s="199"/>
      <c r="AH137" s="199"/>
      <c r="AI137" s="199"/>
      <c r="AJ137" s="199"/>
      <c r="AK137" s="199"/>
      <c r="AL137" s="199"/>
    </row>
    <row r="138" spans="1:38">
      <c r="A138" s="197"/>
      <c r="B138" s="153">
        <v>292</v>
      </c>
      <c r="C138" s="154" t="s">
        <v>425</v>
      </c>
      <c r="D138" s="144">
        <v>3</v>
      </c>
      <c r="E138" s="145">
        <v>72</v>
      </c>
      <c r="F138" s="145">
        <v>79</v>
      </c>
      <c r="G138" s="145">
        <v>68</v>
      </c>
      <c r="H138" s="145">
        <v>56</v>
      </c>
      <c r="I138" s="145">
        <v>74</v>
      </c>
      <c r="J138" s="145">
        <f t="shared" si="24"/>
        <v>349</v>
      </c>
      <c r="K138" s="145">
        <v>138</v>
      </c>
      <c r="L138" s="147" t="s">
        <v>114</v>
      </c>
      <c r="M138" s="147" t="s">
        <v>124</v>
      </c>
      <c r="N138" s="147" t="s">
        <v>114</v>
      </c>
      <c r="O138" s="147" t="s">
        <v>114</v>
      </c>
      <c r="P138" s="147" t="s">
        <v>124</v>
      </c>
      <c r="Q138" s="147" t="s">
        <v>124</v>
      </c>
      <c r="R138" s="148" t="s">
        <v>378</v>
      </c>
      <c r="S138" s="148" t="s">
        <v>175</v>
      </c>
      <c r="T138" s="148" t="s">
        <v>136</v>
      </c>
      <c r="U138" s="148" t="s">
        <v>126</v>
      </c>
      <c r="V138" s="145">
        <f t="shared" si="25"/>
        <v>151</v>
      </c>
      <c r="W138" s="149"/>
      <c r="X138" s="145">
        <f t="shared" si="26"/>
        <v>219</v>
      </c>
      <c r="Y138">
        <f ca="1" t="shared" si="27"/>
        <v>0.953127899653035</v>
      </c>
      <c r="Z138" s="199"/>
      <c r="AA138" s="199"/>
      <c r="AB138" s="199"/>
      <c r="AC138" s="199"/>
      <c r="AD138" s="199"/>
      <c r="AE138" s="199"/>
      <c r="AF138" s="199"/>
      <c r="AG138" s="199"/>
      <c r="AH138" s="199"/>
      <c r="AI138" s="199"/>
      <c r="AJ138" s="199"/>
      <c r="AK138" s="199"/>
      <c r="AL138" s="199"/>
    </row>
    <row r="139" spans="1:38">
      <c r="A139" s="197"/>
      <c r="B139" s="153">
        <v>345</v>
      </c>
      <c r="C139" s="154" t="s">
        <v>844</v>
      </c>
      <c r="D139" s="144">
        <v>8</v>
      </c>
      <c r="E139" s="145">
        <v>80</v>
      </c>
      <c r="F139" s="145">
        <v>81</v>
      </c>
      <c r="G139" s="145">
        <v>69</v>
      </c>
      <c r="H139" s="145">
        <v>42</v>
      </c>
      <c r="I139" s="145">
        <v>52</v>
      </c>
      <c r="J139" s="145">
        <f t="shared" si="24"/>
        <v>324</v>
      </c>
      <c r="K139" s="145">
        <v>84</v>
      </c>
      <c r="L139" s="147" t="s">
        <v>114</v>
      </c>
      <c r="M139" s="147" t="s">
        <v>114</v>
      </c>
      <c r="N139" s="147" t="s">
        <v>130</v>
      </c>
      <c r="O139" s="147" t="s">
        <v>124</v>
      </c>
      <c r="P139" s="147" t="s">
        <v>130</v>
      </c>
      <c r="Q139" s="147" t="s">
        <v>115</v>
      </c>
      <c r="R139" s="148" t="s">
        <v>155</v>
      </c>
      <c r="S139" s="148" t="s">
        <v>132</v>
      </c>
      <c r="T139" s="148" t="s">
        <v>119</v>
      </c>
      <c r="U139" s="148" t="s">
        <v>120</v>
      </c>
      <c r="V139" s="145">
        <f t="shared" si="25"/>
        <v>161</v>
      </c>
      <c r="W139" s="149"/>
      <c r="X139" s="145">
        <f t="shared" si="26"/>
        <v>230</v>
      </c>
      <c r="Y139">
        <f ca="1" t="shared" si="27"/>
        <v>0.901022310872421</v>
      </c>
      <c r="Z139" s="199"/>
      <c r="AA139" s="199"/>
      <c r="AB139" s="199"/>
      <c r="AC139" s="199"/>
      <c r="AD139" s="199"/>
      <c r="AE139" s="199"/>
      <c r="AF139" s="199"/>
      <c r="AG139" s="199"/>
      <c r="AH139" s="199"/>
      <c r="AI139" s="199"/>
      <c r="AJ139" s="199"/>
      <c r="AK139" s="199"/>
      <c r="AL139" s="199"/>
    </row>
    <row r="140" spans="1:38">
      <c r="A140" s="197"/>
      <c r="B140" s="153">
        <v>354</v>
      </c>
      <c r="C140" s="154" t="s">
        <v>566</v>
      </c>
      <c r="D140" s="144">
        <v>6</v>
      </c>
      <c r="E140" s="145">
        <v>73</v>
      </c>
      <c r="F140" s="145">
        <v>87</v>
      </c>
      <c r="G140" s="145">
        <v>35</v>
      </c>
      <c r="H140" s="145">
        <v>32</v>
      </c>
      <c r="I140" s="145">
        <v>48</v>
      </c>
      <c r="J140" s="145">
        <f t="shared" si="24"/>
        <v>275</v>
      </c>
      <c r="K140" s="145">
        <v>125</v>
      </c>
      <c r="L140" s="147" t="s">
        <v>130</v>
      </c>
      <c r="M140" s="147" t="s">
        <v>130</v>
      </c>
      <c r="N140" s="147" t="s">
        <v>130</v>
      </c>
      <c r="O140" s="147" t="s">
        <v>114</v>
      </c>
      <c r="P140" s="147" t="s">
        <v>124</v>
      </c>
      <c r="Q140" s="147" t="s">
        <v>130</v>
      </c>
      <c r="R140" s="148" t="s">
        <v>404</v>
      </c>
      <c r="S140" s="148" t="s">
        <v>132</v>
      </c>
      <c r="T140" s="148" t="s">
        <v>119</v>
      </c>
      <c r="U140" s="148" t="s">
        <v>126</v>
      </c>
      <c r="V140" s="145">
        <f t="shared" si="25"/>
        <v>160</v>
      </c>
      <c r="W140" s="149"/>
      <c r="X140" s="145">
        <f t="shared" si="26"/>
        <v>195</v>
      </c>
      <c r="Y140">
        <f ca="1" t="shared" si="27"/>
        <v>0.891343978183813</v>
      </c>
      <c r="Z140" s="199"/>
      <c r="AA140" s="199"/>
      <c r="AB140" s="199"/>
      <c r="AC140" s="199"/>
      <c r="AD140" s="199"/>
      <c r="AE140" s="199"/>
      <c r="AF140" s="199"/>
      <c r="AG140" s="199"/>
      <c r="AH140" s="199"/>
      <c r="AI140" s="199"/>
      <c r="AJ140" s="199"/>
      <c r="AK140" s="199"/>
      <c r="AL140" s="199"/>
    </row>
    <row r="141" spans="1:38">
      <c r="A141" s="197"/>
      <c r="B141" s="153">
        <v>242</v>
      </c>
      <c r="C141" s="154" t="s">
        <v>943</v>
      </c>
      <c r="D141" s="144">
        <v>7</v>
      </c>
      <c r="E141" s="145">
        <v>81</v>
      </c>
      <c r="F141" s="145">
        <v>75</v>
      </c>
      <c r="G141" s="145">
        <v>63</v>
      </c>
      <c r="H141" s="145">
        <v>69</v>
      </c>
      <c r="I141" s="145">
        <v>77</v>
      </c>
      <c r="J141" s="145">
        <f t="shared" si="24"/>
        <v>365</v>
      </c>
      <c r="K141" s="145">
        <v>26</v>
      </c>
      <c r="L141" s="147" t="s">
        <v>115</v>
      </c>
      <c r="M141" s="147" t="s">
        <v>114</v>
      </c>
      <c r="N141" s="147" t="s">
        <v>130</v>
      </c>
      <c r="O141" s="147" t="s">
        <v>124</v>
      </c>
      <c r="P141" s="147" t="s">
        <v>114</v>
      </c>
      <c r="Q141" s="147" t="s">
        <v>114</v>
      </c>
      <c r="R141" s="148" t="s">
        <v>550</v>
      </c>
      <c r="S141" s="148" t="s">
        <v>132</v>
      </c>
      <c r="T141" s="148" t="s">
        <v>119</v>
      </c>
      <c r="U141" s="148" t="s">
        <v>148</v>
      </c>
      <c r="V141" s="145">
        <f t="shared" si="25"/>
        <v>156</v>
      </c>
      <c r="W141" s="149"/>
      <c r="X141" s="145">
        <f t="shared" si="26"/>
        <v>219</v>
      </c>
      <c r="Y141">
        <f ca="1" t="shared" si="27"/>
        <v>0.440380043445388</v>
      </c>
      <c r="Z141" s="199"/>
      <c r="AA141" s="199"/>
      <c r="AB141" s="199"/>
      <c r="AC141" s="199"/>
      <c r="AD141" s="199"/>
      <c r="AE141" s="199"/>
      <c r="AF141" s="199"/>
      <c r="AG141" s="199"/>
      <c r="AH141" s="199"/>
      <c r="AI141" s="199"/>
      <c r="AJ141" s="199"/>
      <c r="AK141" s="199"/>
      <c r="AL141" s="199"/>
    </row>
    <row r="142" spans="1:38">
      <c r="A142" s="197"/>
      <c r="B142" s="153">
        <v>154</v>
      </c>
      <c r="C142" s="154" t="s">
        <v>680</v>
      </c>
      <c r="D142" s="144">
        <v>2</v>
      </c>
      <c r="E142" s="145">
        <v>60</v>
      </c>
      <c r="F142" s="145">
        <v>57</v>
      </c>
      <c r="G142" s="145">
        <v>75</v>
      </c>
      <c r="H142" s="145">
        <v>75</v>
      </c>
      <c r="I142" s="145">
        <v>82</v>
      </c>
      <c r="J142" s="145">
        <f t="shared" si="24"/>
        <v>349</v>
      </c>
      <c r="K142" s="145">
        <v>79</v>
      </c>
      <c r="L142" s="147" t="s">
        <v>130</v>
      </c>
      <c r="M142" s="147" t="s">
        <v>124</v>
      </c>
      <c r="N142" s="147" t="s">
        <v>124</v>
      </c>
      <c r="O142" s="147" t="s">
        <v>124</v>
      </c>
      <c r="P142" s="147" t="s">
        <v>130</v>
      </c>
      <c r="Q142" s="147" t="s">
        <v>124</v>
      </c>
      <c r="R142" s="158" t="s">
        <v>522</v>
      </c>
      <c r="S142" s="148" t="s">
        <v>119</v>
      </c>
      <c r="T142" s="148" t="s">
        <v>119</v>
      </c>
      <c r="U142" s="148" t="s">
        <v>120</v>
      </c>
      <c r="V142" s="145">
        <f t="shared" si="25"/>
        <v>117</v>
      </c>
      <c r="W142" s="148" t="s">
        <v>523</v>
      </c>
      <c r="X142" s="145">
        <f t="shared" si="26"/>
        <v>192</v>
      </c>
      <c r="Y142">
        <f ca="1" t="shared" si="27"/>
        <v>0.61549294866132</v>
      </c>
      <c r="Z142" s="199"/>
      <c r="AA142" s="199"/>
      <c r="AB142" s="199"/>
      <c r="AC142" s="199"/>
      <c r="AD142" s="199"/>
      <c r="AE142" s="199"/>
      <c r="AF142" s="199"/>
      <c r="AG142" s="199"/>
      <c r="AH142" s="199"/>
      <c r="AI142" s="199"/>
      <c r="AJ142" s="199"/>
      <c r="AK142" s="199"/>
      <c r="AL142" s="199"/>
    </row>
    <row r="143" spans="1:38">
      <c r="A143" s="197"/>
      <c r="B143" s="153">
        <v>52</v>
      </c>
      <c r="C143" s="154" t="s">
        <v>364</v>
      </c>
      <c r="D143" s="144">
        <v>1</v>
      </c>
      <c r="E143" s="145">
        <v>37</v>
      </c>
      <c r="F143" s="145">
        <v>29</v>
      </c>
      <c r="G143" s="145">
        <v>77</v>
      </c>
      <c r="H143" s="145">
        <v>83</v>
      </c>
      <c r="I143" s="145">
        <v>82</v>
      </c>
      <c r="J143" s="145">
        <f t="shared" si="24"/>
        <v>308</v>
      </c>
      <c r="K143" s="145">
        <v>16</v>
      </c>
      <c r="L143" s="147" t="s">
        <v>124</v>
      </c>
      <c r="M143" s="147" t="s">
        <v>124</v>
      </c>
      <c r="N143" s="147" t="s">
        <v>124</v>
      </c>
      <c r="O143" s="147" t="s">
        <v>124</v>
      </c>
      <c r="P143" s="147" t="s">
        <v>124</v>
      </c>
      <c r="Q143" s="147" t="s">
        <v>124</v>
      </c>
      <c r="R143" s="148" t="s">
        <v>365</v>
      </c>
      <c r="S143" s="148" t="s">
        <v>119</v>
      </c>
      <c r="T143" s="148" t="s">
        <v>119</v>
      </c>
      <c r="U143" s="148" t="s">
        <v>148</v>
      </c>
      <c r="V143" s="145">
        <f t="shared" si="25"/>
        <v>66</v>
      </c>
      <c r="W143" s="149"/>
      <c r="X143" s="145">
        <f t="shared" si="26"/>
        <v>143</v>
      </c>
      <c r="Y143">
        <f ca="1" t="shared" si="27"/>
        <v>0.737876289488558</v>
      </c>
      <c r="Z143" s="199"/>
      <c r="AA143" s="199"/>
      <c r="AB143" s="199"/>
      <c r="AC143" s="199"/>
      <c r="AD143" s="199"/>
      <c r="AE143" s="199"/>
      <c r="AF143" s="199"/>
      <c r="AG143" s="199"/>
      <c r="AH143" s="199"/>
      <c r="AI143" s="199"/>
      <c r="AJ143" s="199"/>
      <c r="AK143" s="199"/>
      <c r="AL143" s="199"/>
    </row>
    <row r="144" spans="1:38">
      <c r="A144" s="197" t="s">
        <v>1381</v>
      </c>
      <c r="B144" s="153">
        <v>453</v>
      </c>
      <c r="C144" s="154" t="s">
        <v>675</v>
      </c>
      <c r="D144" s="144">
        <v>15</v>
      </c>
      <c r="E144" s="145">
        <v>63</v>
      </c>
      <c r="F144" s="145">
        <v>54</v>
      </c>
      <c r="G144" s="145">
        <v>71</v>
      </c>
      <c r="H144" s="145">
        <v>96</v>
      </c>
      <c r="I144" s="145">
        <v>83</v>
      </c>
      <c r="J144" s="145">
        <f t="shared" si="24"/>
        <v>367</v>
      </c>
      <c r="K144" s="145">
        <v>15</v>
      </c>
      <c r="L144" s="147" t="s">
        <v>130</v>
      </c>
      <c r="M144" s="147" t="s">
        <v>130</v>
      </c>
      <c r="N144" s="147" t="s">
        <v>124</v>
      </c>
      <c r="O144" s="147" t="s">
        <v>124</v>
      </c>
      <c r="P144" s="147" t="s">
        <v>130</v>
      </c>
      <c r="Q144" s="147" t="s">
        <v>130</v>
      </c>
      <c r="R144" s="148" t="s">
        <v>362</v>
      </c>
      <c r="S144" s="148" t="s">
        <v>119</v>
      </c>
      <c r="T144" s="148" t="s">
        <v>145</v>
      </c>
      <c r="U144" s="148" t="s">
        <v>120</v>
      </c>
      <c r="V144" s="145">
        <f t="shared" si="25"/>
        <v>117</v>
      </c>
      <c r="W144" s="149"/>
      <c r="X144" s="145">
        <f t="shared" si="26"/>
        <v>188</v>
      </c>
      <c r="Y144">
        <f ca="1" t="shared" si="27"/>
        <v>0.739910580451534</v>
      </c>
      <c r="Z144" s="199"/>
      <c r="AA144" s="199"/>
      <c r="AB144" s="199"/>
      <c r="AC144" s="199"/>
      <c r="AD144" s="199"/>
      <c r="AE144" s="199"/>
      <c r="AF144" s="199"/>
      <c r="AG144" s="199"/>
      <c r="AH144" s="199"/>
      <c r="AI144" s="199"/>
      <c r="AJ144" s="199"/>
      <c r="AK144" s="199"/>
      <c r="AL144" s="199"/>
    </row>
    <row r="145" spans="1:38">
      <c r="A145" s="197"/>
      <c r="B145" s="153">
        <v>77</v>
      </c>
      <c r="C145" s="154" t="s">
        <v>957</v>
      </c>
      <c r="D145" s="144">
        <v>13</v>
      </c>
      <c r="E145" s="145">
        <v>90</v>
      </c>
      <c r="F145" s="145">
        <v>78</v>
      </c>
      <c r="G145" s="145">
        <v>63</v>
      </c>
      <c r="H145" s="145">
        <v>70</v>
      </c>
      <c r="I145" s="145">
        <v>75</v>
      </c>
      <c r="J145" s="145">
        <f t="shared" si="24"/>
        <v>376</v>
      </c>
      <c r="K145" s="145">
        <v>2</v>
      </c>
      <c r="L145" s="147" t="s">
        <v>114</v>
      </c>
      <c r="M145" s="147" t="s">
        <v>114</v>
      </c>
      <c r="N145" s="147" t="s">
        <v>115</v>
      </c>
      <c r="O145" s="147" t="s">
        <v>115</v>
      </c>
      <c r="P145" s="147" t="s">
        <v>114</v>
      </c>
      <c r="Q145" s="147" t="s">
        <v>124</v>
      </c>
      <c r="R145" s="148" t="s">
        <v>294</v>
      </c>
      <c r="S145" s="148" t="s">
        <v>118</v>
      </c>
      <c r="T145" s="148" t="s">
        <v>133</v>
      </c>
      <c r="U145" s="148" t="s">
        <v>120</v>
      </c>
      <c r="V145" s="145">
        <f t="shared" si="25"/>
        <v>168</v>
      </c>
      <c r="W145" s="149"/>
      <c r="X145" s="145">
        <f t="shared" si="26"/>
        <v>231</v>
      </c>
      <c r="Y145">
        <f ca="1" t="shared" si="27"/>
        <v>0.977845518658845</v>
      </c>
      <c r="Z145" s="199"/>
      <c r="AA145" s="199"/>
      <c r="AB145" s="199"/>
      <c r="AC145" s="199"/>
      <c r="AD145" s="199"/>
      <c r="AE145" s="199"/>
      <c r="AF145" s="199"/>
      <c r="AG145" s="199"/>
      <c r="AH145" s="199"/>
      <c r="AI145" s="199"/>
      <c r="AJ145" s="199"/>
      <c r="AK145" s="199"/>
      <c r="AL145" s="199"/>
    </row>
    <row r="146" ht="17.6" spans="1:38">
      <c r="A146" s="197"/>
      <c r="B146" s="122">
        <v>15</v>
      </c>
      <c r="C146" s="121" t="s">
        <v>1382</v>
      </c>
      <c r="D146" s="124">
        <v>6</v>
      </c>
      <c r="E146" s="121" t="s">
        <v>1366</v>
      </c>
      <c r="F146" s="121" t="s">
        <v>155</v>
      </c>
      <c r="G146" s="145"/>
      <c r="H146" s="145"/>
      <c r="I146" s="145"/>
      <c r="J146" s="145"/>
      <c r="K146" s="145"/>
      <c r="L146" s="147"/>
      <c r="M146" s="147"/>
      <c r="N146" s="147"/>
      <c r="O146" s="147"/>
      <c r="P146" s="147"/>
      <c r="Q146" s="147"/>
      <c r="R146" s="148"/>
      <c r="S146" s="148"/>
      <c r="T146" s="148"/>
      <c r="U146" s="148"/>
      <c r="V146" s="145"/>
      <c r="W146" s="149"/>
      <c r="X146" s="145"/>
      <c r="Z146" s="199"/>
      <c r="AA146" s="199"/>
      <c r="AB146" s="199"/>
      <c r="AC146" s="199"/>
      <c r="AD146" s="199"/>
      <c r="AE146" s="199"/>
      <c r="AF146" s="199"/>
      <c r="AG146" s="199"/>
      <c r="AH146" s="199"/>
      <c r="AI146" s="199"/>
      <c r="AJ146" s="199"/>
      <c r="AK146" s="199"/>
      <c r="AL146" s="199"/>
    </row>
    <row r="147" spans="1:38">
      <c r="A147" s="197"/>
      <c r="B147" s="153">
        <v>192</v>
      </c>
      <c r="C147" s="154" t="s">
        <v>923</v>
      </c>
      <c r="D147" s="144">
        <v>12</v>
      </c>
      <c r="E147" s="145">
        <v>89</v>
      </c>
      <c r="F147" s="145">
        <v>75</v>
      </c>
      <c r="G147" s="145">
        <v>79</v>
      </c>
      <c r="H147" s="145">
        <v>70</v>
      </c>
      <c r="I147" s="145">
        <v>82</v>
      </c>
      <c r="J147" s="145">
        <f t="shared" ref="J147:J156" si="28">SUM(E147:I147)</f>
        <v>395</v>
      </c>
      <c r="K147" s="145">
        <v>71</v>
      </c>
      <c r="L147" s="147" t="s">
        <v>115</v>
      </c>
      <c r="M147" s="147" t="s">
        <v>114</v>
      </c>
      <c r="N147" s="147" t="s">
        <v>114</v>
      </c>
      <c r="O147" s="147" t="s">
        <v>114</v>
      </c>
      <c r="P147" s="147" t="s">
        <v>114</v>
      </c>
      <c r="Q147" s="147" t="s">
        <v>124</v>
      </c>
      <c r="R147" s="148" t="s">
        <v>172</v>
      </c>
      <c r="S147" s="148" t="s">
        <v>132</v>
      </c>
      <c r="T147" s="148" t="s">
        <v>119</v>
      </c>
      <c r="U147" s="148" t="s">
        <v>120</v>
      </c>
      <c r="V147" s="145">
        <f t="shared" ref="V147:V156" si="29">E147+F147</f>
        <v>164</v>
      </c>
      <c r="W147" s="149"/>
      <c r="X147" s="145">
        <f t="shared" ref="X147:X156" si="30">E147+F147+G147</f>
        <v>243</v>
      </c>
      <c r="Y147">
        <f ca="1" t="shared" ref="Y147:Y156" si="31">RAND()</f>
        <v>0.731285697908966</v>
      </c>
      <c r="Z147" s="199"/>
      <c r="AA147" s="199"/>
      <c r="AB147" s="199"/>
      <c r="AC147" s="199"/>
      <c r="AD147" s="199"/>
      <c r="AE147" s="199"/>
      <c r="AF147" s="199"/>
      <c r="AG147" s="199"/>
      <c r="AH147" s="199"/>
      <c r="AI147" s="199"/>
      <c r="AJ147" s="199"/>
      <c r="AK147" s="199"/>
      <c r="AL147" s="199"/>
    </row>
    <row r="148" spans="1:38">
      <c r="A148" s="197"/>
      <c r="B148" s="153">
        <v>38</v>
      </c>
      <c r="C148" s="154" t="s">
        <v>335</v>
      </c>
      <c r="D148" s="144">
        <v>2</v>
      </c>
      <c r="E148" s="145">
        <v>61</v>
      </c>
      <c r="F148" s="145">
        <v>60</v>
      </c>
      <c r="G148" s="145">
        <v>87</v>
      </c>
      <c r="H148" s="145">
        <v>82</v>
      </c>
      <c r="I148" s="145">
        <v>86</v>
      </c>
      <c r="J148" s="145">
        <f t="shared" si="28"/>
        <v>376</v>
      </c>
      <c r="K148" s="145">
        <v>23</v>
      </c>
      <c r="L148" s="147" t="s">
        <v>130</v>
      </c>
      <c r="M148" s="147" t="s">
        <v>124</v>
      </c>
      <c r="N148" s="147" t="s">
        <v>124</v>
      </c>
      <c r="O148" s="147" t="s">
        <v>130</v>
      </c>
      <c r="P148" s="147" t="s">
        <v>124</v>
      </c>
      <c r="Q148" s="147" t="s">
        <v>124</v>
      </c>
      <c r="R148" s="148" t="s">
        <v>333</v>
      </c>
      <c r="S148" s="148" t="s">
        <v>118</v>
      </c>
      <c r="T148" s="148" t="s">
        <v>119</v>
      </c>
      <c r="U148" s="148" t="s">
        <v>126</v>
      </c>
      <c r="V148" s="145">
        <f t="shared" si="29"/>
        <v>121</v>
      </c>
      <c r="W148" s="149"/>
      <c r="X148" s="145">
        <f t="shared" si="30"/>
        <v>208</v>
      </c>
      <c r="Y148">
        <f ca="1" t="shared" si="31"/>
        <v>0.405288528395207</v>
      </c>
      <c r="Z148" s="199"/>
      <c r="AA148" s="199"/>
      <c r="AB148" s="199"/>
      <c r="AC148" s="199"/>
      <c r="AD148" s="199"/>
      <c r="AE148" s="199"/>
      <c r="AF148" s="199"/>
      <c r="AG148" s="199"/>
      <c r="AH148" s="199"/>
      <c r="AI148" s="199"/>
      <c r="AJ148" s="199"/>
      <c r="AK148" s="199"/>
      <c r="AL148" s="199"/>
    </row>
    <row r="149" spans="1:38">
      <c r="A149" s="197"/>
      <c r="B149" s="153">
        <v>615</v>
      </c>
      <c r="C149" s="154" t="s">
        <v>835</v>
      </c>
      <c r="D149" s="144">
        <v>6</v>
      </c>
      <c r="E149" s="145">
        <v>78</v>
      </c>
      <c r="F149" s="145">
        <v>71</v>
      </c>
      <c r="G149" s="145">
        <v>62</v>
      </c>
      <c r="H149" s="145">
        <v>56</v>
      </c>
      <c r="I149" s="145">
        <v>55</v>
      </c>
      <c r="J149" s="145">
        <f t="shared" si="28"/>
        <v>322</v>
      </c>
      <c r="K149" s="145">
        <v>42</v>
      </c>
      <c r="L149" s="147" t="s">
        <v>114</v>
      </c>
      <c r="M149" s="147" t="s">
        <v>114</v>
      </c>
      <c r="N149" s="147" t="s">
        <v>114</v>
      </c>
      <c r="O149" s="147" t="s">
        <v>130</v>
      </c>
      <c r="P149" s="147" t="s">
        <v>130</v>
      </c>
      <c r="Q149" s="147" t="s">
        <v>130</v>
      </c>
      <c r="R149" s="148" t="s">
        <v>411</v>
      </c>
      <c r="S149" s="148" t="s">
        <v>132</v>
      </c>
      <c r="T149" s="148" t="s">
        <v>119</v>
      </c>
      <c r="U149" s="148" t="s">
        <v>250</v>
      </c>
      <c r="V149" s="145">
        <f t="shared" si="29"/>
        <v>149</v>
      </c>
      <c r="W149" s="149"/>
      <c r="X149" s="145">
        <f t="shared" si="30"/>
        <v>211</v>
      </c>
      <c r="Y149">
        <f ca="1" t="shared" si="31"/>
        <v>0.498261217819883</v>
      </c>
      <c r="Z149" s="199"/>
      <c r="AA149" s="199"/>
      <c r="AB149" s="199"/>
      <c r="AC149" s="199"/>
      <c r="AD149" s="199"/>
      <c r="AE149" s="199"/>
      <c r="AF149" s="199"/>
      <c r="AG149" s="199"/>
      <c r="AH149" s="199"/>
      <c r="AI149" s="199"/>
      <c r="AJ149" s="199"/>
      <c r="AK149" s="199"/>
      <c r="AL149" s="199"/>
    </row>
    <row r="150" spans="1:38">
      <c r="A150" s="197"/>
      <c r="B150" s="153">
        <v>575</v>
      </c>
      <c r="C150" s="154" t="s">
        <v>601</v>
      </c>
      <c r="D150" s="144">
        <v>4</v>
      </c>
      <c r="E150" s="145">
        <v>70</v>
      </c>
      <c r="F150" s="145">
        <v>84</v>
      </c>
      <c r="G150" s="145">
        <v>51</v>
      </c>
      <c r="H150" s="145">
        <v>65</v>
      </c>
      <c r="I150" s="145">
        <v>28</v>
      </c>
      <c r="J150" s="145">
        <f t="shared" si="28"/>
        <v>298</v>
      </c>
      <c r="K150" s="145">
        <v>30</v>
      </c>
      <c r="L150" s="147" t="s">
        <v>114</v>
      </c>
      <c r="M150" s="147" t="s">
        <v>130</v>
      </c>
      <c r="N150" s="147" t="s">
        <v>114</v>
      </c>
      <c r="O150" s="147" t="s">
        <v>114</v>
      </c>
      <c r="P150" s="147" t="s">
        <v>124</v>
      </c>
      <c r="Q150" s="147" t="s">
        <v>124</v>
      </c>
      <c r="R150" s="148" t="s">
        <v>339</v>
      </c>
      <c r="S150" s="148" t="s">
        <v>175</v>
      </c>
      <c r="T150" s="148" t="s">
        <v>136</v>
      </c>
      <c r="U150" s="148" t="s">
        <v>126</v>
      </c>
      <c r="V150" s="145">
        <f t="shared" si="29"/>
        <v>154</v>
      </c>
      <c r="W150" s="149"/>
      <c r="X150" s="145">
        <f t="shared" si="30"/>
        <v>205</v>
      </c>
      <c r="Y150">
        <f ca="1" t="shared" si="31"/>
        <v>0.472975091979639</v>
      </c>
      <c r="Z150" s="199"/>
      <c r="AA150" s="199"/>
      <c r="AB150" s="199"/>
      <c r="AC150" s="199"/>
      <c r="AD150" s="199"/>
      <c r="AE150" s="199"/>
      <c r="AF150" s="199"/>
      <c r="AG150" s="199"/>
      <c r="AH150" s="199"/>
      <c r="AI150" s="199"/>
      <c r="AJ150" s="199"/>
      <c r="AK150" s="199"/>
      <c r="AL150" s="199"/>
    </row>
    <row r="151" spans="1:38">
      <c r="A151" s="197"/>
      <c r="B151" s="153">
        <v>244</v>
      </c>
      <c r="C151" s="154" t="s">
        <v>858</v>
      </c>
      <c r="D151" s="144">
        <v>7</v>
      </c>
      <c r="E151" s="145">
        <v>70</v>
      </c>
      <c r="F151" s="145">
        <v>88</v>
      </c>
      <c r="G151" s="145">
        <v>55</v>
      </c>
      <c r="H151" s="145">
        <v>51</v>
      </c>
      <c r="I151" s="145">
        <v>47</v>
      </c>
      <c r="J151" s="145">
        <f t="shared" si="28"/>
        <v>311</v>
      </c>
      <c r="K151" s="145">
        <v>140</v>
      </c>
      <c r="L151" s="147" t="s">
        <v>130</v>
      </c>
      <c r="M151" s="147" t="s">
        <v>124</v>
      </c>
      <c r="N151" s="147" t="s">
        <v>114</v>
      </c>
      <c r="O151" s="147" t="s">
        <v>114</v>
      </c>
      <c r="P151" s="147" t="s">
        <v>130</v>
      </c>
      <c r="Q151" s="147" t="s">
        <v>124</v>
      </c>
      <c r="R151" s="148" t="s">
        <v>411</v>
      </c>
      <c r="S151" s="148" t="s">
        <v>119</v>
      </c>
      <c r="T151" s="148" t="s">
        <v>136</v>
      </c>
      <c r="U151" s="148" t="s">
        <v>250</v>
      </c>
      <c r="V151" s="145">
        <f t="shared" si="29"/>
        <v>158</v>
      </c>
      <c r="W151" s="149"/>
      <c r="X151" s="145">
        <f t="shared" si="30"/>
        <v>213</v>
      </c>
      <c r="Y151">
        <f ca="1" t="shared" si="31"/>
        <v>0.634360106837549</v>
      </c>
      <c r="Z151" s="199"/>
      <c r="AA151" s="199"/>
      <c r="AB151" s="199"/>
      <c r="AC151" s="199"/>
      <c r="AD151" s="199"/>
      <c r="AE151" s="199"/>
      <c r="AF151" s="199"/>
      <c r="AG151" s="199"/>
      <c r="AH151" s="199"/>
      <c r="AI151" s="199"/>
      <c r="AJ151" s="199"/>
      <c r="AK151" s="199"/>
      <c r="AL151" s="199"/>
    </row>
    <row r="152" spans="1:38">
      <c r="A152" s="197"/>
      <c r="B152" s="153">
        <v>794</v>
      </c>
      <c r="C152" s="154" t="s">
        <v>824</v>
      </c>
      <c r="D152" s="144">
        <v>4</v>
      </c>
      <c r="E152" s="145">
        <v>79</v>
      </c>
      <c r="F152" s="145">
        <v>75</v>
      </c>
      <c r="G152" s="145">
        <v>62</v>
      </c>
      <c r="H152" s="145">
        <v>55</v>
      </c>
      <c r="I152" s="145">
        <v>58</v>
      </c>
      <c r="J152" s="145">
        <f t="shared" si="28"/>
        <v>329</v>
      </c>
      <c r="K152" s="145">
        <v>49</v>
      </c>
      <c r="L152" s="147" t="s">
        <v>114</v>
      </c>
      <c r="M152" s="147" t="s">
        <v>115</v>
      </c>
      <c r="N152" s="147" t="s">
        <v>114</v>
      </c>
      <c r="O152" s="147" t="s">
        <v>130</v>
      </c>
      <c r="P152" s="147" t="s">
        <v>130</v>
      </c>
      <c r="Q152" s="147" t="s">
        <v>114</v>
      </c>
      <c r="R152" s="148" t="s">
        <v>579</v>
      </c>
      <c r="S152" s="148" t="s">
        <v>175</v>
      </c>
      <c r="T152" s="148" t="s">
        <v>145</v>
      </c>
      <c r="U152" s="148" t="s">
        <v>120</v>
      </c>
      <c r="V152" s="145">
        <f t="shared" si="29"/>
        <v>154</v>
      </c>
      <c r="W152" s="149"/>
      <c r="X152" s="145">
        <f t="shared" si="30"/>
        <v>216</v>
      </c>
      <c r="Y152">
        <f ca="1" t="shared" si="31"/>
        <v>0.388133870072089</v>
      </c>
      <c r="Z152" s="199"/>
      <c r="AA152" s="199"/>
      <c r="AB152" s="199"/>
      <c r="AC152" s="199"/>
      <c r="AD152" s="199"/>
      <c r="AE152" s="199"/>
      <c r="AF152" s="199"/>
      <c r="AG152" s="199"/>
      <c r="AH152" s="199"/>
      <c r="AI152" s="199"/>
      <c r="AJ152" s="199"/>
      <c r="AK152" s="199"/>
      <c r="AL152" s="199"/>
    </row>
    <row r="153" spans="1:38">
      <c r="A153" s="197"/>
      <c r="B153" s="153">
        <v>131</v>
      </c>
      <c r="C153" s="154" t="s">
        <v>485</v>
      </c>
      <c r="D153" s="144">
        <v>12</v>
      </c>
      <c r="E153" s="145">
        <v>89</v>
      </c>
      <c r="F153" s="145">
        <v>81</v>
      </c>
      <c r="G153" s="145">
        <v>63</v>
      </c>
      <c r="H153" s="145">
        <v>34</v>
      </c>
      <c r="I153" s="145">
        <v>66</v>
      </c>
      <c r="J153" s="145">
        <f t="shared" si="28"/>
        <v>333</v>
      </c>
      <c r="K153" s="145">
        <v>81</v>
      </c>
      <c r="L153" s="147" t="s">
        <v>115</v>
      </c>
      <c r="M153" s="147" t="s">
        <v>114</v>
      </c>
      <c r="N153" s="147" t="s">
        <v>130</v>
      </c>
      <c r="O153" s="147" t="s">
        <v>114</v>
      </c>
      <c r="P153" s="147" t="s">
        <v>124</v>
      </c>
      <c r="Q153" s="147" t="s">
        <v>130</v>
      </c>
      <c r="R153" s="148" t="s">
        <v>486</v>
      </c>
      <c r="S153" s="148" t="s">
        <v>119</v>
      </c>
      <c r="T153" s="148" t="s">
        <v>119</v>
      </c>
      <c r="U153" s="148" t="s">
        <v>126</v>
      </c>
      <c r="V153" s="145">
        <f t="shared" si="29"/>
        <v>170</v>
      </c>
      <c r="W153" s="149"/>
      <c r="X153" s="145">
        <f t="shared" si="30"/>
        <v>233</v>
      </c>
      <c r="Y153">
        <f ca="1" t="shared" si="31"/>
        <v>0.648582501498237</v>
      </c>
      <c r="Z153" s="199"/>
      <c r="AA153" s="199"/>
      <c r="AB153" s="199"/>
      <c r="AC153" s="199"/>
      <c r="AD153" s="199"/>
      <c r="AE153" s="199"/>
      <c r="AF153" s="199"/>
      <c r="AG153" s="199"/>
      <c r="AH153" s="199"/>
      <c r="AI153" s="199"/>
      <c r="AJ153" s="199"/>
      <c r="AK153" s="199"/>
      <c r="AL153" s="199"/>
    </row>
    <row r="154" spans="1:38">
      <c r="A154" s="197"/>
      <c r="B154" s="153">
        <v>355</v>
      </c>
      <c r="C154" s="154" t="s">
        <v>482</v>
      </c>
      <c r="D154" s="144">
        <v>12</v>
      </c>
      <c r="E154" s="145">
        <v>60</v>
      </c>
      <c r="F154" s="145">
        <v>70</v>
      </c>
      <c r="G154" s="145">
        <v>52</v>
      </c>
      <c r="H154" s="145">
        <v>78</v>
      </c>
      <c r="I154" s="145">
        <v>66</v>
      </c>
      <c r="J154" s="145">
        <f t="shared" si="28"/>
        <v>326</v>
      </c>
      <c r="K154" s="145">
        <v>134</v>
      </c>
      <c r="L154" s="147" t="s">
        <v>130</v>
      </c>
      <c r="M154" s="147" t="s">
        <v>124</v>
      </c>
      <c r="N154" s="147" t="s">
        <v>130</v>
      </c>
      <c r="O154" s="147" t="s">
        <v>130</v>
      </c>
      <c r="P154" s="147" t="s">
        <v>124</v>
      </c>
      <c r="Q154" s="147" t="s">
        <v>130</v>
      </c>
      <c r="R154" s="148" t="s">
        <v>483</v>
      </c>
      <c r="S154" s="148" t="s">
        <v>175</v>
      </c>
      <c r="T154" s="148" t="s">
        <v>119</v>
      </c>
      <c r="U154" s="148" t="s">
        <v>148</v>
      </c>
      <c r="V154" s="145">
        <f t="shared" si="29"/>
        <v>130</v>
      </c>
      <c r="W154" s="149"/>
      <c r="X154" s="145">
        <f t="shared" si="30"/>
        <v>182</v>
      </c>
      <c r="Y154">
        <f ca="1" t="shared" si="31"/>
        <v>0.88042984450544</v>
      </c>
      <c r="Z154" s="199"/>
      <c r="AA154" s="199"/>
      <c r="AB154" s="199"/>
      <c r="AC154" s="199"/>
      <c r="AD154" s="199"/>
      <c r="AE154" s="199"/>
      <c r="AF154" s="199"/>
      <c r="AG154" s="199"/>
      <c r="AH154" s="199"/>
      <c r="AI154" s="199"/>
      <c r="AJ154" s="199"/>
      <c r="AK154" s="199"/>
      <c r="AL154" s="199"/>
    </row>
    <row r="155" spans="1:38">
      <c r="A155" s="197" t="s">
        <v>1383</v>
      </c>
      <c r="B155" s="153">
        <v>160</v>
      </c>
      <c r="C155" s="154" t="s">
        <v>334</v>
      </c>
      <c r="D155" s="144">
        <v>16</v>
      </c>
      <c r="E155" s="145">
        <v>52</v>
      </c>
      <c r="F155" s="145">
        <v>69</v>
      </c>
      <c r="G155" s="145">
        <v>76</v>
      </c>
      <c r="H155" s="145">
        <v>90</v>
      </c>
      <c r="I155" s="145">
        <v>86</v>
      </c>
      <c r="J155" s="145">
        <f t="shared" si="28"/>
        <v>373</v>
      </c>
      <c r="K155" s="145">
        <v>75</v>
      </c>
      <c r="L155" s="147" t="s">
        <v>124</v>
      </c>
      <c r="M155" s="147" t="s">
        <v>124</v>
      </c>
      <c r="N155" s="147" t="s">
        <v>124</v>
      </c>
      <c r="O155" s="147" t="s">
        <v>124</v>
      </c>
      <c r="P155" s="147" t="s">
        <v>124</v>
      </c>
      <c r="Q155" s="147" t="s">
        <v>124</v>
      </c>
      <c r="R155" s="148" t="s">
        <v>292</v>
      </c>
      <c r="S155" s="148" t="s">
        <v>118</v>
      </c>
      <c r="T155" s="148" t="s">
        <v>136</v>
      </c>
      <c r="U155" s="148" t="s">
        <v>120</v>
      </c>
      <c r="V155" s="145">
        <f t="shared" si="29"/>
        <v>121</v>
      </c>
      <c r="W155" s="149"/>
      <c r="X155" s="145">
        <f t="shared" si="30"/>
        <v>197</v>
      </c>
      <c r="Y155">
        <f ca="1" t="shared" si="31"/>
        <v>0.996718993330872</v>
      </c>
      <c r="Z155" s="199"/>
      <c r="AA155" s="199"/>
      <c r="AB155" s="199"/>
      <c r="AC155" s="199"/>
      <c r="AD155" s="199"/>
      <c r="AE155" s="199"/>
      <c r="AF155" s="199"/>
      <c r="AG155" s="199"/>
      <c r="AH155" s="199"/>
      <c r="AI155" s="199"/>
      <c r="AJ155" s="199"/>
      <c r="AK155" s="199"/>
      <c r="AL155" s="199"/>
    </row>
    <row r="156" spans="1:38">
      <c r="A156" s="197"/>
      <c r="B156" s="153">
        <v>656</v>
      </c>
      <c r="C156" s="154" t="s">
        <v>958</v>
      </c>
      <c r="D156" s="144">
        <v>13</v>
      </c>
      <c r="E156" s="145">
        <v>87</v>
      </c>
      <c r="F156" s="145">
        <v>82</v>
      </c>
      <c r="G156" s="145">
        <v>63</v>
      </c>
      <c r="H156" s="145">
        <v>70</v>
      </c>
      <c r="I156" s="145">
        <v>75</v>
      </c>
      <c r="J156" s="145">
        <f t="shared" si="28"/>
        <v>377</v>
      </c>
      <c r="K156" s="145">
        <v>65</v>
      </c>
      <c r="L156" s="147" t="s">
        <v>114</v>
      </c>
      <c r="M156" s="147" t="s">
        <v>114</v>
      </c>
      <c r="N156" s="147" t="s">
        <v>115</v>
      </c>
      <c r="O156" s="147" t="s">
        <v>130</v>
      </c>
      <c r="P156" s="147" t="s">
        <v>114</v>
      </c>
      <c r="Q156" s="147" t="s">
        <v>124</v>
      </c>
      <c r="R156" s="148" t="s">
        <v>253</v>
      </c>
      <c r="S156" s="148" t="s">
        <v>132</v>
      </c>
      <c r="T156" s="148" t="s">
        <v>119</v>
      </c>
      <c r="U156" s="148" t="s">
        <v>120</v>
      </c>
      <c r="V156" s="145">
        <f t="shared" si="29"/>
        <v>169</v>
      </c>
      <c r="W156" s="149"/>
      <c r="X156" s="145">
        <f t="shared" si="30"/>
        <v>232</v>
      </c>
      <c r="Y156">
        <f ca="1" t="shared" si="31"/>
        <v>0.495745591759063</v>
      </c>
      <c r="Z156" s="199"/>
      <c r="AA156" s="199"/>
      <c r="AB156" s="199"/>
      <c r="AC156" s="199"/>
      <c r="AD156" s="199"/>
      <c r="AE156" s="199"/>
      <c r="AF156" s="199"/>
      <c r="AG156" s="199"/>
      <c r="AH156" s="199"/>
      <c r="AI156" s="199"/>
      <c r="AJ156" s="199"/>
      <c r="AK156" s="199"/>
      <c r="AL156" s="199"/>
    </row>
    <row r="157" ht="17.6" spans="1:38">
      <c r="A157" s="197"/>
      <c r="B157" s="122">
        <v>40</v>
      </c>
      <c r="C157" s="121" t="s">
        <v>1384</v>
      </c>
      <c r="D157" s="124">
        <v>8</v>
      </c>
      <c r="E157" s="121" t="s">
        <v>1369</v>
      </c>
      <c r="F157" s="121" t="s">
        <v>160</v>
      </c>
      <c r="G157" s="145"/>
      <c r="H157" s="145"/>
      <c r="I157" s="145"/>
      <c r="J157" s="145"/>
      <c r="K157" s="145"/>
      <c r="L157" s="147"/>
      <c r="M157" s="147"/>
      <c r="N157" s="147"/>
      <c r="O157" s="147"/>
      <c r="P157" s="147"/>
      <c r="Q157" s="147"/>
      <c r="R157" s="148"/>
      <c r="S157" s="148"/>
      <c r="T157" s="148"/>
      <c r="U157" s="148"/>
      <c r="V157" s="145"/>
      <c r="W157" s="149"/>
      <c r="X157" s="145"/>
      <c r="Z157" s="199"/>
      <c r="AA157" s="199"/>
      <c r="AB157" s="199"/>
      <c r="AC157" s="199"/>
      <c r="AD157" s="199"/>
      <c r="AE157" s="199"/>
      <c r="AF157" s="199"/>
      <c r="AG157" s="199"/>
      <c r="AH157" s="199"/>
      <c r="AI157" s="199"/>
      <c r="AJ157" s="199"/>
      <c r="AK157" s="199"/>
      <c r="AL157" s="199"/>
    </row>
    <row r="158" spans="1:38">
      <c r="A158" s="197"/>
      <c r="B158" s="153">
        <v>459</v>
      </c>
      <c r="C158" s="154" t="s">
        <v>529</v>
      </c>
      <c r="D158" s="144">
        <v>8</v>
      </c>
      <c r="E158" s="145">
        <v>85</v>
      </c>
      <c r="F158" s="145">
        <v>83</v>
      </c>
      <c r="G158" s="145">
        <v>75</v>
      </c>
      <c r="H158" s="145">
        <v>59</v>
      </c>
      <c r="I158" s="145">
        <v>59</v>
      </c>
      <c r="J158" s="145">
        <f t="shared" ref="J158:J205" si="32">SUM(E158:I158)</f>
        <v>361</v>
      </c>
      <c r="K158" s="145">
        <v>14</v>
      </c>
      <c r="L158" s="147" t="s">
        <v>114</v>
      </c>
      <c r="M158" s="147" t="s">
        <v>114</v>
      </c>
      <c r="N158" s="147" t="s">
        <v>130</v>
      </c>
      <c r="O158" s="147" t="s">
        <v>130</v>
      </c>
      <c r="P158" s="147" t="s">
        <v>124</v>
      </c>
      <c r="Q158" s="147" t="s">
        <v>115</v>
      </c>
      <c r="R158" s="148" t="s">
        <v>186</v>
      </c>
      <c r="S158" s="148" t="s">
        <v>132</v>
      </c>
      <c r="T158" s="148" t="s">
        <v>119</v>
      </c>
      <c r="U158" s="148" t="s">
        <v>126</v>
      </c>
      <c r="V158" s="145">
        <f t="shared" ref="V158:V205" si="33">E158+F158</f>
        <v>168</v>
      </c>
      <c r="W158" s="149"/>
      <c r="X158" s="145">
        <f t="shared" ref="X158:X205" si="34">E158+F158+G158</f>
        <v>243</v>
      </c>
      <c r="Y158">
        <f ca="1" t="shared" ref="Y158:Y205" si="35">RAND()</f>
        <v>0.736110131895224</v>
      </c>
      <c r="Z158" s="199"/>
      <c r="AA158" s="199"/>
      <c r="AB158" s="199"/>
      <c r="AC158" s="199"/>
      <c r="AD158" s="199"/>
      <c r="AE158" s="199"/>
      <c r="AF158" s="199"/>
      <c r="AG158" s="199"/>
      <c r="AH158" s="199"/>
      <c r="AI158" s="199"/>
      <c r="AJ158" s="199"/>
      <c r="AK158" s="199"/>
      <c r="AL158" s="199"/>
    </row>
    <row r="159" spans="1:38">
      <c r="A159" s="197"/>
      <c r="B159" s="153">
        <v>203</v>
      </c>
      <c r="C159" s="154" t="s">
        <v>387</v>
      </c>
      <c r="D159" s="144">
        <v>9</v>
      </c>
      <c r="E159" s="145">
        <v>80</v>
      </c>
      <c r="F159" s="145">
        <v>88</v>
      </c>
      <c r="G159" s="145">
        <v>56</v>
      </c>
      <c r="H159" s="145">
        <v>70</v>
      </c>
      <c r="I159" s="145">
        <v>79</v>
      </c>
      <c r="J159" s="145">
        <f t="shared" si="32"/>
        <v>373</v>
      </c>
      <c r="K159" s="145">
        <v>74</v>
      </c>
      <c r="L159" s="147" t="s">
        <v>114</v>
      </c>
      <c r="M159" s="147" t="s">
        <v>130</v>
      </c>
      <c r="N159" s="147" t="s">
        <v>114</v>
      </c>
      <c r="O159" s="147" t="s">
        <v>115</v>
      </c>
      <c r="P159" s="147" t="s">
        <v>124</v>
      </c>
      <c r="Q159" s="147" t="s">
        <v>124</v>
      </c>
      <c r="R159" s="148" t="s">
        <v>339</v>
      </c>
      <c r="S159" s="148" t="s">
        <v>118</v>
      </c>
      <c r="T159" s="148" t="s">
        <v>279</v>
      </c>
      <c r="U159" s="148" t="s">
        <v>148</v>
      </c>
      <c r="V159" s="145">
        <f t="shared" si="33"/>
        <v>168</v>
      </c>
      <c r="W159" s="149"/>
      <c r="X159" s="145">
        <f t="shared" si="34"/>
        <v>224</v>
      </c>
      <c r="Y159">
        <f ca="1" t="shared" si="35"/>
        <v>0.377254789446976</v>
      </c>
      <c r="Z159" s="199"/>
      <c r="AA159" s="199"/>
      <c r="AB159" s="199"/>
      <c r="AC159" s="199"/>
      <c r="AD159" s="199"/>
      <c r="AE159" s="199"/>
      <c r="AF159" s="199"/>
      <c r="AG159" s="199"/>
      <c r="AH159" s="199"/>
      <c r="AI159" s="199"/>
      <c r="AJ159" s="199"/>
      <c r="AK159" s="199"/>
      <c r="AL159" s="199"/>
    </row>
    <row r="160" spans="1:38">
      <c r="A160" s="197"/>
      <c r="B160" s="153">
        <v>534</v>
      </c>
      <c r="C160" s="154" t="s">
        <v>717</v>
      </c>
      <c r="D160" s="144">
        <v>5</v>
      </c>
      <c r="E160" s="145">
        <v>78</v>
      </c>
      <c r="F160" s="145">
        <v>80</v>
      </c>
      <c r="G160" s="145">
        <v>61</v>
      </c>
      <c r="H160" s="145">
        <v>53</v>
      </c>
      <c r="I160" s="145">
        <v>76</v>
      </c>
      <c r="J160" s="145">
        <f t="shared" si="32"/>
        <v>348</v>
      </c>
      <c r="K160" s="145">
        <v>47</v>
      </c>
      <c r="L160" s="147" t="s">
        <v>114</v>
      </c>
      <c r="M160" s="147" t="s">
        <v>114</v>
      </c>
      <c r="N160" s="147" t="s">
        <v>114</v>
      </c>
      <c r="O160" s="147" t="s">
        <v>130</v>
      </c>
      <c r="P160" s="147" t="s">
        <v>130</v>
      </c>
      <c r="Q160" s="147" t="s">
        <v>124</v>
      </c>
      <c r="R160" s="148" t="s">
        <v>155</v>
      </c>
      <c r="S160" s="148" t="s">
        <v>132</v>
      </c>
      <c r="T160" s="148" t="s">
        <v>119</v>
      </c>
      <c r="U160" s="148" t="s">
        <v>126</v>
      </c>
      <c r="V160" s="145">
        <f t="shared" si="33"/>
        <v>158</v>
      </c>
      <c r="W160" s="149"/>
      <c r="X160" s="145">
        <f t="shared" si="34"/>
        <v>219</v>
      </c>
      <c r="Y160">
        <f ca="1" t="shared" si="35"/>
        <v>0.36687332246311</v>
      </c>
      <c r="Z160" s="199"/>
      <c r="AA160" s="199"/>
      <c r="AB160" s="199"/>
      <c r="AC160" s="199"/>
      <c r="AD160" s="199"/>
      <c r="AE160" s="199"/>
      <c r="AF160" s="199"/>
      <c r="AG160" s="199"/>
      <c r="AH160" s="199"/>
      <c r="AI160" s="199"/>
      <c r="AJ160" s="199"/>
      <c r="AK160" s="199"/>
      <c r="AL160" s="199"/>
    </row>
    <row r="161" spans="1:38">
      <c r="A161" s="197"/>
      <c r="B161" s="153">
        <v>307</v>
      </c>
      <c r="C161" s="154" t="s">
        <v>555</v>
      </c>
      <c r="D161" s="144">
        <v>10</v>
      </c>
      <c r="E161" s="145">
        <v>71</v>
      </c>
      <c r="F161" s="145">
        <v>95</v>
      </c>
      <c r="G161" s="145">
        <v>35</v>
      </c>
      <c r="H161" s="145">
        <v>47</v>
      </c>
      <c r="I161" s="145">
        <v>53</v>
      </c>
      <c r="J161" s="145">
        <f t="shared" si="32"/>
        <v>301</v>
      </c>
      <c r="K161" s="145">
        <v>134</v>
      </c>
      <c r="L161" s="147" t="s">
        <v>130</v>
      </c>
      <c r="M161" s="147" t="s">
        <v>130</v>
      </c>
      <c r="N161" s="147" t="s">
        <v>130</v>
      </c>
      <c r="O161" s="147" t="s">
        <v>114</v>
      </c>
      <c r="P161" s="147" t="s">
        <v>124</v>
      </c>
      <c r="Q161" s="147" t="s">
        <v>124</v>
      </c>
      <c r="R161" s="148" t="s">
        <v>256</v>
      </c>
      <c r="S161" s="148" t="s">
        <v>119</v>
      </c>
      <c r="T161" s="148" t="s">
        <v>119</v>
      </c>
      <c r="U161" s="148" t="s">
        <v>250</v>
      </c>
      <c r="V161" s="145">
        <f t="shared" si="33"/>
        <v>166</v>
      </c>
      <c r="W161" s="149"/>
      <c r="X161" s="145">
        <f t="shared" si="34"/>
        <v>201</v>
      </c>
      <c r="Y161">
        <f ca="1" t="shared" si="35"/>
        <v>0.0423696411889016</v>
      </c>
      <c r="Z161" s="199"/>
      <c r="AA161" s="199"/>
      <c r="AB161" s="199"/>
      <c r="AC161" s="199"/>
      <c r="AD161" s="199"/>
      <c r="AE161" s="199"/>
      <c r="AF161" s="199"/>
      <c r="AG161" s="199"/>
      <c r="AH161" s="199"/>
      <c r="AI161" s="199"/>
      <c r="AJ161" s="199"/>
      <c r="AK161" s="199"/>
      <c r="AL161" s="199"/>
    </row>
    <row r="162" spans="1:38">
      <c r="A162" s="197"/>
      <c r="B162" s="153">
        <v>446</v>
      </c>
      <c r="C162" s="154" t="s">
        <v>331</v>
      </c>
      <c r="D162" s="144">
        <v>11</v>
      </c>
      <c r="E162" s="145">
        <v>40</v>
      </c>
      <c r="F162" s="145">
        <v>48</v>
      </c>
      <c r="G162" s="145">
        <v>84</v>
      </c>
      <c r="H162" s="145">
        <v>97</v>
      </c>
      <c r="I162" s="145">
        <v>86</v>
      </c>
      <c r="J162" s="145">
        <f t="shared" si="32"/>
        <v>355</v>
      </c>
      <c r="K162" s="145">
        <v>14</v>
      </c>
      <c r="L162" s="147" t="s">
        <v>124</v>
      </c>
      <c r="M162" s="147" t="s">
        <v>124</v>
      </c>
      <c r="N162" s="147" t="s">
        <v>124</v>
      </c>
      <c r="O162" s="147" t="s">
        <v>124</v>
      </c>
      <c r="P162" s="147" t="s">
        <v>124</v>
      </c>
      <c r="Q162" s="147" t="s">
        <v>124</v>
      </c>
      <c r="R162" s="148" t="s">
        <v>302</v>
      </c>
      <c r="S162" s="148" t="s">
        <v>118</v>
      </c>
      <c r="T162" s="148" t="s">
        <v>119</v>
      </c>
      <c r="U162" s="148" t="s">
        <v>148</v>
      </c>
      <c r="V162" s="145">
        <f t="shared" si="33"/>
        <v>88</v>
      </c>
      <c r="W162" s="149"/>
      <c r="X162" s="145">
        <f t="shared" si="34"/>
        <v>172</v>
      </c>
      <c r="Y162">
        <f ca="1" t="shared" si="35"/>
        <v>0.694433585656657</v>
      </c>
      <c r="Z162" s="199"/>
      <c r="AA162" s="199"/>
      <c r="AB162" s="199"/>
      <c r="AC162" s="199"/>
      <c r="AD162" s="199"/>
      <c r="AE162" s="199"/>
      <c r="AF162" s="199"/>
      <c r="AG162" s="199"/>
      <c r="AH162" s="199"/>
      <c r="AI162" s="199"/>
      <c r="AJ162" s="199"/>
      <c r="AK162" s="199"/>
      <c r="AL162" s="199"/>
    </row>
    <row r="163" spans="1:38">
      <c r="A163" s="197"/>
      <c r="B163" s="153">
        <v>646</v>
      </c>
      <c r="C163" s="154" t="s">
        <v>720</v>
      </c>
      <c r="D163" s="144">
        <v>7</v>
      </c>
      <c r="E163" s="145">
        <v>87</v>
      </c>
      <c r="F163" s="145">
        <v>68</v>
      </c>
      <c r="G163" s="145">
        <v>81</v>
      </c>
      <c r="H163" s="145">
        <v>71</v>
      </c>
      <c r="I163" s="145">
        <v>76</v>
      </c>
      <c r="J163" s="145">
        <f t="shared" si="32"/>
        <v>383</v>
      </c>
      <c r="K163" s="145">
        <v>62</v>
      </c>
      <c r="L163" s="147" t="s">
        <v>130</v>
      </c>
      <c r="M163" s="147" t="s">
        <v>115</v>
      </c>
      <c r="N163" s="147" t="s">
        <v>114</v>
      </c>
      <c r="O163" s="147" t="s">
        <v>115</v>
      </c>
      <c r="P163" s="147" t="s">
        <v>130</v>
      </c>
      <c r="Q163" s="147" t="s">
        <v>124</v>
      </c>
      <c r="R163" s="148" t="s">
        <v>721</v>
      </c>
      <c r="S163" s="148" t="s">
        <v>132</v>
      </c>
      <c r="T163" s="148" t="s">
        <v>119</v>
      </c>
      <c r="U163" s="148" t="s">
        <v>126</v>
      </c>
      <c r="V163" s="145">
        <f t="shared" si="33"/>
        <v>155</v>
      </c>
      <c r="W163" s="149"/>
      <c r="X163" s="145">
        <f t="shared" si="34"/>
        <v>236</v>
      </c>
      <c r="Y163">
        <f ca="1" t="shared" si="35"/>
        <v>0.20666882998741</v>
      </c>
      <c r="Z163" s="199"/>
      <c r="AA163" s="199"/>
      <c r="AB163" s="199"/>
      <c r="AC163" s="199"/>
      <c r="AD163" s="199"/>
      <c r="AE163" s="199"/>
      <c r="AF163" s="199"/>
      <c r="AG163" s="199"/>
      <c r="AH163" s="199"/>
      <c r="AI163" s="199"/>
      <c r="AJ163" s="199"/>
      <c r="AK163" s="199"/>
      <c r="AL163" s="199"/>
    </row>
    <row r="164" spans="1:38">
      <c r="A164" s="197"/>
      <c r="B164" s="153">
        <v>608</v>
      </c>
      <c r="C164" s="154" t="s">
        <v>191</v>
      </c>
      <c r="D164" s="144">
        <v>6</v>
      </c>
      <c r="E164" s="145">
        <v>82</v>
      </c>
      <c r="F164" s="145">
        <v>76</v>
      </c>
      <c r="G164" s="145">
        <v>44</v>
      </c>
      <c r="H164" s="145">
        <v>49</v>
      </c>
      <c r="I164" s="145">
        <v>78</v>
      </c>
      <c r="J164" s="145">
        <f t="shared" si="32"/>
        <v>329</v>
      </c>
      <c r="K164" s="145">
        <v>51</v>
      </c>
      <c r="L164" s="147" t="s">
        <v>130</v>
      </c>
      <c r="M164" s="147" t="s">
        <v>114</v>
      </c>
      <c r="N164" s="147" t="s">
        <v>114</v>
      </c>
      <c r="O164" s="147" t="s">
        <v>124</v>
      </c>
      <c r="P164" s="147" t="s">
        <v>115</v>
      </c>
      <c r="Q164" s="147" t="s">
        <v>130</v>
      </c>
      <c r="R164" s="148" t="s">
        <v>192</v>
      </c>
      <c r="S164" s="148" t="s">
        <v>132</v>
      </c>
      <c r="T164" s="148" t="s">
        <v>119</v>
      </c>
      <c r="U164" s="148" t="s">
        <v>126</v>
      </c>
      <c r="V164" s="145">
        <f t="shared" si="33"/>
        <v>158</v>
      </c>
      <c r="W164" s="149"/>
      <c r="X164" s="145">
        <f t="shared" si="34"/>
        <v>202</v>
      </c>
      <c r="Y164">
        <f ca="1" t="shared" si="35"/>
        <v>0.176844202732262</v>
      </c>
      <c r="Z164" s="199"/>
      <c r="AA164" s="199"/>
      <c r="AB164" s="199"/>
      <c r="AC164" s="199"/>
      <c r="AD164" s="199"/>
      <c r="AE164" s="199"/>
      <c r="AF164" s="199"/>
      <c r="AG164" s="199"/>
      <c r="AH164" s="199"/>
      <c r="AI164" s="199"/>
      <c r="AJ164" s="199"/>
      <c r="AK164" s="199"/>
      <c r="AL164" s="199"/>
    </row>
    <row r="165" spans="1:38">
      <c r="A165" s="197" t="s">
        <v>1385</v>
      </c>
      <c r="B165" s="153">
        <v>595</v>
      </c>
      <c r="C165" s="154" t="s">
        <v>241</v>
      </c>
      <c r="D165" s="144">
        <v>13</v>
      </c>
      <c r="E165" s="145">
        <v>87</v>
      </c>
      <c r="F165" s="145">
        <v>77</v>
      </c>
      <c r="G165" s="145">
        <v>79</v>
      </c>
      <c r="H165" s="145">
        <v>53</v>
      </c>
      <c r="I165" s="145">
        <v>61</v>
      </c>
      <c r="J165" s="145">
        <f t="shared" si="32"/>
        <v>357</v>
      </c>
      <c r="K165" s="145">
        <v>110</v>
      </c>
      <c r="L165" s="147" t="s">
        <v>114</v>
      </c>
      <c r="M165" s="147" t="s">
        <v>115</v>
      </c>
      <c r="N165" s="147" t="s">
        <v>130</v>
      </c>
      <c r="O165" s="147" t="s">
        <v>124</v>
      </c>
      <c r="P165" s="147" t="s">
        <v>115</v>
      </c>
      <c r="Q165" s="147" t="s">
        <v>114</v>
      </c>
      <c r="R165" s="158" t="s">
        <v>157</v>
      </c>
      <c r="S165" s="148" t="s">
        <v>132</v>
      </c>
      <c r="T165" s="148" t="s">
        <v>119</v>
      </c>
      <c r="U165" s="148" t="s">
        <v>120</v>
      </c>
      <c r="V165" s="145">
        <f t="shared" si="33"/>
        <v>164</v>
      </c>
      <c r="W165" s="148" t="s">
        <v>158</v>
      </c>
      <c r="X165" s="145">
        <f t="shared" si="34"/>
        <v>243</v>
      </c>
      <c r="Y165">
        <f ca="1" t="shared" si="35"/>
        <v>0.842616226814968</v>
      </c>
      <c r="Z165" s="199"/>
      <c r="AA165" s="199"/>
      <c r="AB165" s="199"/>
      <c r="AC165" s="199"/>
      <c r="AD165" s="199"/>
      <c r="AE165" s="199"/>
      <c r="AF165" s="199"/>
      <c r="AG165" s="199"/>
      <c r="AH165" s="199"/>
      <c r="AI165" s="199"/>
      <c r="AJ165" s="199"/>
      <c r="AK165" s="199"/>
      <c r="AL165" s="199"/>
    </row>
    <row r="166" spans="1:38">
      <c r="A166" s="198"/>
      <c r="B166" s="153">
        <v>187</v>
      </c>
      <c r="C166" s="154" t="s">
        <v>227</v>
      </c>
      <c r="D166" s="144">
        <v>15</v>
      </c>
      <c r="E166" s="145">
        <v>87</v>
      </c>
      <c r="F166" s="145">
        <v>84</v>
      </c>
      <c r="G166" s="145">
        <v>64</v>
      </c>
      <c r="H166" s="145">
        <v>61</v>
      </c>
      <c r="I166" s="145">
        <v>65</v>
      </c>
      <c r="J166" s="145">
        <f t="shared" si="32"/>
        <v>361</v>
      </c>
      <c r="K166" s="145">
        <v>72</v>
      </c>
      <c r="L166" s="147" t="s">
        <v>114</v>
      </c>
      <c r="M166" s="147" t="s">
        <v>130</v>
      </c>
      <c r="N166" s="147" t="s">
        <v>114</v>
      </c>
      <c r="O166" s="147" t="s">
        <v>115</v>
      </c>
      <c r="P166" s="147" t="s">
        <v>115</v>
      </c>
      <c r="Q166" s="147" t="s">
        <v>124</v>
      </c>
      <c r="R166" s="148" t="s">
        <v>228</v>
      </c>
      <c r="S166" s="148" t="s">
        <v>132</v>
      </c>
      <c r="T166" s="148" t="s">
        <v>119</v>
      </c>
      <c r="U166" s="148" t="s">
        <v>126</v>
      </c>
      <c r="V166" s="145">
        <f t="shared" si="33"/>
        <v>171</v>
      </c>
      <c r="W166" s="149"/>
      <c r="X166" s="145">
        <f t="shared" si="34"/>
        <v>235</v>
      </c>
      <c r="Y166">
        <f ca="1" t="shared" si="35"/>
        <v>0.339553507332914</v>
      </c>
      <c r="Z166" s="199"/>
      <c r="AA166" s="199"/>
      <c r="AB166" s="199"/>
      <c r="AC166" s="199"/>
      <c r="AD166" s="199"/>
      <c r="AE166" s="199"/>
      <c r="AF166" s="199"/>
      <c r="AG166" s="199"/>
      <c r="AH166" s="199"/>
      <c r="AI166" s="199"/>
      <c r="AJ166" s="199"/>
      <c r="AK166" s="199"/>
      <c r="AL166" s="199"/>
    </row>
    <row r="167" spans="1:38">
      <c r="A167" s="198"/>
      <c r="B167" s="153">
        <v>172</v>
      </c>
      <c r="C167" s="154" t="s">
        <v>345</v>
      </c>
      <c r="D167" s="144">
        <v>2</v>
      </c>
      <c r="E167" s="145">
        <v>44</v>
      </c>
      <c r="F167" s="145">
        <v>71</v>
      </c>
      <c r="G167" s="145">
        <v>64</v>
      </c>
      <c r="H167" s="145">
        <v>73</v>
      </c>
      <c r="I167" s="145">
        <v>85</v>
      </c>
      <c r="J167" s="145">
        <f t="shared" si="32"/>
        <v>337</v>
      </c>
      <c r="K167" s="145">
        <v>74</v>
      </c>
      <c r="L167" s="147" t="s">
        <v>124</v>
      </c>
      <c r="M167" s="147" t="s">
        <v>124</v>
      </c>
      <c r="N167" s="147" t="s">
        <v>124</v>
      </c>
      <c r="O167" s="147" t="s">
        <v>130</v>
      </c>
      <c r="P167" s="147" t="s">
        <v>124</v>
      </c>
      <c r="Q167" s="147" t="s">
        <v>124</v>
      </c>
      <c r="R167" s="148" t="s">
        <v>321</v>
      </c>
      <c r="S167" s="148" t="s">
        <v>118</v>
      </c>
      <c r="T167" s="148" t="s">
        <v>133</v>
      </c>
      <c r="U167" s="148" t="s">
        <v>126</v>
      </c>
      <c r="V167" s="145">
        <f t="shared" si="33"/>
        <v>115</v>
      </c>
      <c r="W167" s="149"/>
      <c r="X167" s="145">
        <f t="shared" si="34"/>
        <v>179</v>
      </c>
      <c r="Y167">
        <f ca="1" t="shared" si="35"/>
        <v>0.518405434468042</v>
      </c>
      <c r="Z167" s="199"/>
      <c r="AA167" s="199"/>
      <c r="AB167" s="199"/>
      <c r="AC167" s="199"/>
      <c r="AD167" s="199"/>
      <c r="AE167" s="199"/>
      <c r="AF167" s="199"/>
      <c r="AG167" s="199"/>
      <c r="AH167" s="199"/>
      <c r="AI167" s="199"/>
      <c r="AJ167" s="199"/>
      <c r="AK167" s="199"/>
      <c r="AL167" s="199"/>
    </row>
    <row r="168" spans="1:38">
      <c r="A168" s="198"/>
      <c r="B168" s="153">
        <v>625</v>
      </c>
      <c r="C168" s="154" t="s">
        <v>852</v>
      </c>
      <c r="D168" s="144">
        <v>6</v>
      </c>
      <c r="E168" s="145">
        <v>39</v>
      </c>
      <c r="F168" s="145">
        <v>49</v>
      </c>
      <c r="G168" s="145">
        <v>98</v>
      </c>
      <c r="H168" s="145">
        <v>88</v>
      </c>
      <c r="I168" s="145">
        <v>49</v>
      </c>
      <c r="J168" s="145">
        <f t="shared" si="32"/>
        <v>323</v>
      </c>
      <c r="K168" s="145">
        <v>60</v>
      </c>
      <c r="L168" s="147" t="s">
        <v>124</v>
      </c>
      <c r="M168" s="147" t="s">
        <v>124</v>
      </c>
      <c r="N168" s="147" t="s">
        <v>124</v>
      </c>
      <c r="O168" s="147" t="s">
        <v>124</v>
      </c>
      <c r="P168" s="147" t="s">
        <v>130</v>
      </c>
      <c r="Q168" s="147" t="s">
        <v>124</v>
      </c>
      <c r="R168" s="148" t="s">
        <v>503</v>
      </c>
      <c r="S168" s="148" t="s">
        <v>119</v>
      </c>
      <c r="T168" s="148" t="s">
        <v>119</v>
      </c>
      <c r="U168" s="148" t="s">
        <v>126</v>
      </c>
      <c r="V168" s="145">
        <f t="shared" si="33"/>
        <v>88</v>
      </c>
      <c r="W168" s="149"/>
      <c r="X168" s="145">
        <f t="shared" si="34"/>
        <v>186</v>
      </c>
      <c r="Y168">
        <f ca="1" t="shared" si="35"/>
        <v>0.919166617296834</v>
      </c>
      <c r="Z168" s="199"/>
      <c r="AA168" s="199"/>
      <c r="AB168" s="199"/>
      <c r="AC168" s="199"/>
      <c r="AD168" s="199"/>
      <c r="AE168" s="199"/>
      <c r="AF168" s="199"/>
      <c r="AG168" s="199"/>
      <c r="AH168" s="199"/>
      <c r="AI168" s="199"/>
      <c r="AJ168" s="199"/>
      <c r="AK168" s="199"/>
      <c r="AL168" s="199"/>
    </row>
    <row r="169" spans="1:38">
      <c r="A169" s="198"/>
      <c r="B169" s="153">
        <v>550</v>
      </c>
      <c r="C169" s="154" t="s">
        <v>979</v>
      </c>
      <c r="D169" s="144">
        <v>3</v>
      </c>
      <c r="E169" s="145">
        <v>76</v>
      </c>
      <c r="F169" s="145">
        <v>75</v>
      </c>
      <c r="G169" s="145">
        <v>79</v>
      </c>
      <c r="H169" s="145">
        <v>60</v>
      </c>
      <c r="I169" s="145">
        <v>70</v>
      </c>
      <c r="J169" s="145">
        <f t="shared" si="32"/>
        <v>360</v>
      </c>
      <c r="K169" s="145">
        <v>134</v>
      </c>
      <c r="L169" s="147" t="s">
        <v>130</v>
      </c>
      <c r="M169" s="147" t="s">
        <v>114</v>
      </c>
      <c r="N169" s="147" t="s">
        <v>130</v>
      </c>
      <c r="O169" s="147" t="s">
        <v>124</v>
      </c>
      <c r="P169" s="147" t="s">
        <v>114</v>
      </c>
      <c r="Q169" s="147" t="s">
        <v>114</v>
      </c>
      <c r="R169" s="148" t="s">
        <v>503</v>
      </c>
      <c r="S169" s="148" t="s">
        <v>132</v>
      </c>
      <c r="T169" s="148" t="s">
        <v>119</v>
      </c>
      <c r="U169" s="148" t="s">
        <v>148</v>
      </c>
      <c r="V169" s="145">
        <f t="shared" si="33"/>
        <v>151</v>
      </c>
      <c r="W169" s="149"/>
      <c r="X169" s="145">
        <f t="shared" si="34"/>
        <v>230</v>
      </c>
      <c r="Y169">
        <f ca="1" t="shared" si="35"/>
        <v>0.0239895559372736</v>
      </c>
      <c r="Z169" s="199"/>
      <c r="AA169" s="199"/>
      <c r="AB169" s="199"/>
      <c r="AC169" s="199"/>
      <c r="AD169" s="199"/>
      <c r="AE169" s="199"/>
      <c r="AF169" s="199"/>
      <c r="AG169" s="199"/>
      <c r="AH169" s="199"/>
      <c r="AI169" s="199"/>
      <c r="AJ169" s="199"/>
      <c r="AK169" s="199"/>
      <c r="AL169" s="199"/>
    </row>
    <row r="170" spans="1:38">
      <c r="A170" s="198"/>
      <c r="B170" s="153">
        <v>516</v>
      </c>
      <c r="C170" s="154" t="s">
        <v>259</v>
      </c>
      <c r="D170" s="144">
        <v>9</v>
      </c>
      <c r="E170" s="145">
        <v>85</v>
      </c>
      <c r="F170" s="145">
        <v>74</v>
      </c>
      <c r="G170" s="145">
        <v>65</v>
      </c>
      <c r="H170" s="145">
        <v>70</v>
      </c>
      <c r="I170" s="145">
        <v>55</v>
      </c>
      <c r="J170" s="145">
        <f t="shared" si="32"/>
        <v>349</v>
      </c>
      <c r="K170" s="145">
        <v>49</v>
      </c>
      <c r="L170" s="147" t="s">
        <v>115</v>
      </c>
      <c r="M170" s="147" t="s">
        <v>130</v>
      </c>
      <c r="N170" s="147" t="s">
        <v>114</v>
      </c>
      <c r="O170" s="147" t="s">
        <v>114</v>
      </c>
      <c r="P170" s="147" t="s">
        <v>115</v>
      </c>
      <c r="Q170" s="147" t="s">
        <v>130</v>
      </c>
      <c r="R170" s="148" t="s">
        <v>260</v>
      </c>
      <c r="S170" s="148" t="s">
        <v>132</v>
      </c>
      <c r="T170" s="148" t="s">
        <v>119</v>
      </c>
      <c r="U170" s="148" t="s">
        <v>120</v>
      </c>
      <c r="V170" s="145">
        <f t="shared" si="33"/>
        <v>159</v>
      </c>
      <c r="W170" s="149"/>
      <c r="X170" s="145">
        <f t="shared" si="34"/>
        <v>224</v>
      </c>
      <c r="Y170">
        <f ca="1" t="shared" si="35"/>
        <v>0.553457966069633</v>
      </c>
      <c r="Z170" s="199"/>
      <c r="AA170" s="199"/>
      <c r="AB170" s="199"/>
      <c r="AC170" s="199"/>
      <c r="AD170" s="199"/>
      <c r="AE170" s="199"/>
      <c r="AF170" s="199"/>
      <c r="AG170" s="199"/>
      <c r="AH170" s="199"/>
      <c r="AI170" s="199"/>
      <c r="AJ170" s="199"/>
      <c r="AK170" s="199"/>
      <c r="AL170" s="199"/>
    </row>
    <row r="171" spans="1:38">
      <c r="A171" s="198"/>
      <c r="B171" s="153">
        <v>102</v>
      </c>
      <c r="C171" s="154" t="s">
        <v>806</v>
      </c>
      <c r="D171" s="144">
        <v>7</v>
      </c>
      <c r="E171" s="145">
        <v>79</v>
      </c>
      <c r="F171" s="145">
        <v>77</v>
      </c>
      <c r="G171" s="145">
        <v>48</v>
      </c>
      <c r="H171" s="145">
        <v>45</v>
      </c>
      <c r="I171" s="145">
        <v>62</v>
      </c>
      <c r="J171" s="145">
        <f t="shared" si="32"/>
        <v>311</v>
      </c>
      <c r="K171" s="145">
        <v>100</v>
      </c>
      <c r="L171" s="147" t="s">
        <v>115</v>
      </c>
      <c r="M171" s="147" t="s">
        <v>114</v>
      </c>
      <c r="N171" s="147" t="s">
        <v>114</v>
      </c>
      <c r="O171" s="147" t="s">
        <v>130</v>
      </c>
      <c r="P171" s="147" t="s">
        <v>130</v>
      </c>
      <c r="Q171" s="147" t="s">
        <v>114</v>
      </c>
      <c r="R171" s="148" t="s">
        <v>472</v>
      </c>
      <c r="S171" s="148" t="s">
        <v>132</v>
      </c>
      <c r="T171" s="148" t="s">
        <v>119</v>
      </c>
      <c r="U171" s="148" t="s">
        <v>250</v>
      </c>
      <c r="V171" s="145">
        <f t="shared" si="33"/>
        <v>156</v>
      </c>
      <c r="W171" s="149"/>
      <c r="X171" s="145">
        <f t="shared" si="34"/>
        <v>204</v>
      </c>
      <c r="Y171">
        <f ca="1" t="shared" si="35"/>
        <v>0.993124440240025</v>
      </c>
      <c r="Z171" s="199"/>
      <c r="AA171" s="199"/>
      <c r="AB171" s="199"/>
      <c r="AC171" s="199"/>
      <c r="AD171" s="199"/>
      <c r="AE171" s="199"/>
      <c r="AF171" s="199"/>
      <c r="AG171" s="199"/>
      <c r="AH171" s="199"/>
      <c r="AI171" s="199"/>
      <c r="AJ171" s="199"/>
      <c r="AK171" s="199"/>
      <c r="AL171" s="199"/>
    </row>
    <row r="172" spans="1:38">
      <c r="A172" s="198"/>
      <c r="B172" s="153">
        <v>685</v>
      </c>
      <c r="C172" s="154" t="s">
        <v>819</v>
      </c>
      <c r="D172" s="144">
        <v>9</v>
      </c>
      <c r="E172" s="145">
        <v>78</v>
      </c>
      <c r="F172" s="145">
        <v>81</v>
      </c>
      <c r="G172" s="145">
        <v>47</v>
      </c>
      <c r="H172" s="145">
        <v>48</v>
      </c>
      <c r="I172" s="145">
        <v>59</v>
      </c>
      <c r="J172" s="145">
        <f t="shared" si="32"/>
        <v>313</v>
      </c>
      <c r="K172" s="145">
        <v>92</v>
      </c>
      <c r="L172" s="147" t="s">
        <v>114</v>
      </c>
      <c r="M172" s="147" t="s">
        <v>130</v>
      </c>
      <c r="N172" s="147" t="s">
        <v>130</v>
      </c>
      <c r="O172" s="147" t="s">
        <v>115</v>
      </c>
      <c r="P172" s="147" t="s">
        <v>130</v>
      </c>
      <c r="Q172" s="147" t="s">
        <v>124</v>
      </c>
      <c r="R172" s="148" t="s">
        <v>220</v>
      </c>
      <c r="S172" s="148" t="s">
        <v>132</v>
      </c>
      <c r="T172" s="148" t="s">
        <v>119</v>
      </c>
      <c r="U172" s="148" t="s">
        <v>126</v>
      </c>
      <c r="V172" s="145">
        <f t="shared" si="33"/>
        <v>159</v>
      </c>
      <c r="W172" s="149"/>
      <c r="X172" s="145">
        <f t="shared" si="34"/>
        <v>206</v>
      </c>
      <c r="Y172">
        <f ca="1" t="shared" si="35"/>
        <v>0.545042760479052</v>
      </c>
      <c r="Z172" s="199"/>
      <c r="AA172" s="199"/>
      <c r="AB172" s="199"/>
      <c r="AC172" s="199"/>
      <c r="AD172" s="199"/>
      <c r="AE172" s="199"/>
      <c r="AF172" s="199"/>
      <c r="AG172" s="199"/>
      <c r="AH172" s="199"/>
      <c r="AI172" s="199"/>
      <c r="AJ172" s="199"/>
      <c r="AK172" s="199"/>
      <c r="AL172" s="199"/>
    </row>
    <row r="173" spans="1:38">
      <c r="A173" s="198"/>
      <c r="B173" s="153">
        <v>7</v>
      </c>
      <c r="C173" s="154" t="s">
        <v>639</v>
      </c>
      <c r="D173" s="144">
        <v>6</v>
      </c>
      <c r="E173" s="145">
        <v>54</v>
      </c>
      <c r="F173" s="145">
        <v>68</v>
      </c>
      <c r="G173" s="145">
        <v>76</v>
      </c>
      <c r="H173" s="145">
        <v>88</v>
      </c>
      <c r="I173" s="145">
        <v>90</v>
      </c>
      <c r="J173" s="145">
        <f t="shared" si="32"/>
        <v>376</v>
      </c>
      <c r="K173" s="145">
        <v>67</v>
      </c>
      <c r="L173" s="147" t="s">
        <v>124</v>
      </c>
      <c r="M173" s="147" t="s">
        <v>130</v>
      </c>
      <c r="N173" s="147" t="s">
        <v>124</v>
      </c>
      <c r="O173" s="147" t="s">
        <v>124</v>
      </c>
      <c r="P173" s="147" t="s">
        <v>130</v>
      </c>
      <c r="Q173" s="147" t="s">
        <v>124</v>
      </c>
      <c r="R173" s="148" t="s">
        <v>474</v>
      </c>
      <c r="S173" s="148" t="s">
        <v>119</v>
      </c>
      <c r="T173" s="148" t="s">
        <v>136</v>
      </c>
      <c r="U173" s="148" t="s">
        <v>126</v>
      </c>
      <c r="V173" s="145">
        <f t="shared" si="33"/>
        <v>122</v>
      </c>
      <c r="W173" s="149"/>
      <c r="X173" s="145">
        <f t="shared" si="34"/>
        <v>198</v>
      </c>
      <c r="Y173">
        <f ca="1" t="shared" si="35"/>
        <v>0.854325654045486</v>
      </c>
      <c r="Z173" s="199"/>
      <c r="AA173" s="199"/>
      <c r="AB173" s="199"/>
      <c r="AC173" s="199"/>
      <c r="AD173" s="199"/>
      <c r="AE173" s="199"/>
      <c r="AF173" s="199"/>
      <c r="AG173" s="199"/>
      <c r="AH173" s="199"/>
      <c r="AI173" s="199"/>
      <c r="AJ173" s="199"/>
      <c r="AK173" s="199"/>
      <c r="AL173" s="199"/>
    </row>
    <row r="174" spans="1:38">
      <c r="A174" s="198"/>
      <c r="B174" s="153">
        <v>590</v>
      </c>
      <c r="C174" s="154" t="s">
        <v>867</v>
      </c>
      <c r="D174" s="144">
        <v>2</v>
      </c>
      <c r="E174" s="145">
        <v>62</v>
      </c>
      <c r="F174" s="145">
        <v>70</v>
      </c>
      <c r="G174" s="145">
        <v>81</v>
      </c>
      <c r="H174" s="145">
        <v>66</v>
      </c>
      <c r="I174" s="145">
        <v>39</v>
      </c>
      <c r="J174" s="145">
        <f t="shared" si="32"/>
        <v>318</v>
      </c>
      <c r="K174" s="145">
        <v>52</v>
      </c>
      <c r="L174" s="147" t="s">
        <v>124</v>
      </c>
      <c r="M174" s="147" t="s">
        <v>124</v>
      </c>
      <c r="N174" s="147" t="s">
        <v>130</v>
      </c>
      <c r="O174" s="147" t="s">
        <v>130</v>
      </c>
      <c r="P174" s="147" t="s">
        <v>130</v>
      </c>
      <c r="Q174" s="147" t="s">
        <v>130</v>
      </c>
      <c r="R174" s="148" t="s">
        <v>337</v>
      </c>
      <c r="S174" s="148" t="s">
        <v>119</v>
      </c>
      <c r="T174" s="148" t="s">
        <v>136</v>
      </c>
      <c r="U174" s="148" t="s">
        <v>250</v>
      </c>
      <c r="V174" s="145">
        <f t="shared" si="33"/>
        <v>132</v>
      </c>
      <c r="W174" s="149"/>
      <c r="X174" s="145">
        <f t="shared" si="34"/>
        <v>213</v>
      </c>
      <c r="Y174">
        <f ca="1" t="shared" si="35"/>
        <v>0.21314581478891</v>
      </c>
      <c r="Z174" s="199"/>
      <c r="AA174" s="199"/>
      <c r="AB174" s="199"/>
      <c r="AC174" s="199"/>
      <c r="AD174" s="199"/>
      <c r="AE174" s="199"/>
      <c r="AF174" s="199"/>
      <c r="AG174" s="199"/>
      <c r="AH174" s="199"/>
      <c r="AI174" s="199"/>
      <c r="AJ174" s="199"/>
      <c r="AK174" s="199"/>
      <c r="AL174" s="199"/>
    </row>
    <row r="175" spans="1:38">
      <c r="A175" s="198"/>
      <c r="B175" s="153">
        <v>397</v>
      </c>
      <c r="C175" s="154" t="s">
        <v>315</v>
      </c>
      <c r="D175" s="144">
        <v>5</v>
      </c>
      <c r="E175" s="145">
        <v>47</v>
      </c>
      <c r="F175" s="145">
        <v>37</v>
      </c>
      <c r="G175" s="145">
        <v>82</v>
      </c>
      <c r="H175" s="145">
        <v>90</v>
      </c>
      <c r="I175" s="145">
        <v>89</v>
      </c>
      <c r="J175" s="145">
        <f t="shared" si="32"/>
        <v>345</v>
      </c>
      <c r="K175" s="145">
        <v>144</v>
      </c>
      <c r="L175" s="147" t="s">
        <v>124</v>
      </c>
      <c r="M175" s="147" t="s">
        <v>124</v>
      </c>
      <c r="N175" s="147" t="s">
        <v>124</v>
      </c>
      <c r="O175" s="147" t="s">
        <v>124</v>
      </c>
      <c r="P175" s="147" t="s">
        <v>124</v>
      </c>
      <c r="Q175" s="147" t="s">
        <v>124</v>
      </c>
      <c r="R175" s="148" t="s">
        <v>316</v>
      </c>
      <c r="S175" s="148" t="s">
        <v>132</v>
      </c>
      <c r="T175" s="148" t="s">
        <v>119</v>
      </c>
      <c r="U175" s="148" t="s">
        <v>148</v>
      </c>
      <c r="V175" s="145">
        <f t="shared" si="33"/>
        <v>84</v>
      </c>
      <c r="W175" s="149"/>
      <c r="X175" s="145">
        <f t="shared" si="34"/>
        <v>166</v>
      </c>
      <c r="Y175">
        <f ca="1" t="shared" si="35"/>
        <v>0.990381173475794</v>
      </c>
      <c r="Z175" s="199"/>
      <c r="AA175" s="199"/>
      <c r="AB175" s="199"/>
      <c r="AC175" s="199"/>
      <c r="AD175" s="199"/>
      <c r="AE175" s="199"/>
      <c r="AF175" s="199"/>
      <c r="AG175" s="199"/>
      <c r="AH175" s="199"/>
      <c r="AI175" s="199"/>
      <c r="AJ175" s="199"/>
      <c r="AK175" s="199"/>
      <c r="AL175" s="199"/>
    </row>
    <row r="176" spans="1:38">
      <c r="A176" s="198"/>
      <c r="B176" s="153">
        <v>30</v>
      </c>
      <c r="C176" s="154" t="s">
        <v>449</v>
      </c>
      <c r="D176" s="144">
        <v>1</v>
      </c>
      <c r="E176" s="145">
        <v>34</v>
      </c>
      <c r="F176" s="145">
        <v>40</v>
      </c>
      <c r="G176" s="145">
        <v>85</v>
      </c>
      <c r="H176" s="145">
        <v>72</v>
      </c>
      <c r="I176" s="145">
        <v>71</v>
      </c>
      <c r="J176" s="145">
        <f t="shared" si="32"/>
        <v>302</v>
      </c>
      <c r="K176" s="145">
        <v>21</v>
      </c>
      <c r="L176" s="147" t="s">
        <v>124</v>
      </c>
      <c r="M176" s="147" t="s">
        <v>124</v>
      </c>
      <c r="N176" s="147" t="s">
        <v>124</v>
      </c>
      <c r="O176" s="147" t="s">
        <v>124</v>
      </c>
      <c r="P176" s="147" t="s">
        <v>124</v>
      </c>
      <c r="Q176" s="147" t="s">
        <v>124</v>
      </c>
      <c r="R176" s="148" t="s">
        <v>333</v>
      </c>
      <c r="S176" s="148" t="s">
        <v>132</v>
      </c>
      <c r="T176" s="148" t="s">
        <v>279</v>
      </c>
      <c r="U176" s="148" t="s">
        <v>126</v>
      </c>
      <c r="V176" s="145">
        <f t="shared" si="33"/>
        <v>74</v>
      </c>
      <c r="W176" s="149"/>
      <c r="X176" s="145">
        <f t="shared" si="34"/>
        <v>159</v>
      </c>
      <c r="Y176">
        <f ca="1" t="shared" si="35"/>
        <v>0.135857921758683</v>
      </c>
      <c r="Z176" s="199"/>
      <c r="AA176" s="199"/>
      <c r="AB176" s="199"/>
      <c r="AC176" s="199"/>
      <c r="AD176" s="199"/>
      <c r="AE176" s="199"/>
      <c r="AF176" s="199"/>
      <c r="AG176" s="199"/>
      <c r="AH176" s="199"/>
      <c r="AI176" s="199"/>
      <c r="AJ176" s="199"/>
      <c r="AK176" s="199"/>
      <c r="AL176" s="199"/>
    </row>
    <row r="177" spans="1:38">
      <c r="A177" s="198"/>
      <c r="B177" s="153">
        <v>624</v>
      </c>
      <c r="C177" s="154" t="s">
        <v>735</v>
      </c>
      <c r="D177" s="144">
        <v>3</v>
      </c>
      <c r="E177" s="145">
        <v>68</v>
      </c>
      <c r="F177" s="145">
        <v>69</v>
      </c>
      <c r="G177" s="145">
        <v>75</v>
      </c>
      <c r="H177" s="145">
        <v>84</v>
      </c>
      <c r="I177" s="145">
        <v>74</v>
      </c>
      <c r="J177" s="145">
        <f t="shared" si="32"/>
        <v>370</v>
      </c>
      <c r="K177" s="145">
        <v>60</v>
      </c>
      <c r="L177" s="147" t="s">
        <v>130</v>
      </c>
      <c r="M177" s="147" t="s">
        <v>130</v>
      </c>
      <c r="N177" s="147" t="s">
        <v>130</v>
      </c>
      <c r="O177" s="147" t="s">
        <v>130</v>
      </c>
      <c r="P177" s="147" t="s">
        <v>130</v>
      </c>
      <c r="Q177" s="147" t="s">
        <v>130</v>
      </c>
      <c r="R177" s="148" t="s">
        <v>636</v>
      </c>
      <c r="S177" s="148" t="s">
        <v>119</v>
      </c>
      <c r="T177" s="148" t="s">
        <v>136</v>
      </c>
      <c r="U177" s="148" t="s">
        <v>120</v>
      </c>
      <c r="V177" s="145">
        <f t="shared" si="33"/>
        <v>137</v>
      </c>
      <c r="W177" s="149"/>
      <c r="X177" s="145">
        <f t="shared" si="34"/>
        <v>212</v>
      </c>
      <c r="Y177">
        <f ca="1" t="shared" si="35"/>
        <v>0.941014292843056</v>
      </c>
      <c r="Z177" s="199"/>
      <c r="AA177" s="199"/>
      <c r="AB177" s="199"/>
      <c r="AC177" s="199"/>
      <c r="AD177" s="199"/>
      <c r="AE177" s="199"/>
      <c r="AF177" s="199"/>
      <c r="AG177" s="199"/>
      <c r="AH177" s="199"/>
      <c r="AI177" s="199"/>
      <c r="AJ177" s="199"/>
      <c r="AK177" s="199"/>
      <c r="AL177" s="199"/>
    </row>
    <row r="178" spans="1:38">
      <c r="A178" s="198"/>
      <c r="B178" s="153">
        <v>69</v>
      </c>
      <c r="C178" s="154" t="s">
        <v>257</v>
      </c>
      <c r="D178" s="144">
        <v>10</v>
      </c>
      <c r="E178" s="145">
        <v>76</v>
      </c>
      <c r="F178" s="145">
        <v>86</v>
      </c>
      <c r="G178" s="145">
        <v>45</v>
      </c>
      <c r="H178" s="145">
        <v>42</v>
      </c>
      <c r="I178" s="145">
        <v>55</v>
      </c>
      <c r="J178" s="145">
        <f t="shared" si="32"/>
        <v>304</v>
      </c>
      <c r="K178" s="145">
        <v>22</v>
      </c>
      <c r="L178" s="147" t="s">
        <v>114</v>
      </c>
      <c r="M178" s="147" t="s">
        <v>130</v>
      </c>
      <c r="N178" s="147" t="s">
        <v>124</v>
      </c>
      <c r="O178" s="147" t="s">
        <v>130</v>
      </c>
      <c r="P178" s="147" t="s">
        <v>115</v>
      </c>
      <c r="Q178" s="147" t="s">
        <v>124</v>
      </c>
      <c r="R178" s="148" t="s">
        <v>196</v>
      </c>
      <c r="S178" s="148" t="s">
        <v>132</v>
      </c>
      <c r="T178" s="148" t="s">
        <v>133</v>
      </c>
      <c r="U178" s="148" t="s">
        <v>126</v>
      </c>
      <c r="V178" s="145">
        <f t="shared" si="33"/>
        <v>162</v>
      </c>
      <c r="W178" s="149"/>
      <c r="X178" s="145">
        <f t="shared" si="34"/>
        <v>207</v>
      </c>
      <c r="Y178">
        <f ca="1" t="shared" si="35"/>
        <v>0.39241740130715</v>
      </c>
      <c r="Z178" s="199"/>
      <c r="AA178" s="199"/>
      <c r="AB178" s="199"/>
      <c r="AC178" s="199"/>
      <c r="AD178" s="199"/>
      <c r="AE178" s="199"/>
      <c r="AF178" s="199"/>
      <c r="AG178" s="199"/>
      <c r="AH178" s="199"/>
      <c r="AI178" s="199"/>
      <c r="AJ178" s="199"/>
      <c r="AK178" s="199"/>
      <c r="AL178" s="199"/>
    </row>
    <row r="179" spans="1:38">
      <c r="A179" s="197" t="s">
        <v>1386</v>
      </c>
      <c r="B179" s="153">
        <v>158</v>
      </c>
      <c r="C179" s="154" t="s">
        <v>594</v>
      </c>
      <c r="D179" s="144">
        <v>14</v>
      </c>
      <c r="E179" s="145">
        <v>24</v>
      </c>
      <c r="F179" s="145">
        <v>26</v>
      </c>
      <c r="G179" s="145">
        <v>77</v>
      </c>
      <c r="H179" s="145">
        <v>95</v>
      </c>
      <c r="I179" s="145">
        <v>35</v>
      </c>
      <c r="J179" s="145">
        <f t="shared" si="32"/>
        <v>257</v>
      </c>
      <c r="K179" s="145">
        <v>72</v>
      </c>
      <c r="L179" s="147" t="s">
        <v>124</v>
      </c>
      <c r="M179" s="147" t="s">
        <v>124</v>
      </c>
      <c r="N179" s="147" t="s">
        <v>124</v>
      </c>
      <c r="O179" s="147" t="s">
        <v>124</v>
      </c>
      <c r="P179" s="147" t="s">
        <v>124</v>
      </c>
      <c r="Q179" s="147" t="s">
        <v>124</v>
      </c>
      <c r="R179" s="148" t="s">
        <v>446</v>
      </c>
      <c r="S179" s="148" t="s">
        <v>119</v>
      </c>
      <c r="T179" s="148" t="s">
        <v>119</v>
      </c>
      <c r="U179" s="148" t="s">
        <v>120</v>
      </c>
      <c r="V179" s="145">
        <f t="shared" si="33"/>
        <v>50</v>
      </c>
      <c r="W179" s="149"/>
      <c r="X179" s="145">
        <f t="shared" si="34"/>
        <v>127</v>
      </c>
      <c r="Y179">
        <f ca="1" t="shared" si="35"/>
        <v>0.270976503854219</v>
      </c>
      <c r="Z179" s="199"/>
      <c r="AA179" s="199"/>
      <c r="AB179" s="199"/>
      <c r="AC179" s="199"/>
      <c r="AD179" s="199"/>
      <c r="AE179" s="199"/>
      <c r="AF179" s="199"/>
      <c r="AG179" s="199"/>
      <c r="AH179" s="199"/>
      <c r="AI179" s="199"/>
      <c r="AJ179" s="199"/>
      <c r="AK179" s="199"/>
      <c r="AL179" s="199"/>
    </row>
    <row r="180" spans="1:38">
      <c r="A180" s="198"/>
      <c r="B180" s="153">
        <v>630</v>
      </c>
      <c r="C180" s="154" t="s">
        <v>994</v>
      </c>
      <c r="D180" s="144">
        <v>14</v>
      </c>
      <c r="E180" s="145">
        <v>88</v>
      </c>
      <c r="F180" s="145">
        <v>83</v>
      </c>
      <c r="G180" s="145">
        <v>66</v>
      </c>
      <c r="H180" s="145">
        <v>64</v>
      </c>
      <c r="I180" s="145">
        <v>65</v>
      </c>
      <c r="J180" s="145">
        <f t="shared" si="32"/>
        <v>366</v>
      </c>
      <c r="K180" s="145">
        <v>59</v>
      </c>
      <c r="L180" s="147" t="s">
        <v>114</v>
      </c>
      <c r="M180" s="147" t="s">
        <v>114</v>
      </c>
      <c r="N180" s="147" t="s">
        <v>115</v>
      </c>
      <c r="O180" s="147" t="s">
        <v>114</v>
      </c>
      <c r="P180" s="147" t="s">
        <v>114</v>
      </c>
      <c r="Q180" s="147" t="s">
        <v>114</v>
      </c>
      <c r="R180" s="148" t="s">
        <v>337</v>
      </c>
      <c r="S180" s="148" t="s">
        <v>132</v>
      </c>
      <c r="T180" s="148" t="s">
        <v>119</v>
      </c>
      <c r="U180" s="148" t="s">
        <v>126</v>
      </c>
      <c r="V180" s="145">
        <f t="shared" si="33"/>
        <v>171</v>
      </c>
      <c r="W180" s="149"/>
      <c r="X180" s="145">
        <f t="shared" si="34"/>
        <v>237</v>
      </c>
      <c r="Y180">
        <f ca="1" t="shared" si="35"/>
        <v>0.256406433190172</v>
      </c>
      <c r="Z180" s="199"/>
      <c r="AA180" s="199"/>
      <c r="AB180" s="199"/>
      <c r="AC180" s="199"/>
      <c r="AD180" s="199"/>
      <c r="AE180" s="199"/>
      <c r="AF180" s="199"/>
      <c r="AG180" s="199"/>
      <c r="AH180" s="199"/>
      <c r="AI180" s="199"/>
      <c r="AJ180" s="199"/>
      <c r="AK180" s="199"/>
      <c r="AL180" s="199"/>
    </row>
    <row r="181" spans="1:38">
      <c r="A181" s="198"/>
      <c r="B181" s="153">
        <v>536</v>
      </c>
      <c r="C181" s="154" t="s">
        <v>676</v>
      </c>
      <c r="D181" s="144">
        <v>10</v>
      </c>
      <c r="E181" s="145">
        <v>80</v>
      </c>
      <c r="F181" s="145">
        <v>69</v>
      </c>
      <c r="G181" s="145">
        <v>64</v>
      </c>
      <c r="H181" s="145">
        <v>75</v>
      </c>
      <c r="I181" s="145">
        <v>83</v>
      </c>
      <c r="J181" s="145">
        <f t="shared" si="32"/>
        <v>371</v>
      </c>
      <c r="K181" s="145">
        <v>47</v>
      </c>
      <c r="L181" s="147" t="s">
        <v>114</v>
      </c>
      <c r="M181" s="147" t="s">
        <v>114</v>
      </c>
      <c r="N181" s="147" t="s">
        <v>114</v>
      </c>
      <c r="O181" s="147" t="s">
        <v>130</v>
      </c>
      <c r="P181" s="147" t="s">
        <v>130</v>
      </c>
      <c r="Q181" s="147" t="s">
        <v>124</v>
      </c>
      <c r="R181" s="148" t="s">
        <v>268</v>
      </c>
      <c r="S181" s="148" t="s">
        <v>132</v>
      </c>
      <c r="T181" s="148" t="s">
        <v>119</v>
      </c>
      <c r="U181" s="148" t="s">
        <v>120</v>
      </c>
      <c r="V181" s="145">
        <f t="shared" si="33"/>
        <v>149</v>
      </c>
      <c r="W181" s="149"/>
      <c r="X181" s="145">
        <f t="shared" si="34"/>
        <v>213</v>
      </c>
      <c r="Y181">
        <f ca="1" t="shared" si="35"/>
        <v>0.154549987125437</v>
      </c>
      <c r="Z181" s="199"/>
      <c r="AA181" s="199"/>
      <c r="AB181" s="199"/>
      <c r="AC181" s="199"/>
      <c r="AD181" s="199"/>
      <c r="AE181" s="199"/>
      <c r="AF181" s="199"/>
      <c r="AG181" s="199"/>
      <c r="AH181" s="199"/>
      <c r="AI181" s="199"/>
      <c r="AJ181" s="199"/>
      <c r="AK181" s="199"/>
      <c r="AL181" s="199"/>
    </row>
    <row r="182" spans="1:38">
      <c r="A182" s="198"/>
      <c r="B182" s="153">
        <v>259</v>
      </c>
      <c r="C182" s="154" t="s">
        <v>354</v>
      </c>
      <c r="D182" s="144">
        <v>4</v>
      </c>
      <c r="E182" s="145">
        <v>53</v>
      </c>
      <c r="F182" s="145">
        <v>26</v>
      </c>
      <c r="G182" s="145">
        <v>94</v>
      </c>
      <c r="H182" s="145">
        <v>83</v>
      </c>
      <c r="I182" s="145">
        <v>83</v>
      </c>
      <c r="J182" s="145">
        <f t="shared" si="32"/>
        <v>339</v>
      </c>
      <c r="K182" s="145">
        <v>26</v>
      </c>
      <c r="L182" s="147" t="s">
        <v>130</v>
      </c>
      <c r="M182" s="147" t="s">
        <v>130</v>
      </c>
      <c r="N182" s="147" t="s">
        <v>124</v>
      </c>
      <c r="O182" s="147" t="s">
        <v>124</v>
      </c>
      <c r="P182" s="147" t="s">
        <v>124</v>
      </c>
      <c r="Q182" s="147" t="s">
        <v>124</v>
      </c>
      <c r="R182" s="148" t="s">
        <v>215</v>
      </c>
      <c r="S182" s="148" t="s">
        <v>132</v>
      </c>
      <c r="T182" s="148" t="s">
        <v>119</v>
      </c>
      <c r="U182" s="148" t="s">
        <v>120</v>
      </c>
      <c r="V182" s="145">
        <f t="shared" si="33"/>
        <v>79</v>
      </c>
      <c r="W182" s="149"/>
      <c r="X182" s="145">
        <f t="shared" si="34"/>
        <v>173</v>
      </c>
      <c r="Y182">
        <f ca="1" t="shared" si="35"/>
        <v>0.92027931167675</v>
      </c>
      <c r="Z182" s="199"/>
      <c r="AA182" s="199"/>
      <c r="AB182" s="199"/>
      <c r="AC182" s="199"/>
      <c r="AD182" s="199"/>
      <c r="AE182" s="199"/>
      <c r="AF182" s="199"/>
      <c r="AG182" s="199"/>
      <c r="AH182" s="199"/>
      <c r="AI182" s="199"/>
      <c r="AJ182" s="199"/>
      <c r="AK182" s="199"/>
      <c r="AL182" s="199"/>
    </row>
    <row r="183" spans="1:38">
      <c r="A183" s="198"/>
      <c r="B183" s="153">
        <v>176</v>
      </c>
      <c r="C183" s="154" t="s">
        <v>390</v>
      </c>
      <c r="D183" s="144">
        <v>7</v>
      </c>
      <c r="E183" s="145">
        <v>23</v>
      </c>
      <c r="F183" s="145">
        <v>56</v>
      </c>
      <c r="G183" s="145">
        <v>71</v>
      </c>
      <c r="H183" s="145">
        <v>93</v>
      </c>
      <c r="I183" s="145">
        <v>78</v>
      </c>
      <c r="J183" s="145">
        <f t="shared" si="32"/>
        <v>321</v>
      </c>
      <c r="K183" s="145">
        <v>76</v>
      </c>
      <c r="L183" s="147" t="s">
        <v>124</v>
      </c>
      <c r="M183" s="147" t="s">
        <v>124</v>
      </c>
      <c r="N183" s="147" t="s">
        <v>124</v>
      </c>
      <c r="O183" s="147" t="s">
        <v>124</v>
      </c>
      <c r="P183" s="147" t="s">
        <v>124</v>
      </c>
      <c r="Q183" s="147" t="s">
        <v>124</v>
      </c>
      <c r="R183" s="148" t="s">
        <v>281</v>
      </c>
      <c r="S183" s="148" t="s">
        <v>132</v>
      </c>
      <c r="T183" s="148" t="s">
        <v>133</v>
      </c>
      <c r="U183" s="148" t="s">
        <v>148</v>
      </c>
      <c r="V183" s="145">
        <f t="shared" si="33"/>
        <v>79</v>
      </c>
      <c r="W183" s="149"/>
      <c r="X183" s="145">
        <f t="shared" si="34"/>
        <v>150</v>
      </c>
      <c r="Y183">
        <f ca="1" t="shared" si="35"/>
        <v>0.136546404638898</v>
      </c>
      <c r="Z183" s="199"/>
      <c r="AA183" s="199"/>
      <c r="AB183" s="199"/>
      <c r="AC183" s="199"/>
      <c r="AD183" s="199"/>
      <c r="AE183" s="199"/>
      <c r="AF183" s="199"/>
      <c r="AG183" s="199"/>
      <c r="AH183" s="199"/>
      <c r="AI183" s="199"/>
      <c r="AJ183" s="199"/>
      <c r="AK183" s="199"/>
      <c r="AL183" s="199"/>
    </row>
    <row r="184" spans="1:38">
      <c r="A184" s="198"/>
      <c r="B184" s="153">
        <v>395</v>
      </c>
      <c r="C184" s="154" t="s">
        <v>405</v>
      </c>
      <c r="D184" s="144">
        <v>9</v>
      </c>
      <c r="E184" s="145">
        <v>74</v>
      </c>
      <c r="F184" s="145">
        <v>94</v>
      </c>
      <c r="G184" s="145">
        <v>63</v>
      </c>
      <c r="H184" s="145">
        <v>61</v>
      </c>
      <c r="I184" s="145">
        <v>77</v>
      </c>
      <c r="J184" s="145">
        <f t="shared" si="32"/>
        <v>369</v>
      </c>
      <c r="K184" s="145">
        <v>74</v>
      </c>
      <c r="L184" s="147" t="s">
        <v>130</v>
      </c>
      <c r="M184" s="147" t="s">
        <v>130</v>
      </c>
      <c r="N184" s="147" t="s">
        <v>115</v>
      </c>
      <c r="O184" s="147" t="s">
        <v>114</v>
      </c>
      <c r="P184" s="147" t="s">
        <v>124</v>
      </c>
      <c r="Q184" s="147" t="s">
        <v>130</v>
      </c>
      <c r="R184" s="148" t="s">
        <v>311</v>
      </c>
      <c r="S184" s="148" t="s">
        <v>118</v>
      </c>
      <c r="T184" s="148" t="s">
        <v>119</v>
      </c>
      <c r="U184" s="148" t="s">
        <v>126</v>
      </c>
      <c r="V184" s="145">
        <f t="shared" si="33"/>
        <v>168</v>
      </c>
      <c r="W184" s="149"/>
      <c r="X184" s="145">
        <f t="shared" si="34"/>
        <v>231</v>
      </c>
      <c r="Y184">
        <f ca="1" t="shared" si="35"/>
        <v>0.414122542892552</v>
      </c>
      <c r="Z184" s="199"/>
      <c r="AA184" s="199"/>
      <c r="AB184" s="199"/>
      <c r="AC184" s="199"/>
      <c r="AD184" s="199"/>
      <c r="AE184" s="199"/>
      <c r="AF184" s="199"/>
      <c r="AG184" s="199"/>
      <c r="AH184" s="199"/>
      <c r="AI184" s="199"/>
      <c r="AJ184" s="199"/>
      <c r="AK184" s="199"/>
      <c r="AL184" s="199"/>
    </row>
    <row r="185" spans="1:38">
      <c r="A185" s="198"/>
      <c r="B185" s="153">
        <v>15</v>
      </c>
      <c r="C185" s="154" t="s">
        <v>463</v>
      </c>
      <c r="D185" s="144">
        <v>3</v>
      </c>
      <c r="E185" s="145">
        <v>21</v>
      </c>
      <c r="F185" s="145">
        <v>24</v>
      </c>
      <c r="G185" s="145">
        <v>79</v>
      </c>
      <c r="H185" s="145">
        <v>82</v>
      </c>
      <c r="I185" s="145">
        <v>68</v>
      </c>
      <c r="J185" s="145">
        <f t="shared" si="32"/>
        <v>274</v>
      </c>
      <c r="K185" s="145">
        <v>9</v>
      </c>
      <c r="L185" s="147" t="s">
        <v>124</v>
      </c>
      <c r="M185" s="147" t="s">
        <v>124</v>
      </c>
      <c r="N185" s="147" t="s">
        <v>124</v>
      </c>
      <c r="O185" s="147" t="s">
        <v>124</v>
      </c>
      <c r="P185" s="147" t="s">
        <v>124</v>
      </c>
      <c r="Q185" s="147" t="s">
        <v>124</v>
      </c>
      <c r="R185" s="148" t="s">
        <v>316</v>
      </c>
      <c r="S185" s="148" t="s">
        <v>119</v>
      </c>
      <c r="T185" s="148" t="s">
        <v>119</v>
      </c>
      <c r="U185" s="148" t="s">
        <v>148</v>
      </c>
      <c r="V185" s="145">
        <f t="shared" si="33"/>
        <v>45</v>
      </c>
      <c r="W185" s="149"/>
      <c r="X185" s="145">
        <f t="shared" si="34"/>
        <v>124</v>
      </c>
      <c r="Y185">
        <f ca="1" t="shared" si="35"/>
        <v>0.730061090483114</v>
      </c>
      <c r="Z185" s="199"/>
      <c r="AA185" s="199"/>
      <c r="AB185" s="199"/>
      <c r="AC185" s="199"/>
      <c r="AD185" s="199"/>
      <c r="AE185" s="199"/>
      <c r="AF185" s="199"/>
      <c r="AG185" s="199"/>
      <c r="AH185" s="199"/>
      <c r="AI185" s="199"/>
      <c r="AJ185" s="199"/>
      <c r="AK185" s="199"/>
      <c r="AL185" s="199"/>
    </row>
    <row r="186" spans="1:38">
      <c r="A186" s="198"/>
      <c r="B186" s="153">
        <v>327</v>
      </c>
      <c r="C186" s="154" t="s">
        <v>532</v>
      </c>
      <c r="D186" s="144">
        <v>7</v>
      </c>
      <c r="E186" s="145">
        <v>71</v>
      </c>
      <c r="F186" s="145">
        <v>82</v>
      </c>
      <c r="G186" s="145">
        <v>65</v>
      </c>
      <c r="H186" s="145">
        <v>63</v>
      </c>
      <c r="I186" s="145">
        <v>58</v>
      </c>
      <c r="J186" s="145">
        <f t="shared" si="32"/>
        <v>339</v>
      </c>
      <c r="K186" s="145">
        <v>65</v>
      </c>
      <c r="L186" s="147" t="s">
        <v>130</v>
      </c>
      <c r="M186" s="147" t="s">
        <v>130</v>
      </c>
      <c r="N186" s="147" t="s">
        <v>115</v>
      </c>
      <c r="O186" s="147" t="s">
        <v>114</v>
      </c>
      <c r="P186" s="147" t="s">
        <v>124</v>
      </c>
      <c r="Q186" s="147" t="s">
        <v>130</v>
      </c>
      <c r="R186" s="148" t="s">
        <v>260</v>
      </c>
      <c r="S186" s="148" t="s">
        <v>132</v>
      </c>
      <c r="T186" s="148" t="s">
        <v>119</v>
      </c>
      <c r="U186" s="148" t="s">
        <v>120</v>
      </c>
      <c r="V186" s="145">
        <f t="shared" si="33"/>
        <v>153</v>
      </c>
      <c r="W186" s="149"/>
      <c r="X186" s="145">
        <f t="shared" si="34"/>
        <v>218</v>
      </c>
      <c r="Y186">
        <f ca="1" t="shared" si="35"/>
        <v>0.313143504641244</v>
      </c>
      <c r="Z186" s="199"/>
      <c r="AA186" s="199"/>
      <c r="AB186" s="199"/>
      <c r="AC186" s="199"/>
      <c r="AD186" s="199"/>
      <c r="AE186" s="199"/>
      <c r="AF186" s="199"/>
      <c r="AG186" s="199"/>
      <c r="AH186" s="199"/>
      <c r="AI186" s="199"/>
      <c r="AJ186" s="199"/>
      <c r="AK186" s="199"/>
      <c r="AL186" s="199"/>
    </row>
    <row r="187" spans="1:38">
      <c r="A187" s="198"/>
      <c r="B187" s="153">
        <v>336</v>
      </c>
      <c r="C187" s="154" t="s">
        <v>599</v>
      </c>
      <c r="D187" s="144">
        <v>6</v>
      </c>
      <c r="E187" s="145">
        <v>60</v>
      </c>
      <c r="F187" s="145">
        <v>90</v>
      </c>
      <c r="G187" s="145">
        <v>38</v>
      </c>
      <c r="H187" s="145">
        <v>25</v>
      </c>
      <c r="I187" s="145">
        <v>30</v>
      </c>
      <c r="J187" s="145">
        <f t="shared" si="32"/>
        <v>243</v>
      </c>
      <c r="K187" s="145">
        <v>86</v>
      </c>
      <c r="L187" s="147" t="s">
        <v>130</v>
      </c>
      <c r="M187" s="147" t="s">
        <v>124</v>
      </c>
      <c r="N187" s="147" t="s">
        <v>130</v>
      </c>
      <c r="O187" s="147" t="s">
        <v>114</v>
      </c>
      <c r="P187" s="147" t="s">
        <v>124</v>
      </c>
      <c r="Q187" s="147" t="s">
        <v>130</v>
      </c>
      <c r="R187" s="148" t="s">
        <v>239</v>
      </c>
      <c r="S187" s="148" t="s">
        <v>119</v>
      </c>
      <c r="T187" s="148" t="s">
        <v>119</v>
      </c>
      <c r="U187" s="148" t="s">
        <v>250</v>
      </c>
      <c r="V187" s="145">
        <f t="shared" si="33"/>
        <v>150</v>
      </c>
      <c r="W187" s="149"/>
      <c r="X187" s="145">
        <f t="shared" si="34"/>
        <v>188</v>
      </c>
      <c r="Y187">
        <f ca="1" t="shared" si="35"/>
        <v>0.27968065839162</v>
      </c>
      <c r="Z187" s="199"/>
      <c r="AA187" s="199"/>
      <c r="AB187" s="199"/>
      <c r="AC187" s="199"/>
      <c r="AD187" s="199"/>
      <c r="AE187" s="199"/>
      <c r="AF187" s="199"/>
      <c r="AG187" s="199"/>
      <c r="AH187" s="199"/>
      <c r="AI187" s="199"/>
      <c r="AJ187" s="199"/>
      <c r="AK187" s="199"/>
      <c r="AL187" s="199"/>
    </row>
    <row r="188" spans="1:38">
      <c r="A188" s="198"/>
      <c r="B188" s="153">
        <v>596</v>
      </c>
      <c r="C188" s="154" t="s">
        <v>729</v>
      </c>
      <c r="D188" s="144">
        <v>1</v>
      </c>
      <c r="E188" s="145">
        <v>72</v>
      </c>
      <c r="F188" s="145">
        <v>67</v>
      </c>
      <c r="G188" s="145">
        <v>75</v>
      </c>
      <c r="H188" s="145">
        <v>78</v>
      </c>
      <c r="I188" s="145">
        <v>75</v>
      </c>
      <c r="J188" s="145">
        <f t="shared" si="32"/>
        <v>367</v>
      </c>
      <c r="K188" s="145">
        <v>112</v>
      </c>
      <c r="L188" s="147" t="s">
        <v>124</v>
      </c>
      <c r="M188" s="147" t="s">
        <v>130</v>
      </c>
      <c r="N188" s="147" t="s">
        <v>114</v>
      </c>
      <c r="O188" s="147" t="s">
        <v>124</v>
      </c>
      <c r="P188" s="147" t="s">
        <v>130</v>
      </c>
      <c r="Q188" s="147" t="s">
        <v>114</v>
      </c>
      <c r="R188" s="148" t="s">
        <v>205</v>
      </c>
      <c r="S188" s="148" t="s">
        <v>119</v>
      </c>
      <c r="T188" s="148" t="s">
        <v>136</v>
      </c>
      <c r="U188" s="148" t="s">
        <v>120</v>
      </c>
      <c r="V188" s="145">
        <f t="shared" si="33"/>
        <v>139</v>
      </c>
      <c r="W188" s="149"/>
      <c r="X188" s="145">
        <f t="shared" si="34"/>
        <v>214</v>
      </c>
      <c r="Y188">
        <f ca="1" t="shared" si="35"/>
        <v>0.280599687846212</v>
      </c>
      <c r="Z188" s="199"/>
      <c r="AA188" s="199"/>
      <c r="AB188" s="199"/>
      <c r="AC188" s="199"/>
      <c r="AD188" s="199"/>
      <c r="AE188" s="199"/>
      <c r="AF188" s="199"/>
      <c r="AG188" s="199"/>
      <c r="AH188" s="199"/>
      <c r="AI188" s="199"/>
      <c r="AJ188" s="199"/>
      <c r="AK188" s="199"/>
      <c r="AL188" s="199"/>
    </row>
    <row r="189" spans="1:38">
      <c r="A189" s="198"/>
      <c r="B189" s="153">
        <v>304</v>
      </c>
      <c r="C189" s="154" t="s">
        <v>885</v>
      </c>
      <c r="D189" s="144">
        <v>7</v>
      </c>
      <c r="E189" s="145">
        <v>67</v>
      </c>
      <c r="F189" s="145">
        <v>70</v>
      </c>
      <c r="G189" s="145">
        <v>75</v>
      </c>
      <c r="H189" s="145">
        <v>77</v>
      </c>
      <c r="I189" s="145">
        <v>99</v>
      </c>
      <c r="J189" s="145">
        <f t="shared" si="32"/>
        <v>388</v>
      </c>
      <c r="K189" s="145">
        <v>130</v>
      </c>
      <c r="L189" s="147" t="s">
        <v>130</v>
      </c>
      <c r="M189" s="147" t="s">
        <v>130</v>
      </c>
      <c r="N189" s="147" t="s">
        <v>130</v>
      </c>
      <c r="O189" s="147" t="s">
        <v>114</v>
      </c>
      <c r="P189" s="147" t="s">
        <v>114</v>
      </c>
      <c r="Q189" s="147" t="s">
        <v>124</v>
      </c>
      <c r="R189" s="148" t="s">
        <v>281</v>
      </c>
      <c r="S189" s="148" t="s">
        <v>132</v>
      </c>
      <c r="T189" s="148" t="s">
        <v>136</v>
      </c>
      <c r="U189" s="148" t="s">
        <v>126</v>
      </c>
      <c r="V189" s="145">
        <f t="shared" si="33"/>
        <v>137</v>
      </c>
      <c r="W189" s="149"/>
      <c r="X189" s="145">
        <f t="shared" si="34"/>
        <v>212</v>
      </c>
      <c r="Y189">
        <f ca="1" t="shared" si="35"/>
        <v>0.907143485402191</v>
      </c>
      <c r="Z189" s="199"/>
      <c r="AA189" s="199"/>
      <c r="AB189" s="199"/>
      <c r="AC189" s="199"/>
      <c r="AD189" s="199"/>
      <c r="AE189" s="199"/>
      <c r="AF189" s="199"/>
      <c r="AG189" s="199"/>
      <c r="AH189" s="199"/>
      <c r="AI189" s="199"/>
      <c r="AJ189" s="199"/>
      <c r="AK189" s="199"/>
      <c r="AL189" s="199"/>
    </row>
    <row r="190" spans="1:38">
      <c r="A190" s="198"/>
      <c r="B190" s="153">
        <v>375</v>
      </c>
      <c r="C190" s="154" t="s">
        <v>298</v>
      </c>
      <c r="D190" s="144">
        <v>6</v>
      </c>
      <c r="E190" s="145">
        <v>38</v>
      </c>
      <c r="F190" s="145">
        <v>43</v>
      </c>
      <c r="G190" s="145">
        <v>75</v>
      </c>
      <c r="H190" s="145">
        <v>91</v>
      </c>
      <c r="I190" s="145">
        <v>92</v>
      </c>
      <c r="J190" s="145">
        <f t="shared" si="32"/>
        <v>339</v>
      </c>
      <c r="K190" s="145">
        <v>88</v>
      </c>
      <c r="L190" s="147" t="s">
        <v>124</v>
      </c>
      <c r="M190" s="147" t="s">
        <v>124</v>
      </c>
      <c r="N190" s="147" t="s">
        <v>124</v>
      </c>
      <c r="O190" s="147" t="s">
        <v>124</v>
      </c>
      <c r="P190" s="147" t="s">
        <v>124</v>
      </c>
      <c r="Q190" s="147" t="s">
        <v>124</v>
      </c>
      <c r="R190" s="148" t="s">
        <v>299</v>
      </c>
      <c r="S190" s="148" t="s">
        <v>132</v>
      </c>
      <c r="T190" s="148" t="s">
        <v>119</v>
      </c>
      <c r="U190" s="148" t="s">
        <v>148</v>
      </c>
      <c r="V190" s="145">
        <f t="shared" si="33"/>
        <v>81</v>
      </c>
      <c r="W190" s="149"/>
      <c r="X190" s="145">
        <f t="shared" si="34"/>
        <v>156</v>
      </c>
      <c r="Y190">
        <f ca="1" t="shared" si="35"/>
        <v>0.242453389679128</v>
      </c>
      <c r="Z190" s="199"/>
      <c r="AA190" s="199"/>
      <c r="AB190" s="199"/>
      <c r="AC190" s="199"/>
      <c r="AD190" s="199"/>
      <c r="AE190" s="199"/>
      <c r="AF190" s="199"/>
      <c r="AG190" s="199"/>
      <c r="AH190" s="199"/>
      <c r="AI190" s="199"/>
      <c r="AJ190" s="199"/>
      <c r="AK190" s="199"/>
      <c r="AL190" s="199"/>
    </row>
    <row r="191" spans="1:38">
      <c r="A191" s="197" t="s">
        <v>1387</v>
      </c>
      <c r="B191" s="153">
        <v>513</v>
      </c>
      <c r="C191" s="154" t="s">
        <v>373</v>
      </c>
      <c r="D191" s="144">
        <v>15</v>
      </c>
      <c r="E191" s="145">
        <v>61</v>
      </c>
      <c r="F191" s="145">
        <v>27</v>
      </c>
      <c r="G191" s="145">
        <v>106</v>
      </c>
      <c r="H191" s="145">
        <v>86</v>
      </c>
      <c r="I191" s="145">
        <v>81</v>
      </c>
      <c r="J191" s="145">
        <f t="shared" si="32"/>
        <v>361</v>
      </c>
      <c r="K191" s="145">
        <v>45</v>
      </c>
      <c r="L191" s="147" t="s">
        <v>124</v>
      </c>
      <c r="M191" s="147" t="s">
        <v>124</v>
      </c>
      <c r="N191" s="147" t="s">
        <v>124</v>
      </c>
      <c r="O191" s="147" t="s">
        <v>124</v>
      </c>
      <c r="P191" s="147" t="s">
        <v>124</v>
      </c>
      <c r="Q191" s="147" t="s">
        <v>124</v>
      </c>
      <c r="R191" s="170" t="s">
        <v>150</v>
      </c>
      <c r="S191" s="148" t="s">
        <v>132</v>
      </c>
      <c r="T191" s="148" t="s">
        <v>133</v>
      </c>
      <c r="U191" s="148" t="s">
        <v>148</v>
      </c>
      <c r="V191" s="145">
        <f t="shared" si="33"/>
        <v>88</v>
      </c>
      <c r="W191" s="193" t="s">
        <v>151</v>
      </c>
      <c r="X191" s="145">
        <f t="shared" si="34"/>
        <v>194</v>
      </c>
      <c r="Y191">
        <f ca="1" t="shared" si="35"/>
        <v>0.471519788347762</v>
      </c>
      <c r="Z191" s="199"/>
      <c r="AA191" s="199"/>
      <c r="AB191" s="199"/>
      <c r="AC191" s="199"/>
      <c r="AD191" s="199"/>
      <c r="AE191" s="199"/>
      <c r="AF191" s="199"/>
      <c r="AG191" s="199"/>
      <c r="AH191" s="199"/>
      <c r="AI191" s="199"/>
      <c r="AJ191" s="199"/>
      <c r="AK191" s="199"/>
      <c r="AL191" s="199"/>
    </row>
    <row r="192" spans="1:38">
      <c r="A192" s="198"/>
      <c r="B192" s="153">
        <v>450</v>
      </c>
      <c r="C192" s="154" t="s">
        <v>967</v>
      </c>
      <c r="D192" s="144">
        <v>13</v>
      </c>
      <c r="E192" s="145">
        <v>81</v>
      </c>
      <c r="F192" s="145">
        <v>85</v>
      </c>
      <c r="G192" s="145">
        <v>81</v>
      </c>
      <c r="H192" s="145">
        <v>76</v>
      </c>
      <c r="I192" s="145">
        <v>73</v>
      </c>
      <c r="J192" s="145">
        <f t="shared" si="32"/>
        <v>396</v>
      </c>
      <c r="K192" s="145">
        <v>13</v>
      </c>
      <c r="L192" s="147" t="s">
        <v>130</v>
      </c>
      <c r="M192" s="147" t="s">
        <v>114</v>
      </c>
      <c r="N192" s="147" t="s">
        <v>115</v>
      </c>
      <c r="O192" s="147" t="s">
        <v>124</v>
      </c>
      <c r="P192" s="147" t="s">
        <v>114</v>
      </c>
      <c r="Q192" s="147" t="s">
        <v>130</v>
      </c>
      <c r="R192" s="148" t="s">
        <v>160</v>
      </c>
      <c r="S192" s="148" t="s">
        <v>132</v>
      </c>
      <c r="T192" s="148" t="s">
        <v>119</v>
      </c>
      <c r="U192" s="148" t="s">
        <v>126</v>
      </c>
      <c r="V192" s="145">
        <f t="shared" si="33"/>
        <v>166</v>
      </c>
      <c r="W192" s="149"/>
      <c r="X192" s="145">
        <f t="shared" si="34"/>
        <v>247</v>
      </c>
      <c r="Y192">
        <f ca="1" t="shared" si="35"/>
        <v>0.761329952560001</v>
      </c>
      <c r="Z192" s="199"/>
      <c r="AA192" s="199"/>
      <c r="AB192" s="199"/>
      <c r="AC192" s="199"/>
      <c r="AD192" s="199"/>
      <c r="AE192" s="199"/>
      <c r="AF192" s="199"/>
      <c r="AG192" s="199"/>
      <c r="AH192" s="199"/>
      <c r="AI192" s="199"/>
      <c r="AJ192" s="199"/>
      <c r="AK192" s="199"/>
      <c r="AL192" s="199"/>
    </row>
    <row r="193" spans="1:38">
      <c r="A193" s="198"/>
      <c r="B193" s="153">
        <v>484</v>
      </c>
      <c r="C193" s="154" t="s">
        <v>395</v>
      </c>
      <c r="D193" s="144">
        <v>5</v>
      </c>
      <c r="E193" s="145">
        <v>46</v>
      </c>
      <c r="F193" s="145">
        <v>56</v>
      </c>
      <c r="G193" s="145">
        <v>87</v>
      </c>
      <c r="H193" s="145">
        <v>88</v>
      </c>
      <c r="I193" s="145">
        <v>78</v>
      </c>
      <c r="J193" s="145">
        <f t="shared" si="32"/>
        <v>355</v>
      </c>
      <c r="K193" s="145">
        <v>41</v>
      </c>
      <c r="L193" s="147" t="s">
        <v>124</v>
      </c>
      <c r="M193" s="147" t="s">
        <v>124</v>
      </c>
      <c r="N193" s="147" t="s">
        <v>124</v>
      </c>
      <c r="O193" s="147" t="s">
        <v>124</v>
      </c>
      <c r="P193" s="147" t="s">
        <v>124</v>
      </c>
      <c r="Q193" s="147" t="s">
        <v>124</v>
      </c>
      <c r="R193" s="148" t="s">
        <v>290</v>
      </c>
      <c r="S193" s="148" t="s">
        <v>119</v>
      </c>
      <c r="T193" s="148" t="s">
        <v>119</v>
      </c>
      <c r="U193" s="148" t="s">
        <v>126</v>
      </c>
      <c r="V193" s="145">
        <f t="shared" si="33"/>
        <v>102</v>
      </c>
      <c r="W193" s="149"/>
      <c r="X193" s="145">
        <f t="shared" si="34"/>
        <v>189</v>
      </c>
      <c r="Y193">
        <f ca="1" t="shared" si="35"/>
        <v>0.67167586053459</v>
      </c>
      <c r="Z193" s="199"/>
      <c r="AA193" s="199"/>
      <c r="AB193" s="199"/>
      <c r="AC193" s="199"/>
      <c r="AD193" s="199"/>
      <c r="AE193" s="199"/>
      <c r="AF193" s="199"/>
      <c r="AG193" s="199"/>
      <c r="AH193" s="199"/>
      <c r="AI193" s="199"/>
      <c r="AJ193" s="199"/>
      <c r="AK193" s="199"/>
      <c r="AL193" s="199"/>
    </row>
    <row r="194" spans="1:38">
      <c r="A194" s="198"/>
      <c r="B194" s="153">
        <v>296</v>
      </c>
      <c r="C194" s="154" t="s">
        <v>666</v>
      </c>
      <c r="D194" s="144">
        <v>1</v>
      </c>
      <c r="E194" s="145">
        <v>70</v>
      </c>
      <c r="F194" s="145">
        <v>68</v>
      </c>
      <c r="G194" s="145">
        <v>76</v>
      </c>
      <c r="H194" s="145">
        <v>73</v>
      </c>
      <c r="I194" s="145">
        <v>84</v>
      </c>
      <c r="J194" s="145">
        <f t="shared" si="32"/>
        <v>371</v>
      </c>
      <c r="K194" s="145">
        <v>136</v>
      </c>
      <c r="L194" s="147" t="s">
        <v>130</v>
      </c>
      <c r="M194" s="147" t="s">
        <v>124</v>
      </c>
      <c r="N194" s="147" t="s">
        <v>130</v>
      </c>
      <c r="O194" s="147" t="s">
        <v>114</v>
      </c>
      <c r="P194" s="147" t="s">
        <v>130</v>
      </c>
      <c r="Q194" s="147" t="s">
        <v>124</v>
      </c>
      <c r="R194" s="148" t="s">
        <v>365</v>
      </c>
      <c r="S194" s="148" t="s">
        <v>132</v>
      </c>
      <c r="T194" s="148" t="s">
        <v>136</v>
      </c>
      <c r="U194" s="148" t="s">
        <v>120</v>
      </c>
      <c r="V194" s="145">
        <f t="shared" si="33"/>
        <v>138</v>
      </c>
      <c r="W194" s="149"/>
      <c r="X194" s="145">
        <f t="shared" si="34"/>
        <v>214</v>
      </c>
      <c r="Y194">
        <f ca="1" t="shared" si="35"/>
        <v>0.856948738751747</v>
      </c>
      <c r="Z194" s="199"/>
      <c r="AA194" s="199"/>
      <c r="AB194" s="199"/>
      <c r="AC194" s="199"/>
      <c r="AD194" s="199"/>
      <c r="AE194" s="199"/>
      <c r="AF194" s="199"/>
      <c r="AG194" s="199"/>
      <c r="AH194" s="199"/>
      <c r="AI194" s="199"/>
      <c r="AJ194" s="199"/>
      <c r="AK194" s="199"/>
      <c r="AL194" s="199"/>
    </row>
    <row r="195" spans="1:38">
      <c r="A195" s="198"/>
      <c r="B195" s="153">
        <v>504</v>
      </c>
      <c r="C195" s="154" t="s">
        <v>865</v>
      </c>
      <c r="D195" s="144">
        <v>9</v>
      </c>
      <c r="E195" s="145">
        <v>73</v>
      </c>
      <c r="F195" s="145">
        <v>91</v>
      </c>
      <c r="G195" s="145">
        <v>54</v>
      </c>
      <c r="H195" s="145">
        <v>38</v>
      </c>
      <c r="I195" s="145">
        <v>42</v>
      </c>
      <c r="J195" s="145">
        <f t="shared" si="32"/>
        <v>298</v>
      </c>
      <c r="K195" s="145">
        <v>40</v>
      </c>
      <c r="L195" s="147" t="s">
        <v>114</v>
      </c>
      <c r="M195" s="147" t="s">
        <v>130</v>
      </c>
      <c r="N195" s="147" t="s">
        <v>130</v>
      </c>
      <c r="O195" s="147" t="s">
        <v>130</v>
      </c>
      <c r="P195" s="147" t="s">
        <v>130</v>
      </c>
      <c r="Q195" s="147" t="s">
        <v>124</v>
      </c>
      <c r="R195" s="148" t="s">
        <v>486</v>
      </c>
      <c r="S195" s="148" t="s">
        <v>119</v>
      </c>
      <c r="T195" s="148" t="s">
        <v>119</v>
      </c>
      <c r="U195" s="148" t="s">
        <v>250</v>
      </c>
      <c r="V195" s="145">
        <f t="shared" si="33"/>
        <v>164</v>
      </c>
      <c r="W195" s="149"/>
      <c r="X195" s="145">
        <f t="shared" si="34"/>
        <v>218</v>
      </c>
      <c r="Y195">
        <f ca="1" t="shared" si="35"/>
        <v>0.358115189407218</v>
      </c>
      <c r="Z195" s="199"/>
      <c r="AA195" s="199"/>
      <c r="AB195" s="199"/>
      <c r="AC195" s="199"/>
      <c r="AD195" s="199"/>
      <c r="AE195" s="199"/>
      <c r="AF195" s="199"/>
      <c r="AG195" s="199"/>
      <c r="AH195" s="199"/>
      <c r="AI195" s="199"/>
      <c r="AJ195" s="199"/>
      <c r="AK195" s="199"/>
      <c r="AL195" s="199"/>
    </row>
    <row r="196" spans="1:38">
      <c r="A196" s="198"/>
      <c r="B196" s="153">
        <v>556</v>
      </c>
      <c r="C196" s="154" t="s">
        <v>1039</v>
      </c>
      <c r="D196" s="144">
        <v>2</v>
      </c>
      <c r="E196" s="145">
        <v>55</v>
      </c>
      <c r="F196" s="145">
        <v>47</v>
      </c>
      <c r="G196" s="145">
        <v>88</v>
      </c>
      <c r="H196" s="145">
        <v>67</v>
      </c>
      <c r="I196" s="145">
        <v>44</v>
      </c>
      <c r="J196" s="145">
        <f t="shared" si="32"/>
        <v>301</v>
      </c>
      <c r="K196" s="145">
        <v>73</v>
      </c>
      <c r="L196" s="147" t="s">
        <v>130</v>
      </c>
      <c r="M196" s="147" t="s">
        <v>130</v>
      </c>
      <c r="N196" s="147" t="s">
        <v>124</v>
      </c>
      <c r="O196" s="147" t="s">
        <v>124</v>
      </c>
      <c r="P196" s="147" t="s">
        <v>114</v>
      </c>
      <c r="Q196" s="147" t="s">
        <v>124</v>
      </c>
      <c r="R196" s="148" t="s">
        <v>217</v>
      </c>
      <c r="S196" s="148" t="s">
        <v>119</v>
      </c>
      <c r="T196" s="148" t="s">
        <v>119</v>
      </c>
      <c r="U196" s="148" t="s">
        <v>120</v>
      </c>
      <c r="V196" s="145">
        <f t="shared" si="33"/>
        <v>102</v>
      </c>
      <c r="W196" s="149"/>
      <c r="X196" s="145">
        <f t="shared" si="34"/>
        <v>190</v>
      </c>
      <c r="Y196">
        <f ca="1" t="shared" si="35"/>
        <v>0.880804595237039</v>
      </c>
      <c r="Z196" s="199"/>
      <c r="AA196" s="199"/>
      <c r="AB196" s="199"/>
      <c r="AC196" s="199"/>
      <c r="AD196" s="199"/>
      <c r="AE196" s="199"/>
      <c r="AF196" s="199"/>
      <c r="AG196" s="199"/>
      <c r="AH196" s="199"/>
      <c r="AI196" s="199"/>
      <c r="AJ196" s="199"/>
      <c r="AK196" s="199"/>
      <c r="AL196" s="199"/>
    </row>
    <row r="197" spans="1:38">
      <c r="A197" s="198"/>
      <c r="B197" s="153">
        <v>256</v>
      </c>
      <c r="C197" s="154" t="s">
        <v>814</v>
      </c>
      <c r="D197" s="144">
        <v>6</v>
      </c>
      <c r="E197" s="145">
        <v>49</v>
      </c>
      <c r="F197" s="145">
        <v>33</v>
      </c>
      <c r="G197" s="145">
        <v>99</v>
      </c>
      <c r="H197" s="145">
        <v>81</v>
      </c>
      <c r="I197" s="145">
        <v>60</v>
      </c>
      <c r="J197" s="145">
        <f t="shared" si="32"/>
        <v>322</v>
      </c>
      <c r="K197" s="145">
        <v>139</v>
      </c>
      <c r="L197" s="147" t="s">
        <v>124</v>
      </c>
      <c r="M197" s="147" t="s">
        <v>130</v>
      </c>
      <c r="N197" s="147" t="s">
        <v>124</v>
      </c>
      <c r="O197" s="147" t="s">
        <v>124</v>
      </c>
      <c r="P197" s="147" t="s">
        <v>130</v>
      </c>
      <c r="Q197" s="147" t="s">
        <v>124</v>
      </c>
      <c r="R197" s="148" t="s">
        <v>215</v>
      </c>
      <c r="S197" s="148" t="s">
        <v>132</v>
      </c>
      <c r="T197" s="148" t="s">
        <v>136</v>
      </c>
      <c r="U197" s="148" t="s">
        <v>120</v>
      </c>
      <c r="V197" s="145">
        <f t="shared" si="33"/>
        <v>82</v>
      </c>
      <c r="W197" s="149"/>
      <c r="X197" s="145">
        <f t="shared" si="34"/>
        <v>181</v>
      </c>
      <c r="Y197">
        <f ca="1" t="shared" si="35"/>
        <v>0.259266095109844</v>
      </c>
      <c r="Z197" s="199"/>
      <c r="AA197" s="199"/>
      <c r="AB197" s="199"/>
      <c r="AC197" s="199"/>
      <c r="AD197" s="199"/>
      <c r="AE197" s="199"/>
      <c r="AF197" s="199"/>
      <c r="AG197" s="199"/>
      <c r="AH197" s="199"/>
      <c r="AI197" s="199"/>
      <c r="AJ197" s="199"/>
      <c r="AK197" s="199"/>
      <c r="AL197" s="199"/>
    </row>
    <row r="198" spans="1:38">
      <c r="A198" s="198"/>
      <c r="B198" s="153">
        <v>379</v>
      </c>
      <c r="C198" s="154" t="s">
        <v>823</v>
      </c>
      <c r="D198" s="144">
        <v>4</v>
      </c>
      <c r="E198" s="145">
        <v>79</v>
      </c>
      <c r="F198" s="145">
        <v>76</v>
      </c>
      <c r="G198" s="145">
        <v>59</v>
      </c>
      <c r="H198" s="145">
        <v>53</v>
      </c>
      <c r="I198" s="145">
        <v>58</v>
      </c>
      <c r="J198" s="145">
        <f t="shared" si="32"/>
        <v>325</v>
      </c>
      <c r="K198" s="145">
        <v>145</v>
      </c>
      <c r="L198" s="147" t="s">
        <v>114</v>
      </c>
      <c r="M198" s="147" t="s">
        <v>114</v>
      </c>
      <c r="N198" s="147" t="s">
        <v>114</v>
      </c>
      <c r="O198" s="147" t="s">
        <v>114</v>
      </c>
      <c r="P198" s="147" t="s">
        <v>130</v>
      </c>
      <c r="Q198" s="147" t="s">
        <v>124</v>
      </c>
      <c r="R198" s="148" t="s">
        <v>337</v>
      </c>
      <c r="S198" s="148" t="s">
        <v>132</v>
      </c>
      <c r="T198" s="148" t="s">
        <v>119</v>
      </c>
      <c r="U198" s="148" t="s">
        <v>126</v>
      </c>
      <c r="V198" s="145">
        <f t="shared" si="33"/>
        <v>155</v>
      </c>
      <c r="W198" s="149"/>
      <c r="X198" s="145">
        <f t="shared" si="34"/>
        <v>214</v>
      </c>
      <c r="Y198">
        <f ca="1" t="shared" si="35"/>
        <v>0.793070388638776</v>
      </c>
      <c r="Z198" s="199"/>
      <c r="AA198" s="199"/>
      <c r="AB198" s="199"/>
      <c r="AC198" s="199"/>
      <c r="AD198" s="199"/>
      <c r="AE198" s="199"/>
      <c r="AF198" s="199"/>
      <c r="AG198" s="199"/>
      <c r="AH198" s="199"/>
      <c r="AI198" s="199"/>
      <c r="AJ198" s="199"/>
      <c r="AK198" s="199"/>
      <c r="AL198" s="199"/>
    </row>
    <row r="199" spans="1:38">
      <c r="A199" s="198"/>
      <c r="B199" s="153">
        <v>168</v>
      </c>
      <c r="C199" s="154" t="s">
        <v>406</v>
      </c>
      <c r="D199" s="144">
        <v>3</v>
      </c>
      <c r="E199" s="145">
        <v>31</v>
      </c>
      <c r="F199" s="145">
        <v>9</v>
      </c>
      <c r="G199" s="145">
        <v>73</v>
      </c>
      <c r="H199" s="145">
        <v>80</v>
      </c>
      <c r="I199" s="145">
        <v>76</v>
      </c>
      <c r="J199" s="145">
        <f t="shared" si="32"/>
        <v>269</v>
      </c>
      <c r="K199" s="145">
        <v>76</v>
      </c>
      <c r="L199" s="147" t="s">
        <v>124</v>
      </c>
      <c r="M199" s="147" t="s">
        <v>124</v>
      </c>
      <c r="N199" s="147" t="s">
        <v>124</v>
      </c>
      <c r="O199" s="147" t="s">
        <v>124</v>
      </c>
      <c r="P199" s="147" t="s">
        <v>124</v>
      </c>
      <c r="Q199" s="147" t="s">
        <v>124</v>
      </c>
      <c r="R199" s="148" t="s">
        <v>290</v>
      </c>
      <c r="S199" s="148" t="s">
        <v>132</v>
      </c>
      <c r="T199" s="148" t="s">
        <v>119</v>
      </c>
      <c r="U199" s="148" t="s">
        <v>126</v>
      </c>
      <c r="V199" s="145">
        <f t="shared" si="33"/>
        <v>40</v>
      </c>
      <c r="W199" s="149"/>
      <c r="X199" s="145">
        <f t="shared" si="34"/>
        <v>113</v>
      </c>
      <c r="Y199">
        <f ca="1" t="shared" si="35"/>
        <v>0.260319567325854</v>
      </c>
      <c r="Z199" s="199"/>
      <c r="AA199" s="199"/>
      <c r="AB199" s="199"/>
      <c r="AC199" s="199"/>
      <c r="AD199" s="199"/>
      <c r="AE199" s="199"/>
      <c r="AF199" s="199"/>
      <c r="AG199" s="199"/>
      <c r="AH199" s="199"/>
      <c r="AI199" s="199"/>
      <c r="AJ199" s="199"/>
      <c r="AK199" s="199"/>
      <c r="AL199" s="199"/>
    </row>
    <row r="200" spans="1:38">
      <c r="A200" s="198"/>
      <c r="B200" s="153">
        <v>448</v>
      </c>
      <c r="C200" s="154" t="s">
        <v>447</v>
      </c>
      <c r="D200" s="144">
        <v>1</v>
      </c>
      <c r="E200" s="145">
        <v>20</v>
      </c>
      <c r="F200" s="145">
        <v>39</v>
      </c>
      <c r="G200" s="145">
        <v>82</v>
      </c>
      <c r="H200" s="145">
        <v>79</v>
      </c>
      <c r="I200" s="145">
        <v>71</v>
      </c>
      <c r="J200" s="145">
        <f t="shared" si="32"/>
        <v>291</v>
      </c>
      <c r="K200" s="145">
        <v>76</v>
      </c>
      <c r="L200" s="147" t="s">
        <v>124</v>
      </c>
      <c r="M200" s="147" t="s">
        <v>124</v>
      </c>
      <c r="N200" s="147" t="s">
        <v>124</v>
      </c>
      <c r="O200" s="147" t="s">
        <v>124</v>
      </c>
      <c r="P200" s="147" t="s">
        <v>124</v>
      </c>
      <c r="Q200" s="147" t="s">
        <v>124</v>
      </c>
      <c r="R200" s="148" t="s">
        <v>299</v>
      </c>
      <c r="S200" s="148" t="s">
        <v>132</v>
      </c>
      <c r="T200" s="148" t="s">
        <v>119</v>
      </c>
      <c r="U200" s="148" t="s">
        <v>120</v>
      </c>
      <c r="V200" s="145">
        <f t="shared" si="33"/>
        <v>59</v>
      </c>
      <c r="W200" s="149"/>
      <c r="X200" s="145">
        <f t="shared" si="34"/>
        <v>141</v>
      </c>
      <c r="Y200">
        <f ca="1" t="shared" si="35"/>
        <v>0.272957768680445</v>
      </c>
      <c r="Z200" s="199"/>
      <c r="AA200" s="199"/>
      <c r="AB200" s="199"/>
      <c r="AC200" s="199"/>
      <c r="AD200" s="199"/>
      <c r="AE200" s="199"/>
      <c r="AF200" s="199"/>
      <c r="AG200" s="199"/>
      <c r="AH200" s="199"/>
      <c r="AI200" s="199"/>
      <c r="AJ200" s="199"/>
      <c r="AK200" s="199"/>
      <c r="AL200" s="199"/>
    </row>
    <row r="201" spans="1:38">
      <c r="A201" s="198"/>
      <c r="B201" s="153">
        <v>146</v>
      </c>
      <c r="C201" s="154" t="s">
        <v>1048</v>
      </c>
      <c r="D201" s="144">
        <v>10</v>
      </c>
      <c r="E201" s="145">
        <v>77</v>
      </c>
      <c r="F201" s="145">
        <v>96</v>
      </c>
      <c r="G201" s="145">
        <v>31</v>
      </c>
      <c r="H201" s="145">
        <v>37</v>
      </c>
      <c r="I201" s="145">
        <v>40</v>
      </c>
      <c r="J201" s="145">
        <f t="shared" si="32"/>
        <v>281</v>
      </c>
      <c r="K201" s="145">
        <v>75</v>
      </c>
      <c r="L201" s="147" t="s">
        <v>114</v>
      </c>
      <c r="M201" s="147" t="s">
        <v>114</v>
      </c>
      <c r="N201" s="147" t="s">
        <v>124</v>
      </c>
      <c r="O201" s="147" t="s">
        <v>124</v>
      </c>
      <c r="P201" s="147" t="s">
        <v>114</v>
      </c>
      <c r="Q201" s="147" t="s">
        <v>124</v>
      </c>
      <c r="R201" s="148" t="s">
        <v>459</v>
      </c>
      <c r="S201" s="148" t="s">
        <v>132</v>
      </c>
      <c r="T201" s="148" t="s">
        <v>133</v>
      </c>
      <c r="U201" s="148" t="s">
        <v>250</v>
      </c>
      <c r="V201" s="145">
        <f t="shared" si="33"/>
        <v>173</v>
      </c>
      <c r="W201" s="149"/>
      <c r="X201" s="145">
        <f t="shared" si="34"/>
        <v>204</v>
      </c>
      <c r="Y201">
        <f ca="1" t="shared" si="35"/>
        <v>0.424223222060764</v>
      </c>
      <c r="Z201" s="199"/>
      <c r="AA201" s="199"/>
      <c r="AB201" s="199"/>
      <c r="AC201" s="199"/>
      <c r="AD201" s="199"/>
      <c r="AE201" s="199"/>
      <c r="AF201" s="199"/>
      <c r="AG201" s="199"/>
      <c r="AH201" s="199"/>
      <c r="AI201" s="199"/>
      <c r="AJ201" s="199"/>
      <c r="AK201" s="199"/>
      <c r="AL201" s="199"/>
    </row>
    <row r="202" spans="1:38">
      <c r="A202" s="198"/>
      <c r="B202" s="153">
        <v>211</v>
      </c>
      <c r="C202" s="154" t="s">
        <v>750</v>
      </c>
      <c r="D202" s="144">
        <v>2</v>
      </c>
      <c r="E202" s="145">
        <v>27</v>
      </c>
      <c r="F202" s="145">
        <v>39</v>
      </c>
      <c r="G202" s="145">
        <v>82</v>
      </c>
      <c r="H202" s="145">
        <v>75</v>
      </c>
      <c r="I202" s="145">
        <v>71</v>
      </c>
      <c r="J202" s="145">
        <f t="shared" si="32"/>
        <v>294</v>
      </c>
      <c r="K202" s="145">
        <v>66</v>
      </c>
      <c r="L202" s="147" t="s">
        <v>124</v>
      </c>
      <c r="M202" s="147" t="s">
        <v>124</v>
      </c>
      <c r="N202" s="147" t="s">
        <v>124</v>
      </c>
      <c r="O202" s="147" t="s">
        <v>124</v>
      </c>
      <c r="P202" s="147" t="s">
        <v>130</v>
      </c>
      <c r="Q202" s="147" t="s">
        <v>124</v>
      </c>
      <c r="R202" s="148" t="s">
        <v>360</v>
      </c>
      <c r="S202" s="148" t="s">
        <v>119</v>
      </c>
      <c r="T202" s="148" t="s">
        <v>133</v>
      </c>
      <c r="U202" s="148" t="s">
        <v>148</v>
      </c>
      <c r="V202" s="145">
        <f t="shared" si="33"/>
        <v>66</v>
      </c>
      <c r="W202" s="149"/>
      <c r="X202" s="145">
        <f t="shared" si="34"/>
        <v>148</v>
      </c>
      <c r="Y202">
        <f ca="1" t="shared" si="35"/>
        <v>0.667191500244132</v>
      </c>
      <c r="Z202" s="199"/>
      <c r="AA202" s="199"/>
      <c r="AB202" s="199"/>
      <c r="AC202" s="199"/>
      <c r="AD202" s="199"/>
      <c r="AE202" s="199"/>
      <c r="AF202" s="199"/>
      <c r="AG202" s="199"/>
      <c r="AH202" s="199"/>
      <c r="AI202" s="199"/>
      <c r="AJ202" s="199"/>
      <c r="AK202" s="199"/>
      <c r="AL202" s="199"/>
    </row>
    <row r="203" spans="1:38">
      <c r="A203" s="198"/>
      <c r="B203" s="153">
        <v>787</v>
      </c>
      <c r="C203" s="154" t="s">
        <v>760</v>
      </c>
      <c r="D203" s="144">
        <v>8</v>
      </c>
      <c r="E203" s="145">
        <v>81</v>
      </c>
      <c r="F203" s="145">
        <v>76</v>
      </c>
      <c r="G203" s="145">
        <v>65</v>
      </c>
      <c r="H203" s="145">
        <v>72</v>
      </c>
      <c r="I203" s="145">
        <v>70</v>
      </c>
      <c r="J203" s="145">
        <f t="shared" si="32"/>
        <v>364</v>
      </c>
      <c r="K203" s="145">
        <v>10</v>
      </c>
      <c r="L203" s="147" t="s">
        <v>115</v>
      </c>
      <c r="M203" s="147" t="s">
        <v>114</v>
      </c>
      <c r="N203" s="147" t="s">
        <v>114</v>
      </c>
      <c r="O203" s="147" t="s">
        <v>114</v>
      </c>
      <c r="P203" s="147" t="s">
        <v>130</v>
      </c>
      <c r="Q203" s="147" t="s">
        <v>124</v>
      </c>
      <c r="R203" s="148" t="s">
        <v>294</v>
      </c>
      <c r="S203" s="148" t="s">
        <v>132</v>
      </c>
      <c r="T203" s="148" t="s">
        <v>119</v>
      </c>
      <c r="U203" s="148" t="s">
        <v>120</v>
      </c>
      <c r="V203" s="145">
        <f t="shared" si="33"/>
        <v>157</v>
      </c>
      <c r="W203" s="149"/>
      <c r="X203" s="145">
        <f t="shared" si="34"/>
        <v>222</v>
      </c>
      <c r="Y203">
        <f ca="1" t="shared" si="35"/>
        <v>0.877285136454495</v>
      </c>
      <c r="Z203" s="199"/>
      <c r="AA203" s="199"/>
      <c r="AB203" s="199"/>
      <c r="AC203" s="199"/>
      <c r="AD203" s="199"/>
      <c r="AE203" s="199"/>
      <c r="AF203" s="199"/>
      <c r="AG203" s="199"/>
      <c r="AH203" s="199"/>
      <c r="AI203" s="199"/>
      <c r="AJ203" s="199"/>
      <c r="AK203" s="199"/>
      <c r="AL203" s="199"/>
    </row>
    <row r="204" spans="1:38">
      <c r="A204" s="198"/>
      <c r="B204" s="153">
        <v>411</v>
      </c>
      <c r="C204" s="154" t="s">
        <v>987</v>
      </c>
      <c r="D204" s="144">
        <v>10</v>
      </c>
      <c r="E204" s="145">
        <v>83</v>
      </c>
      <c r="F204" s="145">
        <v>83</v>
      </c>
      <c r="G204" s="145">
        <v>63</v>
      </c>
      <c r="H204" s="145">
        <v>52</v>
      </c>
      <c r="I204" s="145">
        <v>68</v>
      </c>
      <c r="J204" s="145">
        <f t="shared" si="32"/>
        <v>349</v>
      </c>
      <c r="K204" s="145">
        <v>27</v>
      </c>
      <c r="L204" s="147" t="s">
        <v>114</v>
      </c>
      <c r="M204" s="147" t="s">
        <v>115</v>
      </c>
      <c r="N204" s="147" t="s">
        <v>130</v>
      </c>
      <c r="O204" s="147" t="s">
        <v>114</v>
      </c>
      <c r="P204" s="147" t="s">
        <v>114</v>
      </c>
      <c r="Q204" s="147" t="s">
        <v>124</v>
      </c>
      <c r="R204" s="148" t="s">
        <v>721</v>
      </c>
      <c r="S204" s="148" t="s">
        <v>119</v>
      </c>
      <c r="T204" s="148" t="s">
        <v>119</v>
      </c>
      <c r="U204" s="148" t="s">
        <v>126</v>
      </c>
      <c r="V204" s="145">
        <f t="shared" si="33"/>
        <v>166</v>
      </c>
      <c r="W204" s="149"/>
      <c r="X204" s="145">
        <f t="shared" si="34"/>
        <v>229</v>
      </c>
      <c r="Y204">
        <f ca="1" t="shared" si="35"/>
        <v>0.415845888205306</v>
      </c>
      <c r="Z204" s="199"/>
      <c r="AA204" s="199"/>
      <c r="AB204" s="199"/>
      <c r="AC204" s="199"/>
      <c r="AD204" s="199"/>
      <c r="AE204" s="199"/>
      <c r="AF204" s="199"/>
      <c r="AG204" s="199"/>
      <c r="AH204" s="199"/>
      <c r="AI204" s="199"/>
      <c r="AJ204" s="199"/>
      <c r="AK204" s="199"/>
      <c r="AL204" s="199"/>
    </row>
    <row r="205" spans="1:38">
      <c r="A205" s="197" t="s">
        <v>1388</v>
      </c>
      <c r="B205" s="153">
        <v>46</v>
      </c>
      <c r="C205" s="154" t="s">
        <v>495</v>
      </c>
      <c r="D205" s="144">
        <v>15</v>
      </c>
      <c r="E205" s="145">
        <v>56</v>
      </c>
      <c r="F205" s="145">
        <v>41</v>
      </c>
      <c r="G205" s="145">
        <v>73</v>
      </c>
      <c r="H205" s="145">
        <v>99</v>
      </c>
      <c r="I205" s="145">
        <v>65</v>
      </c>
      <c r="J205" s="145">
        <f t="shared" si="32"/>
        <v>334</v>
      </c>
      <c r="K205" s="145">
        <v>19</v>
      </c>
      <c r="L205" s="147" t="s">
        <v>124</v>
      </c>
      <c r="M205" s="147" t="s">
        <v>130</v>
      </c>
      <c r="N205" s="147" t="s">
        <v>114</v>
      </c>
      <c r="O205" s="147" t="s">
        <v>124</v>
      </c>
      <c r="P205" s="147" t="s">
        <v>124</v>
      </c>
      <c r="Q205" s="147" t="s">
        <v>124</v>
      </c>
      <c r="R205" s="148" t="s">
        <v>362</v>
      </c>
      <c r="S205" s="148" t="s">
        <v>132</v>
      </c>
      <c r="T205" s="148" t="s">
        <v>119</v>
      </c>
      <c r="U205" s="148" t="s">
        <v>120</v>
      </c>
      <c r="V205" s="145">
        <f t="shared" si="33"/>
        <v>97</v>
      </c>
      <c r="W205" s="149"/>
      <c r="X205" s="145">
        <f t="shared" si="34"/>
        <v>170</v>
      </c>
      <c r="Y205">
        <f ca="1" t="shared" si="35"/>
        <v>0.721492845500613</v>
      </c>
      <c r="Z205" s="199"/>
      <c r="AA205" s="199"/>
      <c r="AB205" s="199"/>
      <c r="AC205" s="199"/>
      <c r="AD205" s="199"/>
      <c r="AE205" s="199"/>
      <c r="AF205" s="199"/>
      <c r="AG205" s="199"/>
      <c r="AH205" s="199"/>
      <c r="AI205" s="199"/>
      <c r="AJ205" s="199"/>
      <c r="AK205" s="199"/>
      <c r="AL205" s="199"/>
    </row>
    <row r="206" ht="17.6" spans="1:38">
      <c r="A206" s="197"/>
      <c r="B206" s="122">
        <v>12</v>
      </c>
      <c r="C206" s="121" t="s">
        <v>1389</v>
      </c>
      <c r="D206" s="124">
        <v>12</v>
      </c>
      <c r="E206" s="121" t="s">
        <v>1366</v>
      </c>
      <c r="F206" s="121" t="s">
        <v>490</v>
      </c>
      <c r="G206" s="145"/>
      <c r="H206" s="145"/>
      <c r="I206" s="145"/>
      <c r="J206" s="145"/>
      <c r="K206" s="145"/>
      <c r="L206" s="147"/>
      <c r="M206" s="147"/>
      <c r="N206" s="147"/>
      <c r="O206" s="147"/>
      <c r="P206" s="147"/>
      <c r="Q206" s="147"/>
      <c r="R206" s="148"/>
      <c r="S206" s="148"/>
      <c r="T206" s="148"/>
      <c r="U206" s="148"/>
      <c r="V206" s="145"/>
      <c r="W206" s="149"/>
      <c r="X206" s="145"/>
      <c r="Z206" s="199"/>
      <c r="AA206" s="199"/>
      <c r="AB206" s="199"/>
      <c r="AC206" s="199"/>
      <c r="AD206" s="199"/>
      <c r="AE206" s="199"/>
      <c r="AF206" s="199"/>
      <c r="AG206" s="199"/>
      <c r="AH206" s="199"/>
      <c r="AI206" s="199"/>
      <c r="AJ206" s="199"/>
      <c r="AK206" s="199"/>
      <c r="AL206" s="199"/>
    </row>
    <row r="207" spans="1:38">
      <c r="A207" s="197"/>
      <c r="B207" s="153">
        <v>116</v>
      </c>
      <c r="C207" s="154" t="s">
        <v>282</v>
      </c>
      <c r="D207" s="144">
        <v>14</v>
      </c>
      <c r="E207" s="145">
        <v>49</v>
      </c>
      <c r="F207" s="145">
        <v>30</v>
      </c>
      <c r="G207" s="145">
        <v>85</v>
      </c>
      <c r="H207" s="145">
        <v>97</v>
      </c>
      <c r="I207" s="145">
        <v>99</v>
      </c>
      <c r="J207" s="145">
        <f t="shared" ref="J207:J230" si="36">SUM(E207:I207)</f>
        <v>360</v>
      </c>
      <c r="K207" s="145">
        <v>34</v>
      </c>
      <c r="L207" s="147" t="s">
        <v>124</v>
      </c>
      <c r="M207" s="147" t="s">
        <v>124</v>
      </c>
      <c r="N207" s="147" t="s">
        <v>124</v>
      </c>
      <c r="O207" s="147" t="s">
        <v>124</v>
      </c>
      <c r="P207" s="147" t="s">
        <v>124</v>
      </c>
      <c r="Q207" s="147" t="s">
        <v>130</v>
      </c>
      <c r="R207" s="148" t="s">
        <v>153</v>
      </c>
      <c r="S207" s="148" t="s">
        <v>132</v>
      </c>
      <c r="T207" s="148" t="s">
        <v>279</v>
      </c>
      <c r="U207" s="148" t="s">
        <v>120</v>
      </c>
      <c r="V207" s="145">
        <f t="shared" ref="V207:V230" si="37">E207+F207</f>
        <v>79</v>
      </c>
      <c r="W207" s="149"/>
      <c r="X207" s="145">
        <f t="shared" ref="X207:X230" si="38">E207+F207+G207</f>
        <v>164</v>
      </c>
      <c r="Y207">
        <f ca="1" t="shared" ref="Y207:Y230" si="39">RAND()</f>
        <v>0.394299492431754</v>
      </c>
      <c r="Z207" s="199"/>
      <c r="AA207" s="199"/>
      <c r="AB207" s="199"/>
      <c r="AC207" s="199"/>
      <c r="AD207" s="199"/>
      <c r="AE207" s="199"/>
      <c r="AF207" s="199"/>
      <c r="AG207" s="199"/>
      <c r="AH207" s="199"/>
      <c r="AI207" s="199"/>
      <c r="AJ207" s="199"/>
      <c r="AK207" s="199"/>
      <c r="AL207" s="199"/>
    </row>
    <row r="208" spans="1:38">
      <c r="A208" s="197"/>
      <c r="B208" s="153">
        <v>619</v>
      </c>
      <c r="C208" s="154" t="s">
        <v>964</v>
      </c>
      <c r="D208" s="144">
        <v>2</v>
      </c>
      <c r="E208" s="145">
        <v>68</v>
      </c>
      <c r="F208" s="145">
        <v>71</v>
      </c>
      <c r="G208" s="145">
        <v>69</v>
      </c>
      <c r="H208" s="145">
        <v>79</v>
      </c>
      <c r="I208" s="145">
        <v>74</v>
      </c>
      <c r="J208" s="145">
        <f t="shared" si="36"/>
        <v>361</v>
      </c>
      <c r="K208" s="145">
        <v>110</v>
      </c>
      <c r="L208" s="147" t="s">
        <v>130</v>
      </c>
      <c r="M208" s="147" t="s">
        <v>114</v>
      </c>
      <c r="N208" s="147" t="s">
        <v>130</v>
      </c>
      <c r="O208" s="147" t="s">
        <v>130</v>
      </c>
      <c r="P208" s="147" t="s">
        <v>114</v>
      </c>
      <c r="Q208" s="147" t="s">
        <v>114</v>
      </c>
      <c r="R208" s="148"/>
      <c r="S208" s="148" t="s">
        <v>119</v>
      </c>
      <c r="T208" s="148" t="s">
        <v>136</v>
      </c>
      <c r="U208" s="148" t="s">
        <v>120</v>
      </c>
      <c r="V208" s="145">
        <f t="shared" si="37"/>
        <v>139</v>
      </c>
      <c r="W208" s="149"/>
      <c r="X208" s="145">
        <f t="shared" si="38"/>
        <v>208</v>
      </c>
      <c r="Y208">
        <f ca="1" t="shared" si="39"/>
        <v>0.390885522399683</v>
      </c>
      <c r="Z208" s="199"/>
      <c r="AA208" s="199"/>
      <c r="AB208" s="199"/>
      <c r="AC208" s="199"/>
      <c r="AD208" s="199"/>
      <c r="AE208" s="199"/>
      <c r="AF208" s="199"/>
      <c r="AG208" s="199"/>
      <c r="AH208" s="199"/>
      <c r="AI208" s="199"/>
      <c r="AJ208" s="199"/>
      <c r="AK208" s="199"/>
      <c r="AL208" s="199"/>
    </row>
    <row r="209" spans="1:38">
      <c r="A209" s="197"/>
      <c r="B209" s="153">
        <v>115</v>
      </c>
      <c r="C209" s="154" t="s">
        <v>634</v>
      </c>
      <c r="D209" s="144">
        <v>3</v>
      </c>
      <c r="E209" s="145">
        <v>56</v>
      </c>
      <c r="F209" s="145">
        <v>53</v>
      </c>
      <c r="G209" s="145">
        <v>70</v>
      </c>
      <c r="H209" s="145">
        <v>80</v>
      </c>
      <c r="I209" s="145">
        <v>91</v>
      </c>
      <c r="J209" s="145">
        <f t="shared" si="36"/>
        <v>350</v>
      </c>
      <c r="K209" s="145">
        <v>5</v>
      </c>
      <c r="L209" s="147" t="s">
        <v>124</v>
      </c>
      <c r="M209" s="147" t="s">
        <v>124</v>
      </c>
      <c r="N209" s="147" t="s">
        <v>124</v>
      </c>
      <c r="O209" s="147" t="s">
        <v>130</v>
      </c>
      <c r="P209" s="147" t="s">
        <v>130</v>
      </c>
      <c r="Q209" s="147" t="s">
        <v>124</v>
      </c>
      <c r="R209" s="149"/>
      <c r="S209" s="148" t="s">
        <v>119</v>
      </c>
      <c r="T209" s="148" t="s">
        <v>136</v>
      </c>
      <c r="U209" s="148" t="s">
        <v>126</v>
      </c>
      <c r="V209" s="145">
        <f t="shared" si="37"/>
        <v>109</v>
      </c>
      <c r="W209" s="149"/>
      <c r="X209" s="145">
        <f t="shared" si="38"/>
        <v>179</v>
      </c>
      <c r="Y209">
        <f ca="1" t="shared" si="39"/>
        <v>0.778115167494871</v>
      </c>
      <c r="Z209" s="199"/>
      <c r="AA209" s="199"/>
      <c r="AB209" s="199"/>
      <c r="AC209" s="199"/>
      <c r="AD209" s="199"/>
      <c r="AE209" s="199"/>
      <c r="AF209" s="199"/>
      <c r="AG209" s="199"/>
      <c r="AH209" s="199"/>
      <c r="AI209" s="199"/>
      <c r="AJ209" s="199"/>
      <c r="AK209" s="199"/>
      <c r="AL209" s="199"/>
    </row>
    <row r="210" spans="1:38">
      <c r="A210" s="197"/>
      <c r="B210" s="153">
        <v>470</v>
      </c>
      <c r="C210" s="154" t="s">
        <v>578</v>
      </c>
      <c r="D210" s="144">
        <v>3</v>
      </c>
      <c r="E210" s="145">
        <v>79</v>
      </c>
      <c r="F210" s="145">
        <v>65</v>
      </c>
      <c r="G210" s="145">
        <v>77</v>
      </c>
      <c r="H210" s="145">
        <v>66</v>
      </c>
      <c r="I210" s="145">
        <v>44</v>
      </c>
      <c r="J210" s="145">
        <f t="shared" si="36"/>
        <v>331</v>
      </c>
      <c r="K210" s="145">
        <v>19</v>
      </c>
      <c r="L210" s="147" t="s">
        <v>114</v>
      </c>
      <c r="M210" s="147" t="s">
        <v>114</v>
      </c>
      <c r="N210" s="147" t="s">
        <v>130</v>
      </c>
      <c r="O210" s="147" t="s">
        <v>130</v>
      </c>
      <c r="P210" s="147" t="s">
        <v>124</v>
      </c>
      <c r="Q210" s="147" t="s">
        <v>114</v>
      </c>
      <c r="R210" s="148" t="s">
        <v>579</v>
      </c>
      <c r="S210" s="148" t="s">
        <v>119</v>
      </c>
      <c r="T210" s="148" t="s">
        <v>136</v>
      </c>
      <c r="U210" s="148" t="s">
        <v>120</v>
      </c>
      <c r="V210" s="145">
        <f t="shared" si="37"/>
        <v>144</v>
      </c>
      <c r="W210" s="149"/>
      <c r="X210" s="145">
        <f t="shared" si="38"/>
        <v>221</v>
      </c>
      <c r="Y210">
        <f ca="1" t="shared" si="39"/>
        <v>0.748440540037487</v>
      </c>
      <c r="Z210" s="199"/>
      <c r="AA210" s="199"/>
      <c r="AB210" s="199"/>
      <c r="AC210" s="199"/>
      <c r="AD210" s="199"/>
      <c r="AE210" s="199"/>
      <c r="AF210" s="199"/>
      <c r="AG210" s="199"/>
      <c r="AH210" s="199"/>
      <c r="AI210" s="199"/>
      <c r="AJ210" s="199"/>
      <c r="AK210" s="199"/>
      <c r="AL210" s="199"/>
    </row>
    <row r="211" spans="1:38">
      <c r="A211" s="197"/>
      <c r="B211" s="153">
        <v>412</v>
      </c>
      <c r="C211" s="154" t="s">
        <v>845</v>
      </c>
      <c r="D211" s="144">
        <v>3</v>
      </c>
      <c r="E211" s="145">
        <v>76</v>
      </c>
      <c r="F211" s="145">
        <v>82</v>
      </c>
      <c r="G211" s="145">
        <v>65</v>
      </c>
      <c r="H211" s="145">
        <v>56</v>
      </c>
      <c r="I211" s="145">
        <v>52</v>
      </c>
      <c r="J211" s="145">
        <f t="shared" si="36"/>
        <v>331</v>
      </c>
      <c r="K211" s="145">
        <v>142</v>
      </c>
      <c r="L211" s="147" t="s">
        <v>114</v>
      </c>
      <c r="M211" s="147" t="s">
        <v>130</v>
      </c>
      <c r="N211" s="147" t="s">
        <v>130</v>
      </c>
      <c r="O211" s="147" t="s">
        <v>114</v>
      </c>
      <c r="P211" s="147" t="s">
        <v>130</v>
      </c>
      <c r="Q211" s="147" t="s">
        <v>130</v>
      </c>
      <c r="R211" s="148" t="s">
        <v>217</v>
      </c>
      <c r="S211" s="148" t="s">
        <v>132</v>
      </c>
      <c r="T211" s="148" t="s">
        <v>136</v>
      </c>
      <c r="U211" s="148" t="s">
        <v>126</v>
      </c>
      <c r="V211" s="145">
        <f t="shared" si="37"/>
        <v>158</v>
      </c>
      <c r="W211" s="149"/>
      <c r="X211" s="145">
        <f t="shared" si="38"/>
        <v>223</v>
      </c>
      <c r="Y211">
        <f ca="1" t="shared" si="39"/>
        <v>0.0519396456340468</v>
      </c>
      <c r="Z211" s="199"/>
      <c r="AA211" s="199"/>
      <c r="AB211" s="199"/>
      <c r="AC211" s="199"/>
      <c r="AD211" s="199"/>
      <c r="AE211" s="199"/>
      <c r="AF211" s="199"/>
      <c r="AG211" s="199"/>
      <c r="AH211" s="199"/>
      <c r="AI211" s="199"/>
      <c r="AJ211" s="199"/>
      <c r="AK211" s="199"/>
      <c r="AL211" s="199"/>
    </row>
    <row r="212" spans="1:38">
      <c r="A212" s="197"/>
      <c r="B212" s="153">
        <v>661</v>
      </c>
      <c r="C212" s="154" t="s">
        <v>180</v>
      </c>
      <c r="D212" s="144">
        <v>9</v>
      </c>
      <c r="E212" s="145">
        <v>84</v>
      </c>
      <c r="F212" s="145">
        <v>80</v>
      </c>
      <c r="G212" s="145">
        <v>83</v>
      </c>
      <c r="H212" s="145">
        <v>58</v>
      </c>
      <c r="I212" s="145">
        <v>80</v>
      </c>
      <c r="J212" s="145">
        <f t="shared" si="36"/>
        <v>385</v>
      </c>
      <c r="K212" s="145">
        <v>124</v>
      </c>
      <c r="L212" s="147" t="s">
        <v>114</v>
      </c>
      <c r="M212" s="147" t="s">
        <v>114</v>
      </c>
      <c r="N212" s="147" t="s">
        <v>130</v>
      </c>
      <c r="O212" s="147" t="s">
        <v>130</v>
      </c>
      <c r="P212" s="147" t="s">
        <v>115</v>
      </c>
      <c r="Q212" s="147" t="s">
        <v>115</v>
      </c>
      <c r="R212" s="148" t="s">
        <v>181</v>
      </c>
      <c r="S212" s="148" t="s">
        <v>132</v>
      </c>
      <c r="T212" s="148" t="s">
        <v>119</v>
      </c>
      <c r="U212" s="148" t="s">
        <v>126</v>
      </c>
      <c r="V212" s="145">
        <f t="shared" si="37"/>
        <v>164</v>
      </c>
      <c r="W212" s="149"/>
      <c r="X212" s="145">
        <f t="shared" si="38"/>
        <v>247</v>
      </c>
      <c r="Y212">
        <f ca="1" t="shared" si="39"/>
        <v>0.895014432171212</v>
      </c>
      <c r="Z212" s="199"/>
      <c r="AA212" s="199"/>
      <c r="AB212" s="199"/>
      <c r="AC212" s="199"/>
      <c r="AD212" s="199"/>
      <c r="AE212" s="199"/>
      <c r="AF212" s="199"/>
      <c r="AG212" s="199"/>
      <c r="AH212" s="199"/>
      <c r="AI212" s="199"/>
      <c r="AJ212" s="199"/>
      <c r="AK212" s="199"/>
      <c r="AL212" s="199"/>
    </row>
    <row r="213" spans="1:38">
      <c r="A213" s="197"/>
      <c r="B213" s="153">
        <v>239</v>
      </c>
      <c r="C213" s="154" t="s">
        <v>237</v>
      </c>
      <c r="D213" s="144">
        <v>12</v>
      </c>
      <c r="E213" s="145">
        <v>87</v>
      </c>
      <c r="F213" s="145">
        <v>38</v>
      </c>
      <c r="G213" s="145">
        <v>86</v>
      </c>
      <c r="H213" s="145">
        <v>70</v>
      </c>
      <c r="I213" s="145">
        <v>62</v>
      </c>
      <c r="J213" s="145">
        <f t="shared" si="36"/>
        <v>343</v>
      </c>
      <c r="K213" s="145">
        <v>25</v>
      </c>
      <c r="L213" s="147" t="s">
        <v>115</v>
      </c>
      <c r="M213" s="147" t="s">
        <v>130</v>
      </c>
      <c r="N213" s="147" t="s">
        <v>114</v>
      </c>
      <c r="O213" s="147" t="s">
        <v>114</v>
      </c>
      <c r="P213" s="147" t="s">
        <v>115</v>
      </c>
      <c r="Q213" s="147" t="s">
        <v>124</v>
      </c>
      <c r="R213" s="158" t="s">
        <v>178</v>
      </c>
      <c r="S213" s="148" t="s">
        <v>132</v>
      </c>
      <c r="T213" s="148" t="s">
        <v>119</v>
      </c>
      <c r="U213" s="148" t="s">
        <v>126</v>
      </c>
      <c r="V213" s="145">
        <f t="shared" si="37"/>
        <v>125</v>
      </c>
      <c r="W213" s="148" t="s">
        <v>179</v>
      </c>
      <c r="X213" s="145">
        <f t="shared" si="38"/>
        <v>211</v>
      </c>
      <c r="Y213">
        <f ca="1" t="shared" si="39"/>
        <v>0.962400628861217</v>
      </c>
      <c r="Z213" s="199"/>
      <c r="AA213" s="199"/>
      <c r="AB213" s="199"/>
      <c r="AC213" s="199"/>
      <c r="AD213" s="199"/>
      <c r="AE213" s="199"/>
      <c r="AF213" s="199"/>
      <c r="AG213" s="199"/>
      <c r="AH213" s="199"/>
      <c r="AI213" s="199"/>
      <c r="AJ213" s="199"/>
      <c r="AK213" s="199"/>
      <c r="AL213" s="199"/>
    </row>
    <row r="214" spans="1:38">
      <c r="A214" s="197"/>
      <c r="B214" s="153">
        <v>61</v>
      </c>
      <c r="C214" s="154" t="s">
        <v>300</v>
      </c>
      <c r="D214" s="144">
        <v>3</v>
      </c>
      <c r="E214" s="145">
        <v>56</v>
      </c>
      <c r="F214" s="145">
        <v>56</v>
      </c>
      <c r="G214" s="145">
        <v>73</v>
      </c>
      <c r="H214" s="145">
        <v>84</v>
      </c>
      <c r="I214" s="145">
        <v>92</v>
      </c>
      <c r="J214" s="145">
        <f t="shared" si="36"/>
        <v>361</v>
      </c>
      <c r="K214" s="145">
        <v>0</v>
      </c>
      <c r="L214" s="147" t="s">
        <v>124</v>
      </c>
      <c r="M214" s="147" t="s">
        <v>124</v>
      </c>
      <c r="N214" s="147" t="s">
        <v>130</v>
      </c>
      <c r="O214" s="147" t="s">
        <v>130</v>
      </c>
      <c r="P214" s="147" t="s">
        <v>124</v>
      </c>
      <c r="Q214" s="147" t="s">
        <v>124</v>
      </c>
      <c r="R214" s="149"/>
      <c r="S214" s="148" t="s">
        <v>132</v>
      </c>
      <c r="T214" s="148" t="s">
        <v>136</v>
      </c>
      <c r="U214" s="148" t="s">
        <v>126</v>
      </c>
      <c r="V214" s="145">
        <f t="shared" si="37"/>
        <v>112</v>
      </c>
      <c r="W214" s="149"/>
      <c r="X214" s="145">
        <f t="shared" si="38"/>
        <v>185</v>
      </c>
      <c r="Y214">
        <f ca="1" t="shared" si="39"/>
        <v>0.550109511930611</v>
      </c>
      <c r="Z214" s="199"/>
      <c r="AA214" s="199"/>
      <c r="AB214" s="199"/>
      <c r="AC214" s="199"/>
      <c r="AD214" s="199"/>
      <c r="AE214" s="199"/>
      <c r="AF214" s="199"/>
      <c r="AG214" s="199"/>
      <c r="AH214" s="199"/>
      <c r="AI214" s="199"/>
      <c r="AJ214" s="199"/>
      <c r="AK214" s="199"/>
      <c r="AL214" s="199"/>
    </row>
    <row r="215" spans="1:38">
      <c r="A215" s="197"/>
      <c r="B215" s="153">
        <v>650</v>
      </c>
      <c r="C215" s="154" t="s">
        <v>902</v>
      </c>
      <c r="D215" s="144">
        <v>12</v>
      </c>
      <c r="E215" s="145">
        <v>90</v>
      </c>
      <c r="F215" s="145">
        <v>67</v>
      </c>
      <c r="G215" s="145">
        <v>76</v>
      </c>
      <c r="H215" s="145">
        <v>77</v>
      </c>
      <c r="I215" s="145">
        <v>88</v>
      </c>
      <c r="J215" s="145">
        <f t="shared" si="36"/>
        <v>398</v>
      </c>
      <c r="K215" s="145">
        <v>61</v>
      </c>
      <c r="L215" s="147" t="s">
        <v>114</v>
      </c>
      <c r="M215" s="147" t="s">
        <v>115</v>
      </c>
      <c r="N215" s="147" t="s">
        <v>115</v>
      </c>
      <c r="O215" s="147" t="s">
        <v>130</v>
      </c>
      <c r="P215" s="147" t="s">
        <v>114</v>
      </c>
      <c r="Q215" s="147" t="s">
        <v>130</v>
      </c>
      <c r="R215" s="148" t="s">
        <v>155</v>
      </c>
      <c r="S215" s="148" t="s">
        <v>118</v>
      </c>
      <c r="T215" s="148" t="s">
        <v>119</v>
      </c>
      <c r="U215" s="148" t="s">
        <v>126</v>
      </c>
      <c r="V215" s="145">
        <f t="shared" si="37"/>
        <v>157</v>
      </c>
      <c r="W215" s="149"/>
      <c r="X215" s="145">
        <f t="shared" si="38"/>
        <v>233</v>
      </c>
      <c r="Y215">
        <f ca="1" t="shared" si="39"/>
        <v>0.23537646201192</v>
      </c>
      <c r="Z215" s="199"/>
      <c r="AA215" s="199"/>
      <c r="AB215" s="199"/>
      <c r="AC215" s="199"/>
      <c r="AD215" s="199"/>
      <c r="AE215" s="199"/>
      <c r="AF215" s="199"/>
      <c r="AG215" s="199"/>
      <c r="AH215" s="199"/>
      <c r="AI215" s="199"/>
      <c r="AJ215" s="199"/>
      <c r="AK215" s="199"/>
      <c r="AL215" s="199"/>
    </row>
    <row r="216" spans="1:38">
      <c r="A216" s="201" t="s">
        <v>1390</v>
      </c>
      <c r="B216" s="153">
        <v>554</v>
      </c>
      <c r="C216" s="154" t="s">
        <v>828</v>
      </c>
      <c r="D216" s="144">
        <v>14</v>
      </c>
      <c r="E216" s="145">
        <v>81</v>
      </c>
      <c r="F216" s="145">
        <v>89</v>
      </c>
      <c r="G216" s="145">
        <v>62</v>
      </c>
      <c r="H216" s="145">
        <v>46</v>
      </c>
      <c r="I216" s="145">
        <v>57</v>
      </c>
      <c r="J216" s="145">
        <f t="shared" si="36"/>
        <v>335</v>
      </c>
      <c r="K216" s="145">
        <v>94</v>
      </c>
      <c r="L216" s="147" t="s">
        <v>130</v>
      </c>
      <c r="M216" s="147" t="s">
        <v>130</v>
      </c>
      <c r="N216" s="147" t="s">
        <v>114</v>
      </c>
      <c r="O216" s="147" t="s">
        <v>115</v>
      </c>
      <c r="P216" s="147" t="s">
        <v>130</v>
      </c>
      <c r="Q216" s="147" t="s">
        <v>124</v>
      </c>
      <c r="R216" s="158" t="s">
        <v>274</v>
      </c>
      <c r="S216" s="148" t="s">
        <v>118</v>
      </c>
      <c r="T216" s="148" t="s">
        <v>119</v>
      </c>
      <c r="U216" s="148" t="s">
        <v>126</v>
      </c>
      <c r="V216" s="145">
        <f t="shared" si="37"/>
        <v>170</v>
      </c>
      <c r="W216" s="148" t="s">
        <v>276</v>
      </c>
      <c r="X216" s="145">
        <f t="shared" si="38"/>
        <v>232</v>
      </c>
      <c r="Y216">
        <f ca="1" t="shared" si="39"/>
        <v>0.434879181243084</v>
      </c>
      <c r="Z216" s="199"/>
      <c r="AA216" s="199"/>
      <c r="AB216" s="199"/>
      <c r="AC216" s="199"/>
      <c r="AD216" s="199"/>
      <c r="AE216" s="199"/>
      <c r="AF216" s="199"/>
      <c r="AG216" s="199"/>
      <c r="AH216" s="199"/>
      <c r="AI216" s="199"/>
      <c r="AJ216" s="199"/>
      <c r="AK216" s="199"/>
      <c r="AL216" s="199"/>
    </row>
    <row r="217" spans="1:38">
      <c r="A217" s="202"/>
      <c r="B217" s="153">
        <v>267</v>
      </c>
      <c r="C217" s="154" t="s">
        <v>415</v>
      </c>
      <c r="D217" s="144">
        <v>13</v>
      </c>
      <c r="E217" s="145">
        <v>84</v>
      </c>
      <c r="F217" s="145">
        <v>88</v>
      </c>
      <c r="G217" s="145">
        <v>65</v>
      </c>
      <c r="H217" s="145">
        <v>64</v>
      </c>
      <c r="I217" s="145">
        <v>76</v>
      </c>
      <c r="J217" s="145">
        <f t="shared" si="36"/>
        <v>377</v>
      </c>
      <c r="K217" s="145">
        <v>5</v>
      </c>
      <c r="L217" s="147" t="s">
        <v>114</v>
      </c>
      <c r="M217" s="147" t="s">
        <v>114</v>
      </c>
      <c r="N217" s="147" t="s">
        <v>115</v>
      </c>
      <c r="O217" s="147" t="s">
        <v>115</v>
      </c>
      <c r="P217" s="147" t="s">
        <v>124</v>
      </c>
      <c r="Q217" s="147" t="s">
        <v>124</v>
      </c>
      <c r="R217" s="148" t="s">
        <v>416</v>
      </c>
      <c r="S217" s="148" t="s">
        <v>119</v>
      </c>
      <c r="T217" s="148" t="s">
        <v>119</v>
      </c>
      <c r="U217" s="148" t="s">
        <v>250</v>
      </c>
      <c r="V217" s="145">
        <f t="shared" si="37"/>
        <v>172</v>
      </c>
      <c r="W217" s="149"/>
      <c r="X217" s="145">
        <f t="shared" si="38"/>
        <v>237</v>
      </c>
      <c r="Y217">
        <f ca="1" t="shared" si="39"/>
        <v>0.928575451918885</v>
      </c>
      <c r="Z217" s="199"/>
      <c r="AA217" s="199"/>
      <c r="AB217" s="199"/>
      <c r="AC217" s="199"/>
      <c r="AD217" s="199"/>
      <c r="AE217" s="199"/>
      <c r="AF217" s="199"/>
      <c r="AG217" s="199"/>
      <c r="AH217" s="199"/>
      <c r="AI217" s="199"/>
      <c r="AJ217" s="199"/>
      <c r="AK217" s="199"/>
      <c r="AL217" s="199"/>
    </row>
    <row r="218" spans="1:38">
      <c r="A218" s="202"/>
      <c r="B218" s="153">
        <v>9</v>
      </c>
      <c r="C218" s="154" t="s">
        <v>249</v>
      </c>
      <c r="D218" s="144">
        <v>10</v>
      </c>
      <c r="E218" s="145">
        <v>84</v>
      </c>
      <c r="F218" s="145">
        <v>75</v>
      </c>
      <c r="G218" s="145">
        <v>69</v>
      </c>
      <c r="H218" s="145">
        <v>44</v>
      </c>
      <c r="I218" s="145">
        <v>58</v>
      </c>
      <c r="J218" s="145">
        <f t="shared" si="36"/>
        <v>330</v>
      </c>
      <c r="K218" s="145">
        <v>68</v>
      </c>
      <c r="L218" s="147" t="s">
        <v>115</v>
      </c>
      <c r="M218" s="147" t="s">
        <v>114</v>
      </c>
      <c r="N218" s="147" t="s">
        <v>130</v>
      </c>
      <c r="O218" s="147" t="s">
        <v>130</v>
      </c>
      <c r="P218" s="147" t="s">
        <v>115</v>
      </c>
      <c r="Q218" s="147" t="s">
        <v>130</v>
      </c>
      <c r="R218" s="158" t="s">
        <v>210</v>
      </c>
      <c r="S218" s="148" t="s">
        <v>132</v>
      </c>
      <c r="T218" s="148" t="s">
        <v>119</v>
      </c>
      <c r="U218" s="148" t="s">
        <v>250</v>
      </c>
      <c r="V218" s="145">
        <f t="shared" si="37"/>
        <v>159</v>
      </c>
      <c r="W218" s="148" t="s">
        <v>211</v>
      </c>
      <c r="X218" s="145">
        <f t="shared" si="38"/>
        <v>228</v>
      </c>
      <c r="Y218">
        <f ca="1" t="shared" si="39"/>
        <v>0.497397342980168</v>
      </c>
      <c r="Z218" s="199"/>
      <c r="AA218" s="199"/>
      <c r="AB218" s="199"/>
      <c r="AC218" s="199"/>
      <c r="AD218" s="199"/>
      <c r="AE218" s="199"/>
      <c r="AF218" s="199"/>
      <c r="AG218" s="199"/>
      <c r="AH218" s="199"/>
      <c r="AI218" s="199"/>
      <c r="AJ218" s="199"/>
      <c r="AK218" s="199"/>
      <c r="AL218" s="199"/>
    </row>
    <row r="219" spans="1:38">
      <c r="A219" s="202"/>
      <c r="B219" s="153">
        <v>320</v>
      </c>
      <c r="C219" s="154" t="s">
        <v>419</v>
      </c>
      <c r="D219" s="144">
        <v>6</v>
      </c>
      <c r="E219" s="145">
        <v>39</v>
      </c>
      <c r="F219" s="145">
        <v>46</v>
      </c>
      <c r="G219" s="145">
        <v>91</v>
      </c>
      <c r="H219" s="145">
        <v>94</v>
      </c>
      <c r="I219" s="145">
        <v>75</v>
      </c>
      <c r="J219" s="145">
        <f t="shared" si="36"/>
        <v>345</v>
      </c>
      <c r="K219" s="145">
        <v>65</v>
      </c>
      <c r="L219" s="147" t="s">
        <v>124</v>
      </c>
      <c r="M219" s="147" t="s">
        <v>124</v>
      </c>
      <c r="N219" s="147" t="s">
        <v>124</v>
      </c>
      <c r="O219" s="147" t="s">
        <v>124</v>
      </c>
      <c r="P219" s="147" t="s">
        <v>124</v>
      </c>
      <c r="Q219" s="147" t="s">
        <v>130</v>
      </c>
      <c r="R219" s="148" t="s">
        <v>386</v>
      </c>
      <c r="S219" s="148" t="s">
        <v>118</v>
      </c>
      <c r="T219" s="148" t="s">
        <v>119</v>
      </c>
      <c r="U219" s="148" t="s">
        <v>120</v>
      </c>
      <c r="V219" s="145">
        <f t="shared" si="37"/>
        <v>85</v>
      </c>
      <c r="W219" s="149"/>
      <c r="X219" s="145">
        <f t="shared" si="38"/>
        <v>176</v>
      </c>
      <c r="Y219">
        <f ca="1" t="shared" si="39"/>
        <v>0.506683178696474</v>
      </c>
      <c r="Z219" s="199"/>
      <c r="AA219" s="199"/>
      <c r="AB219" s="199"/>
      <c r="AC219" s="199"/>
      <c r="AD219" s="199"/>
      <c r="AE219" s="199"/>
      <c r="AF219" s="199"/>
      <c r="AG219" s="199"/>
      <c r="AH219" s="199"/>
      <c r="AI219" s="199"/>
      <c r="AJ219" s="199"/>
      <c r="AK219" s="199"/>
      <c r="AL219" s="199"/>
    </row>
    <row r="220" spans="1:38">
      <c r="A220" s="202"/>
      <c r="B220" s="153">
        <v>569</v>
      </c>
      <c r="C220" s="154" t="s">
        <v>752</v>
      </c>
      <c r="D220" s="144">
        <v>3</v>
      </c>
      <c r="E220" s="145">
        <v>76</v>
      </c>
      <c r="F220" s="145">
        <v>86</v>
      </c>
      <c r="G220" s="145">
        <v>48</v>
      </c>
      <c r="H220" s="145">
        <v>49</v>
      </c>
      <c r="I220" s="145">
        <v>71</v>
      </c>
      <c r="J220" s="145">
        <f t="shared" si="36"/>
        <v>330</v>
      </c>
      <c r="K220" s="145">
        <v>33</v>
      </c>
      <c r="L220" s="147" t="s">
        <v>115</v>
      </c>
      <c r="M220" s="147" t="s">
        <v>124</v>
      </c>
      <c r="N220" s="147" t="s">
        <v>124</v>
      </c>
      <c r="O220" s="147" t="s">
        <v>130</v>
      </c>
      <c r="P220" s="147" t="s">
        <v>130</v>
      </c>
      <c r="Q220" s="147" t="s">
        <v>114</v>
      </c>
      <c r="R220" s="149"/>
      <c r="S220" s="148" t="s">
        <v>132</v>
      </c>
      <c r="T220" s="148" t="s">
        <v>133</v>
      </c>
      <c r="U220" s="148" t="s">
        <v>126</v>
      </c>
      <c r="V220" s="145">
        <f t="shared" si="37"/>
        <v>162</v>
      </c>
      <c r="W220" s="149"/>
      <c r="X220" s="145">
        <f t="shared" si="38"/>
        <v>210</v>
      </c>
      <c r="Y220">
        <f ca="1" t="shared" si="39"/>
        <v>0.386450848629429</v>
      </c>
      <c r="Z220" s="199"/>
      <c r="AA220" s="199"/>
      <c r="AB220" s="199"/>
      <c r="AC220" s="199"/>
      <c r="AD220" s="199"/>
      <c r="AE220" s="199"/>
      <c r="AF220" s="199"/>
      <c r="AG220" s="199"/>
      <c r="AH220" s="199"/>
      <c r="AI220" s="199"/>
      <c r="AJ220" s="199"/>
      <c r="AK220" s="199"/>
      <c r="AL220" s="199"/>
    </row>
    <row r="221" spans="1:38">
      <c r="A221" s="202"/>
      <c r="B221" s="153">
        <v>696</v>
      </c>
      <c r="C221" s="154" t="s">
        <v>478</v>
      </c>
      <c r="D221" s="144">
        <v>2</v>
      </c>
      <c r="E221" s="145">
        <v>77</v>
      </c>
      <c r="F221" s="145">
        <v>77</v>
      </c>
      <c r="G221" s="145">
        <v>79</v>
      </c>
      <c r="H221" s="145">
        <v>63</v>
      </c>
      <c r="I221" s="145">
        <v>67</v>
      </c>
      <c r="J221" s="145">
        <f t="shared" si="36"/>
        <v>363</v>
      </c>
      <c r="K221" s="145">
        <v>90</v>
      </c>
      <c r="L221" s="147" t="s">
        <v>114</v>
      </c>
      <c r="M221" s="147" t="s">
        <v>114</v>
      </c>
      <c r="N221" s="147" t="s">
        <v>130</v>
      </c>
      <c r="O221" s="147" t="s">
        <v>130</v>
      </c>
      <c r="P221" s="147" t="s">
        <v>124</v>
      </c>
      <c r="Q221" s="147" t="s">
        <v>115</v>
      </c>
      <c r="R221" s="149"/>
      <c r="S221" s="148" t="s">
        <v>132</v>
      </c>
      <c r="T221" s="148" t="s">
        <v>119</v>
      </c>
      <c r="U221" s="148" t="s">
        <v>120</v>
      </c>
      <c r="V221" s="145">
        <f t="shared" si="37"/>
        <v>154</v>
      </c>
      <c r="W221" s="149"/>
      <c r="X221" s="145">
        <f t="shared" si="38"/>
        <v>233</v>
      </c>
      <c r="Y221">
        <f ca="1" t="shared" si="39"/>
        <v>0.523297465897193</v>
      </c>
      <c r="Z221" s="199"/>
      <c r="AA221" s="199"/>
      <c r="AB221" s="199"/>
      <c r="AC221" s="199"/>
      <c r="AD221" s="199"/>
      <c r="AE221" s="199"/>
      <c r="AF221" s="199"/>
      <c r="AG221" s="199"/>
      <c r="AH221" s="199"/>
      <c r="AI221" s="199"/>
      <c r="AJ221" s="199"/>
      <c r="AK221" s="199"/>
      <c r="AL221" s="199"/>
    </row>
    <row r="222" spans="1:38">
      <c r="A222" s="202"/>
      <c r="B222" s="153">
        <v>4</v>
      </c>
      <c r="C222" s="154" t="s">
        <v>700</v>
      </c>
      <c r="D222" s="144">
        <v>2</v>
      </c>
      <c r="E222" s="145">
        <v>60</v>
      </c>
      <c r="F222" s="145">
        <v>53</v>
      </c>
      <c r="G222" s="145">
        <v>82</v>
      </c>
      <c r="H222" s="145">
        <v>82</v>
      </c>
      <c r="I222" s="145">
        <v>79</v>
      </c>
      <c r="J222" s="145">
        <f t="shared" si="36"/>
        <v>356</v>
      </c>
      <c r="K222" s="145">
        <v>67</v>
      </c>
      <c r="L222" s="147" t="s">
        <v>124</v>
      </c>
      <c r="M222" s="147" t="s">
        <v>114</v>
      </c>
      <c r="N222" s="147" t="s">
        <v>130</v>
      </c>
      <c r="O222" s="147" t="s">
        <v>124</v>
      </c>
      <c r="P222" s="147" t="s">
        <v>130</v>
      </c>
      <c r="Q222" s="147" t="s">
        <v>124</v>
      </c>
      <c r="R222" s="148" t="s">
        <v>701</v>
      </c>
      <c r="S222" s="148" t="s">
        <v>175</v>
      </c>
      <c r="T222" s="148" t="s">
        <v>136</v>
      </c>
      <c r="U222" s="148" t="s">
        <v>126</v>
      </c>
      <c r="V222" s="145">
        <f t="shared" si="37"/>
        <v>113</v>
      </c>
      <c r="W222" s="149"/>
      <c r="X222" s="145">
        <f t="shared" si="38"/>
        <v>195</v>
      </c>
      <c r="Y222">
        <f ca="1" t="shared" si="39"/>
        <v>0.786951332371258</v>
      </c>
      <c r="Z222" s="199"/>
      <c r="AA222" s="199"/>
      <c r="AB222" s="199"/>
      <c r="AC222" s="199"/>
      <c r="AD222" s="199"/>
      <c r="AE222" s="199"/>
      <c r="AF222" s="199"/>
      <c r="AG222" s="199"/>
      <c r="AH222" s="199"/>
      <c r="AI222" s="199"/>
      <c r="AJ222" s="199"/>
      <c r="AK222" s="199"/>
      <c r="AL222" s="199"/>
    </row>
    <row r="223" spans="1:38">
      <c r="A223" s="202"/>
      <c r="B223" s="153">
        <v>697</v>
      </c>
      <c r="C223" s="154" t="s">
        <v>870</v>
      </c>
      <c r="D223" s="144">
        <v>9</v>
      </c>
      <c r="E223" s="145">
        <v>80</v>
      </c>
      <c r="F223" s="145">
        <v>86</v>
      </c>
      <c r="G223" s="145">
        <v>46</v>
      </c>
      <c r="H223" s="145">
        <v>39</v>
      </c>
      <c r="I223" s="145">
        <v>35</v>
      </c>
      <c r="J223" s="145">
        <f t="shared" si="36"/>
        <v>286</v>
      </c>
      <c r="K223" s="145">
        <v>95</v>
      </c>
      <c r="L223" s="147" t="s">
        <v>114</v>
      </c>
      <c r="M223" s="147" t="s">
        <v>130</v>
      </c>
      <c r="N223" s="147" t="s">
        <v>130</v>
      </c>
      <c r="O223" s="147" t="s">
        <v>115</v>
      </c>
      <c r="P223" s="147" t="s">
        <v>130</v>
      </c>
      <c r="Q223" s="147" t="s">
        <v>130</v>
      </c>
      <c r="R223" s="148" t="s">
        <v>411</v>
      </c>
      <c r="S223" s="148" t="s">
        <v>275</v>
      </c>
      <c r="T223" s="148" t="s">
        <v>145</v>
      </c>
      <c r="U223" s="148" t="s">
        <v>250</v>
      </c>
      <c r="V223" s="145">
        <f t="shared" si="37"/>
        <v>166</v>
      </c>
      <c r="W223" s="149"/>
      <c r="X223" s="145">
        <f t="shared" si="38"/>
        <v>212</v>
      </c>
      <c r="Y223">
        <f ca="1" t="shared" si="39"/>
        <v>0.0700246718998045</v>
      </c>
      <c r="Z223" s="199"/>
      <c r="AA223" s="199"/>
      <c r="AB223" s="199"/>
      <c r="AC223" s="199"/>
      <c r="AD223" s="199"/>
      <c r="AE223" s="199"/>
      <c r="AF223" s="199"/>
      <c r="AG223" s="199"/>
      <c r="AH223" s="199"/>
      <c r="AI223" s="199"/>
      <c r="AJ223" s="199"/>
      <c r="AK223" s="199"/>
      <c r="AL223" s="199"/>
    </row>
    <row r="224" spans="1:38">
      <c r="A224" s="202"/>
      <c r="B224" s="153">
        <v>169</v>
      </c>
      <c r="C224" s="154" t="s">
        <v>673</v>
      </c>
      <c r="D224" s="144">
        <v>4</v>
      </c>
      <c r="E224" s="145">
        <v>65</v>
      </c>
      <c r="F224" s="145">
        <v>74</v>
      </c>
      <c r="G224" s="145">
        <v>72</v>
      </c>
      <c r="H224" s="145">
        <v>67</v>
      </c>
      <c r="I224" s="145">
        <v>83</v>
      </c>
      <c r="J224" s="145">
        <f t="shared" si="36"/>
        <v>361</v>
      </c>
      <c r="K224" s="145">
        <v>73</v>
      </c>
      <c r="L224" s="147" t="s">
        <v>130</v>
      </c>
      <c r="M224" s="147" t="s">
        <v>130</v>
      </c>
      <c r="N224" s="147" t="s">
        <v>124</v>
      </c>
      <c r="O224" s="147" t="s">
        <v>130</v>
      </c>
      <c r="P224" s="147" t="s">
        <v>130</v>
      </c>
      <c r="Q224" s="147" t="s">
        <v>124</v>
      </c>
      <c r="R224" s="148" t="s">
        <v>674</v>
      </c>
      <c r="S224" s="148" t="s">
        <v>132</v>
      </c>
      <c r="T224" s="148" t="s">
        <v>119</v>
      </c>
      <c r="U224" s="148" t="s">
        <v>120</v>
      </c>
      <c r="V224" s="145">
        <f t="shared" si="37"/>
        <v>139</v>
      </c>
      <c r="W224" s="149"/>
      <c r="X224" s="145">
        <f t="shared" si="38"/>
        <v>211</v>
      </c>
      <c r="Y224">
        <f ca="1" t="shared" si="39"/>
        <v>0.443007363116296</v>
      </c>
      <c r="Z224" s="199"/>
      <c r="AA224" s="199"/>
      <c r="AB224" s="199"/>
      <c r="AC224" s="199"/>
      <c r="AD224" s="199"/>
      <c r="AE224" s="199"/>
      <c r="AF224" s="199"/>
      <c r="AG224" s="199"/>
      <c r="AH224" s="199"/>
      <c r="AI224" s="199"/>
      <c r="AJ224" s="199"/>
      <c r="AK224" s="199"/>
      <c r="AL224" s="199"/>
    </row>
    <row r="225" spans="1:38">
      <c r="A225" s="202"/>
      <c r="B225" s="153">
        <v>265</v>
      </c>
      <c r="C225" s="154" t="s">
        <v>981</v>
      </c>
      <c r="D225" s="144">
        <v>2</v>
      </c>
      <c r="E225" s="145">
        <v>77</v>
      </c>
      <c r="F225" s="145">
        <v>70</v>
      </c>
      <c r="G225" s="145">
        <v>78</v>
      </c>
      <c r="H225" s="145">
        <v>85</v>
      </c>
      <c r="I225" s="145">
        <v>70</v>
      </c>
      <c r="J225" s="145">
        <f t="shared" si="36"/>
        <v>380</v>
      </c>
      <c r="K225" s="145">
        <v>5</v>
      </c>
      <c r="L225" s="147" t="s">
        <v>130</v>
      </c>
      <c r="M225" s="147" t="s">
        <v>130</v>
      </c>
      <c r="N225" s="147" t="s">
        <v>130</v>
      </c>
      <c r="O225" s="147" t="s">
        <v>114</v>
      </c>
      <c r="P225" s="147" t="s">
        <v>114</v>
      </c>
      <c r="Q225" s="147" t="s">
        <v>124</v>
      </c>
      <c r="R225" s="148" t="s">
        <v>217</v>
      </c>
      <c r="S225" s="148" t="s">
        <v>119</v>
      </c>
      <c r="T225" s="148" t="s">
        <v>136</v>
      </c>
      <c r="U225" s="148" t="s">
        <v>126</v>
      </c>
      <c r="V225" s="145">
        <f t="shared" si="37"/>
        <v>147</v>
      </c>
      <c r="W225" s="149"/>
      <c r="X225" s="145">
        <f t="shared" si="38"/>
        <v>225</v>
      </c>
      <c r="Y225">
        <f ca="1" t="shared" si="39"/>
        <v>0.796697932023145</v>
      </c>
      <c r="Z225" s="199"/>
      <c r="AA225" s="199"/>
      <c r="AB225" s="199"/>
      <c r="AC225" s="199"/>
      <c r="AD225" s="199"/>
      <c r="AE225" s="199"/>
      <c r="AF225" s="199"/>
      <c r="AG225" s="199"/>
      <c r="AH225" s="199"/>
      <c r="AI225" s="199"/>
      <c r="AJ225" s="199"/>
      <c r="AK225" s="199"/>
      <c r="AL225" s="199"/>
    </row>
    <row r="226" spans="1:38">
      <c r="A226" s="202"/>
      <c r="B226" s="153">
        <v>181</v>
      </c>
      <c r="C226" s="154" t="s">
        <v>313</v>
      </c>
      <c r="D226" s="144">
        <v>1</v>
      </c>
      <c r="E226" s="145">
        <v>19</v>
      </c>
      <c r="F226" s="145">
        <v>38</v>
      </c>
      <c r="G226" s="145">
        <v>72</v>
      </c>
      <c r="H226" s="145">
        <v>82</v>
      </c>
      <c r="I226" s="145">
        <v>89</v>
      </c>
      <c r="J226" s="145">
        <f t="shared" si="36"/>
        <v>300</v>
      </c>
      <c r="K226" s="145">
        <v>89</v>
      </c>
      <c r="L226" s="147" t="s">
        <v>124</v>
      </c>
      <c r="M226" s="147" t="s">
        <v>124</v>
      </c>
      <c r="N226" s="147" t="s">
        <v>124</v>
      </c>
      <c r="O226" s="147" t="s">
        <v>124</v>
      </c>
      <c r="P226" s="147" t="s">
        <v>124</v>
      </c>
      <c r="Q226" s="147" t="s">
        <v>124</v>
      </c>
      <c r="R226" s="148" t="s">
        <v>314</v>
      </c>
      <c r="S226" s="148" t="s">
        <v>132</v>
      </c>
      <c r="T226" s="148" t="s">
        <v>136</v>
      </c>
      <c r="U226" s="148" t="s">
        <v>148</v>
      </c>
      <c r="V226" s="145">
        <f t="shared" si="37"/>
        <v>57</v>
      </c>
      <c r="W226" s="149"/>
      <c r="X226" s="145">
        <f t="shared" si="38"/>
        <v>129</v>
      </c>
      <c r="Y226">
        <f ca="1" t="shared" si="39"/>
        <v>0.681029416945604</v>
      </c>
      <c r="Z226" s="199"/>
      <c r="AA226" s="199"/>
      <c r="AB226" s="199"/>
      <c r="AC226" s="199"/>
      <c r="AD226" s="199"/>
      <c r="AE226" s="199"/>
      <c r="AF226" s="199"/>
      <c r="AG226" s="199"/>
      <c r="AH226" s="199"/>
      <c r="AI226" s="199"/>
      <c r="AJ226" s="199"/>
      <c r="AK226" s="199"/>
      <c r="AL226" s="199"/>
    </row>
    <row r="227" spans="1:38">
      <c r="A227" s="202"/>
      <c r="B227" s="153">
        <v>33</v>
      </c>
      <c r="C227" s="154" t="s">
        <v>669</v>
      </c>
      <c r="D227" s="144">
        <v>10</v>
      </c>
      <c r="E227" s="145">
        <v>71</v>
      </c>
      <c r="F227" s="145">
        <v>61</v>
      </c>
      <c r="G227" s="145">
        <v>92</v>
      </c>
      <c r="H227" s="145">
        <v>86</v>
      </c>
      <c r="I227" s="145">
        <v>84</v>
      </c>
      <c r="J227" s="145">
        <f t="shared" si="36"/>
        <v>394</v>
      </c>
      <c r="K227" s="145">
        <v>21</v>
      </c>
      <c r="L227" s="147" t="s">
        <v>114</v>
      </c>
      <c r="M227" s="147" t="s">
        <v>114</v>
      </c>
      <c r="N227" s="147" t="s">
        <v>124</v>
      </c>
      <c r="O227" s="147" t="s">
        <v>124</v>
      </c>
      <c r="P227" s="147" t="s">
        <v>130</v>
      </c>
      <c r="Q227" s="147" t="s">
        <v>130</v>
      </c>
      <c r="R227" s="158" t="s">
        <v>296</v>
      </c>
      <c r="S227" s="148" t="s">
        <v>118</v>
      </c>
      <c r="T227" s="148" t="s">
        <v>119</v>
      </c>
      <c r="U227" s="148" t="s">
        <v>120</v>
      </c>
      <c r="V227" s="145">
        <f t="shared" si="37"/>
        <v>132</v>
      </c>
      <c r="W227" s="148" t="s">
        <v>297</v>
      </c>
      <c r="X227" s="145">
        <f t="shared" si="38"/>
        <v>224</v>
      </c>
      <c r="Y227">
        <f ca="1" t="shared" si="39"/>
        <v>0.744854088694082</v>
      </c>
      <c r="Z227" s="199"/>
      <c r="AA227" s="199"/>
      <c r="AB227" s="199"/>
      <c r="AC227" s="199"/>
      <c r="AD227" s="199"/>
      <c r="AE227" s="199"/>
      <c r="AF227" s="199"/>
      <c r="AG227" s="199"/>
      <c r="AH227" s="199"/>
      <c r="AI227" s="199"/>
      <c r="AJ227" s="199"/>
      <c r="AK227" s="199"/>
      <c r="AL227" s="199"/>
    </row>
    <row r="228" spans="1:38">
      <c r="A228" s="202"/>
      <c r="B228" s="153">
        <v>362</v>
      </c>
      <c r="C228" s="154" t="s">
        <v>590</v>
      </c>
      <c r="D228" s="144">
        <v>10</v>
      </c>
      <c r="E228" s="145">
        <v>76</v>
      </c>
      <c r="F228" s="145">
        <v>85</v>
      </c>
      <c r="G228" s="145">
        <v>48</v>
      </c>
      <c r="H228" s="145">
        <v>31</v>
      </c>
      <c r="I228" s="145">
        <v>38</v>
      </c>
      <c r="J228" s="145">
        <f t="shared" si="36"/>
        <v>278</v>
      </c>
      <c r="K228" s="145">
        <v>78</v>
      </c>
      <c r="L228" s="147" t="s">
        <v>114</v>
      </c>
      <c r="M228" s="147" t="s">
        <v>130</v>
      </c>
      <c r="N228" s="147" t="s">
        <v>114</v>
      </c>
      <c r="O228" s="147" t="s">
        <v>114</v>
      </c>
      <c r="P228" s="147" t="s">
        <v>124</v>
      </c>
      <c r="Q228" s="147" t="s">
        <v>114</v>
      </c>
      <c r="R228" s="158" t="s">
        <v>210</v>
      </c>
      <c r="S228" s="148" t="s">
        <v>132</v>
      </c>
      <c r="T228" s="148" t="s">
        <v>119</v>
      </c>
      <c r="U228" s="148" t="s">
        <v>250</v>
      </c>
      <c r="V228" s="145">
        <f t="shared" si="37"/>
        <v>161</v>
      </c>
      <c r="W228" s="148" t="s">
        <v>211</v>
      </c>
      <c r="X228" s="145">
        <f t="shared" si="38"/>
        <v>209</v>
      </c>
      <c r="Y228">
        <f ca="1" t="shared" si="39"/>
        <v>0.540470256588293</v>
      </c>
      <c r="Z228" s="199"/>
      <c r="AA228" s="199"/>
      <c r="AB228" s="199"/>
      <c r="AC228" s="199"/>
      <c r="AD228" s="199"/>
      <c r="AE228" s="199"/>
      <c r="AF228" s="199"/>
      <c r="AG228" s="199"/>
      <c r="AH228" s="199"/>
      <c r="AI228" s="199"/>
      <c r="AJ228" s="199"/>
      <c r="AK228" s="199"/>
      <c r="AL228" s="199"/>
    </row>
    <row r="229" spans="1:38">
      <c r="A229" s="201" t="s">
        <v>1391</v>
      </c>
      <c r="B229" s="153">
        <v>196</v>
      </c>
      <c r="C229" s="175" t="s">
        <v>654</v>
      </c>
      <c r="D229" s="144">
        <v>14</v>
      </c>
      <c r="E229" s="145">
        <v>85</v>
      </c>
      <c r="F229" s="145">
        <v>80</v>
      </c>
      <c r="G229" s="145">
        <v>80</v>
      </c>
      <c r="H229" s="145">
        <v>82</v>
      </c>
      <c r="I229" s="145">
        <v>87</v>
      </c>
      <c r="J229" s="145">
        <f t="shared" si="36"/>
        <v>414</v>
      </c>
      <c r="K229" s="145">
        <v>70</v>
      </c>
      <c r="L229" s="147" t="s">
        <v>115</v>
      </c>
      <c r="M229" s="147" t="s">
        <v>130</v>
      </c>
      <c r="N229" s="147" t="s">
        <v>114</v>
      </c>
      <c r="O229" s="147" t="s">
        <v>115</v>
      </c>
      <c r="P229" s="147" t="s">
        <v>130</v>
      </c>
      <c r="Q229" s="147" t="s">
        <v>114</v>
      </c>
      <c r="R229" s="182" t="s">
        <v>655</v>
      </c>
      <c r="S229" s="148" t="s">
        <v>118</v>
      </c>
      <c r="T229" s="148" t="s">
        <v>133</v>
      </c>
      <c r="U229" s="148" t="s">
        <v>120</v>
      </c>
      <c r="V229" s="145">
        <f t="shared" si="37"/>
        <v>165</v>
      </c>
      <c r="W229" s="149"/>
      <c r="X229" s="145">
        <f t="shared" si="38"/>
        <v>245</v>
      </c>
      <c r="Y229">
        <f ca="1" t="shared" si="39"/>
        <v>0.0407114825561485</v>
      </c>
      <c r="Z229" s="199"/>
      <c r="AA229" s="199"/>
      <c r="AB229" s="199"/>
      <c r="AC229" s="199"/>
      <c r="AD229" s="199"/>
      <c r="AE229" s="199"/>
      <c r="AF229" s="199"/>
      <c r="AG229" s="199"/>
      <c r="AH229" s="199"/>
      <c r="AI229" s="199"/>
      <c r="AJ229" s="199"/>
      <c r="AK229" s="199"/>
      <c r="AL229" s="199"/>
    </row>
    <row r="230" spans="1:38">
      <c r="A230" s="201"/>
      <c r="B230" s="153">
        <v>341</v>
      </c>
      <c r="C230" s="154" t="s">
        <v>504</v>
      </c>
      <c r="D230" s="144">
        <v>15</v>
      </c>
      <c r="E230" s="145">
        <v>82</v>
      </c>
      <c r="F230" s="145">
        <v>88</v>
      </c>
      <c r="G230" s="145">
        <v>52</v>
      </c>
      <c r="H230" s="145">
        <v>56</v>
      </c>
      <c r="I230" s="145">
        <v>63</v>
      </c>
      <c r="J230" s="145">
        <f t="shared" si="36"/>
        <v>341</v>
      </c>
      <c r="K230" s="145">
        <v>25</v>
      </c>
      <c r="L230" s="147" t="s">
        <v>114</v>
      </c>
      <c r="M230" s="147" t="s">
        <v>115</v>
      </c>
      <c r="N230" s="147" t="s">
        <v>124</v>
      </c>
      <c r="O230" s="147" t="s">
        <v>114</v>
      </c>
      <c r="P230" s="147" t="s">
        <v>124</v>
      </c>
      <c r="Q230" s="147" t="s">
        <v>124</v>
      </c>
      <c r="R230" s="158" t="s">
        <v>505</v>
      </c>
      <c r="S230" s="148" t="s">
        <v>132</v>
      </c>
      <c r="T230" s="148" t="s">
        <v>119</v>
      </c>
      <c r="U230" s="148" t="s">
        <v>126</v>
      </c>
      <c r="V230" s="145">
        <f t="shared" si="37"/>
        <v>170</v>
      </c>
      <c r="W230" s="148" t="s">
        <v>506</v>
      </c>
      <c r="X230" s="145">
        <f t="shared" si="38"/>
        <v>222</v>
      </c>
      <c r="Y230">
        <f ca="1" t="shared" si="39"/>
        <v>0.895078037843626</v>
      </c>
      <c r="Z230" s="199"/>
      <c r="AA230" s="199"/>
      <c r="AB230" s="199"/>
      <c r="AC230" s="199"/>
      <c r="AD230" s="199"/>
      <c r="AE230" s="199"/>
      <c r="AF230" s="199"/>
      <c r="AG230" s="199"/>
      <c r="AH230" s="199"/>
      <c r="AI230" s="199"/>
      <c r="AJ230" s="199"/>
      <c r="AK230" s="199"/>
      <c r="AL230" s="199"/>
    </row>
    <row r="231" ht="17.6" spans="1:38">
      <c r="A231" s="201"/>
      <c r="B231" s="122">
        <v>39</v>
      </c>
      <c r="C231" s="121" t="s">
        <v>1392</v>
      </c>
      <c r="D231" s="124">
        <v>6</v>
      </c>
      <c r="E231" s="121" t="s">
        <v>1369</v>
      </c>
      <c r="F231" s="121" t="s">
        <v>1393</v>
      </c>
      <c r="G231" s="121" t="s">
        <v>1394</v>
      </c>
      <c r="H231" s="145"/>
      <c r="I231" s="145"/>
      <c r="J231" s="145"/>
      <c r="K231" s="145"/>
      <c r="L231" s="147"/>
      <c r="M231" s="147"/>
      <c r="N231" s="147"/>
      <c r="O231" s="147"/>
      <c r="P231" s="147"/>
      <c r="Q231" s="147"/>
      <c r="R231" s="158"/>
      <c r="S231" s="148"/>
      <c r="T231" s="148"/>
      <c r="U231" s="148"/>
      <c r="V231" s="145"/>
      <c r="W231" s="148"/>
      <c r="X231" s="145"/>
      <c r="Z231" s="199"/>
      <c r="AA231" s="199"/>
      <c r="AB231" s="199"/>
      <c r="AC231" s="199"/>
      <c r="AD231" s="199"/>
      <c r="AE231" s="199"/>
      <c r="AF231" s="199"/>
      <c r="AG231" s="199"/>
      <c r="AH231" s="199"/>
      <c r="AI231" s="199"/>
      <c r="AJ231" s="199"/>
      <c r="AK231" s="199"/>
      <c r="AL231" s="199"/>
    </row>
    <row r="232" spans="1:38">
      <c r="A232" s="201"/>
      <c r="B232" s="153">
        <v>598</v>
      </c>
      <c r="C232" s="154" t="s">
        <v>445</v>
      </c>
      <c r="D232" s="144">
        <v>13</v>
      </c>
      <c r="E232" s="145">
        <v>33</v>
      </c>
      <c r="F232" s="145">
        <v>33</v>
      </c>
      <c r="G232" s="145">
        <v>68</v>
      </c>
      <c r="H232" s="145">
        <v>84</v>
      </c>
      <c r="I232" s="145">
        <v>71</v>
      </c>
      <c r="J232" s="145">
        <f t="shared" ref="J232:J241" si="40">SUM(E232:I232)</f>
        <v>289</v>
      </c>
      <c r="K232" s="145">
        <v>112</v>
      </c>
      <c r="L232" s="147" t="s">
        <v>124</v>
      </c>
      <c r="M232" s="147" t="s">
        <v>124</v>
      </c>
      <c r="N232" s="147" t="s">
        <v>124</v>
      </c>
      <c r="O232" s="147" t="s">
        <v>124</v>
      </c>
      <c r="P232" s="147" t="s">
        <v>124</v>
      </c>
      <c r="Q232" s="147" t="s">
        <v>124</v>
      </c>
      <c r="R232" s="148" t="s">
        <v>446</v>
      </c>
      <c r="S232" s="148" t="s">
        <v>132</v>
      </c>
      <c r="T232" s="148" t="s">
        <v>119</v>
      </c>
      <c r="U232" s="148" t="s">
        <v>148</v>
      </c>
      <c r="V232" s="145">
        <f t="shared" ref="V232:V241" si="41">E232+F232</f>
        <v>66</v>
      </c>
      <c r="W232" s="149"/>
      <c r="X232" s="145">
        <f t="shared" ref="X232:X241" si="42">E232+F232+G232</f>
        <v>134</v>
      </c>
      <c r="Y232">
        <f ca="1" t="shared" ref="Y232:Y241" si="43">RAND()</f>
        <v>0.00998840269143764</v>
      </c>
      <c r="Z232" s="199"/>
      <c r="AA232" s="199"/>
      <c r="AB232" s="199"/>
      <c r="AC232" s="199"/>
      <c r="AD232" s="199"/>
      <c r="AE232" s="199"/>
      <c r="AF232" s="199"/>
      <c r="AG232" s="199"/>
      <c r="AH232" s="199"/>
      <c r="AI232" s="199"/>
      <c r="AJ232" s="199"/>
      <c r="AK232" s="199"/>
      <c r="AL232" s="199"/>
    </row>
    <row r="233" spans="1:38">
      <c r="A233" s="201"/>
      <c r="B233" s="153">
        <v>189</v>
      </c>
      <c r="C233" s="154" t="s">
        <v>193</v>
      </c>
      <c r="D233" s="144">
        <v>6</v>
      </c>
      <c r="E233" s="145">
        <v>79</v>
      </c>
      <c r="F233" s="145">
        <v>71</v>
      </c>
      <c r="G233" s="145">
        <v>62</v>
      </c>
      <c r="H233" s="145">
        <v>64</v>
      </c>
      <c r="I233" s="145">
        <v>78</v>
      </c>
      <c r="J233" s="145">
        <f t="shared" si="40"/>
        <v>354</v>
      </c>
      <c r="K233" s="145">
        <v>68</v>
      </c>
      <c r="L233" s="147" t="s">
        <v>114</v>
      </c>
      <c r="M233" s="147" t="s">
        <v>130</v>
      </c>
      <c r="N233" s="147" t="s">
        <v>114</v>
      </c>
      <c r="O233" s="147" t="s">
        <v>124</v>
      </c>
      <c r="P233" s="147" t="s">
        <v>115</v>
      </c>
      <c r="Q233" s="147" t="s">
        <v>130</v>
      </c>
      <c r="R233" s="148" t="s">
        <v>194</v>
      </c>
      <c r="S233" s="148" t="s">
        <v>118</v>
      </c>
      <c r="T233" s="148" t="s">
        <v>133</v>
      </c>
      <c r="U233" s="148" t="s">
        <v>148</v>
      </c>
      <c r="V233" s="145">
        <f t="shared" si="41"/>
        <v>150</v>
      </c>
      <c r="W233" s="149"/>
      <c r="X233" s="145">
        <f t="shared" si="42"/>
        <v>212</v>
      </c>
      <c r="Y233">
        <f ca="1" t="shared" si="43"/>
        <v>0.885112500705887</v>
      </c>
      <c r="Z233" s="199"/>
      <c r="AA233" s="199"/>
      <c r="AB233" s="199"/>
      <c r="AC233" s="199"/>
      <c r="AD233" s="199"/>
      <c r="AE233" s="199"/>
      <c r="AF233" s="199"/>
      <c r="AG233" s="199"/>
      <c r="AH233" s="199"/>
      <c r="AI233" s="199"/>
      <c r="AJ233" s="199"/>
      <c r="AK233" s="199"/>
      <c r="AL233" s="199"/>
    </row>
    <row r="234" spans="1:38">
      <c r="A234" s="201"/>
      <c r="B234" s="153">
        <v>791</v>
      </c>
      <c r="C234" s="154" t="s">
        <v>572</v>
      </c>
      <c r="D234" s="144">
        <v>8</v>
      </c>
      <c r="E234" s="145">
        <v>77</v>
      </c>
      <c r="F234" s="145">
        <v>92</v>
      </c>
      <c r="G234" s="145">
        <v>41</v>
      </c>
      <c r="H234" s="145">
        <v>34</v>
      </c>
      <c r="I234" s="145">
        <v>47</v>
      </c>
      <c r="J234" s="145">
        <f t="shared" si="40"/>
        <v>291</v>
      </c>
      <c r="K234" s="145">
        <v>126</v>
      </c>
      <c r="L234" s="147" t="s">
        <v>114</v>
      </c>
      <c r="M234" s="147" t="s">
        <v>114</v>
      </c>
      <c r="N234" s="147" t="s">
        <v>130</v>
      </c>
      <c r="O234" s="147" t="s">
        <v>130</v>
      </c>
      <c r="P234" s="147" t="s">
        <v>124</v>
      </c>
      <c r="Q234" s="147" t="s">
        <v>130</v>
      </c>
      <c r="R234" s="148" t="s">
        <v>192</v>
      </c>
      <c r="S234" s="148" t="s">
        <v>275</v>
      </c>
      <c r="T234" s="148" t="s">
        <v>136</v>
      </c>
      <c r="U234" s="148" t="s">
        <v>126</v>
      </c>
      <c r="V234" s="145">
        <f t="shared" si="41"/>
        <v>169</v>
      </c>
      <c r="W234" s="149"/>
      <c r="X234" s="145">
        <f t="shared" si="42"/>
        <v>210</v>
      </c>
      <c r="Y234">
        <f ca="1" t="shared" si="43"/>
        <v>0.401988980401317</v>
      </c>
      <c r="Z234" s="199"/>
      <c r="AA234" s="199"/>
      <c r="AB234" s="199"/>
      <c r="AC234" s="199"/>
      <c r="AD234" s="199"/>
      <c r="AE234" s="199"/>
      <c r="AF234" s="199"/>
      <c r="AG234" s="199"/>
      <c r="AH234" s="199"/>
      <c r="AI234" s="199"/>
      <c r="AJ234" s="199"/>
      <c r="AK234" s="199"/>
      <c r="AL234" s="199"/>
    </row>
    <row r="235" spans="1:38">
      <c r="A235" s="201"/>
      <c r="B235" s="153">
        <v>300</v>
      </c>
      <c r="C235" s="154" t="s">
        <v>746</v>
      </c>
      <c r="D235" s="144">
        <v>9</v>
      </c>
      <c r="E235" s="145">
        <v>78</v>
      </c>
      <c r="F235" s="145">
        <v>85</v>
      </c>
      <c r="G235" s="145">
        <v>53</v>
      </c>
      <c r="H235" s="145">
        <v>60</v>
      </c>
      <c r="I235" s="145">
        <v>72</v>
      </c>
      <c r="J235" s="145">
        <f t="shared" si="40"/>
        <v>348</v>
      </c>
      <c r="K235" s="145">
        <v>93</v>
      </c>
      <c r="L235" s="147" t="s">
        <v>114</v>
      </c>
      <c r="M235" s="147" t="s">
        <v>114</v>
      </c>
      <c r="N235" s="147" t="s">
        <v>114</v>
      </c>
      <c r="O235" s="147" t="s">
        <v>115</v>
      </c>
      <c r="P235" s="147" t="s">
        <v>130</v>
      </c>
      <c r="Q235" s="147" t="s">
        <v>130</v>
      </c>
      <c r="R235" s="148" t="s">
        <v>239</v>
      </c>
      <c r="S235" s="148" t="s">
        <v>132</v>
      </c>
      <c r="T235" s="148" t="s">
        <v>119</v>
      </c>
      <c r="U235" s="148" t="s">
        <v>126</v>
      </c>
      <c r="V235" s="145">
        <f t="shared" si="41"/>
        <v>163</v>
      </c>
      <c r="W235" s="149"/>
      <c r="X235" s="145">
        <f t="shared" si="42"/>
        <v>216</v>
      </c>
      <c r="Y235">
        <f ca="1" t="shared" si="43"/>
        <v>0.131185971176309</v>
      </c>
      <c r="Z235" s="199"/>
      <c r="AA235" s="199"/>
      <c r="AB235" s="199"/>
      <c r="AC235" s="199"/>
      <c r="AD235" s="199"/>
      <c r="AE235" s="199"/>
      <c r="AF235" s="199"/>
      <c r="AG235" s="199"/>
      <c r="AH235" s="199"/>
      <c r="AI235" s="199"/>
      <c r="AJ235" s="199"/>
      <c r="AK235" s="199"/>
      <c r="AL235" s="199"/>
    </row>
    <row r="236" spans="1:38">
      <c r="A236" s="201"/>
      <c r="B236" s="153">
        <v>14</v>
      </c>
      <c r="C236" s="154" t="s">
        <v>514</v>
      </c>
      <c r="D236" s="144">
        <v>2</v>
      </c>
      <c r="E236" s="145">
        <v>61</v>
      </c>
      <c r="F236" s="145">
        <v>58</v>
      </c>
      <c r="G236" s="145">
        <v>74</v>
      </c>
      <c r="H236" s="145">
        <v>75</v>
      </c>
      <c r="I236" s="145">
        <v>62</v>
      </c>
      <c r="J236" s="145">
        <f t="shared" si="40"/>
        <v>330</v>
      </c>
      <c r="K236" s="145">
        <v>63</v>
      </c>
      <c r="L236" s="147" t="s">
        <v>130</v>
      </c>
      <c r="M236" s="147" t="s">
        <v>130</v>
      </c>
      <c r="N236" s="147" t="s">
        <v>124</v>
      </c>
      <c r="O236" s="147" t="s">
        <v>124</v>
      </c>
      <c r="P236" s="147" t="s">
        <v>124</v>
      </c>
      <c r="Q236" s="147" t="s">
        <v>124</v>
      </c>
      <c r="R236" s="148" t="s">
        <v>337</v>
      </c>
      <c r="S236" s="148" t="s">
        <v>119</v>
      </c>
      <c r="T236" s="148" t="s">
        <v>119</v>
      </c>
      <c r="U236" s="148" t="s">
        <v>148</v>
      </c>
      <c r="V236" s="145">
        <f t="shared" si="41"/>
        <v>119</v>
      </c>
      <c r="W236" s="149"/>
      <c r="X236" s="145">
        <f t="shared" si="42"/>
        <v>193</v>
      </c>
      <c r="Y236">
        <f ca="1" t="shared" si="43"/>
        <v>0.892376459435557</v>
      </c>
      <c r="Z236" s="199"/>
      <c r="AA236" s="199"/>
      <c r="AB236" s="199"/>
      <c r="AC236" s="199"/>
      <c r="AD236" s="199"/>
      <c r="AE236" s="199"/>
      <c r="AF236" s="199"/>
      <c r="AG236" s="199"/>
      <c r="AH236" s="199"/>
      <c r="AI236" s="199"/>
      <c r="AJ236" s="199"/>
      <c r="AK236" s="199"/>
      <c r="AL236" s="199"/>
    </row>
    <row r="237" spans="1:38">
      <c r="A237" s="201"/>
      <c r="B237" s="153">
        <v>772</v>
      </c>
      <c r="C237" s="154" t="s">
        <v>1050</v>
      </c>
      <c r="D237" s="144">
        <v>6</v>
      </c>
      <c r="E237" s="145">
        <v>81</v>
      </c>
      <c r="F237" s="145">
        <v>80</v>
      </c>
      <c r="G237" s="145">
        <v>61</v>
      </c>
      <c r="H237" s="145">
        <v>33</v>
      </c>
      <c r="I237" s="145">
        <v>39</v>
      </c>
      <c r="J237" s="145">
        <f t="shared" si="40"/>
        <v>294</v>
      </c>
      <c r="K237" s="145">
        <v>91</v>
      </c>
      <c r="L237" s="147" t="s">
        <v>114</v>
      </c>
      <c r="M237" s="147" t="s">
        <v>130</v>
      </c>
      <c r="N237" s="147" t="s">
        <v>130</v>
      </c>
      <c r="O237" s="147" t="s">
        <v>114</v>
      </c>
      <c r="P237" s="147" t="s">
        <v>114</v>
      </c>
      <c r="Q237" s="147" t="s">
        <v>114</v>
      </c>
      <c r="R237" s="148" t="s">
        <v>577</v>
      </c>
      <c r="S237" s="148" t="s">
        <v>132</v>
      </c>
      <c r="T237" s="148" t="s">
        <v>119</v>
      </c>
      <c r="U237" s="148" t="s">
        <v>250</v>
      </c>
      <c r="V237" s="145">
        <f t="shared" si="41"/>
        <v>161</v>
      </c>
      <c r="W237" s="149"/>
      <c r="X237" s="145">
        <f t="shared" si="42"/>
        <v>222</v>
      </c>
      <c r="Y237">
        <f ca="1" t="shared" si="43"/>
        <v>0.0128473887486291</v>
      </c>
      <c r="Z237" s="199"/>
      <c r="AA237" s="199"/>
      <c r="AB237" s="199"/>
      <c r="AC237" s="199"/>
      <c r="AD237" s="199"/>
      <c r="AE237" s="199"/>
      <c r="AF237" s="199"/>
      <c r="AG237" s="199"/>
      <c r="AH237" s="199"/>
      <c r="AI237" s="199"/>
      <c r="AJ237" s="199"/>
      <c r="AK237" s="199"/>
      <c r="AL237" s="199"/>
    </row>
    <row r="238" spans="1:38">
      <c r="A238" s="201"/>
      <c r="B238" s="153">
        <v>8</v>
      </c>
      <c r="C238" s="154" t="s">
        <v>841</v>
      </c>
      <c r="D238" s="144">
        <v>1</v>
      </c>
      <c r="E238" s="145">
        <v>50</v>
      </c>
      <c r="F238" s="145">
        <v>23</v>
      </c>
      <c r="G238" s="145">
        <v>79</v>
      </c>
      <c r="H238" s="145">
        <v>76</v>
      </c>
      <c r="I238" s="145">
        <v>52</v>
      </c>
      <c r="J238" s="145">
        <f t="shared" si="40"/>
        <v>280</v>
      </c>
      <c r="K238" s="145">
        <v>31</v>
      </c>
      <c r="L238" s="147" t="s">
        <v>124</v>
      </c>
      <c r="M238" s="147" t="s">
        <v>130</v>
      </c>
      <c r="N238" s="147" t="s">
        <v>130</v>
      </c>
      <c r="O238" s="147" t="s">
        <v>130</v>
      </c>
      <c r="P238" s="147" t="s">
        <v>130</v>
      </c>
      <c r="Q238" s="147" t="s">
        <v>124</v>
      </c>
      <c r="R238" s="148" t="s">
        <v>165</v>
      </c>
      <c r="S238" s="148" t="s">
        <v>132</v>
      </c>
      <c r="T238" s="148" t="s">
        <v>119</v>
      </c>
      <c r="U238" s="148" t="s">
        <v>126</v>
      </c>
      <c r="V238" s="145">
        <f t="shared" si="41"/>
        <v>73</v>
      </c>
      <c r="W238" s="149"/>
      <c r="X238" s="145">
        <f t="shared" si="42"/>
        <v>152</v>
      </c>
      <c r="Y238">
        <f ca="1" t="shared" si="43"/>
        <v>0.729009132422983</v>
      </c>
      <c r="Z238" s="199"/>
      <c r="AA238" s="199"/>
      <c r="AB238" s="199"/>
      <c r="AC238" s="199"/>
      <c r="AD238" s="199"/>
      <c r="AE238" s="199"/>
      <c r="AF238" s="199"/>
      <c r="AG238" s="199"/>
      <c r="AH238" s="199"/>
      <c r="AI238" s="199"/>
      <c r="AJ238" s="199"/>
      <c r="AK238" s="199"/>
      <c r="AL238" s="199"/>
    </row>
    <row r="239" spans="1:38">
      <c r="A239" s="201"/>
      <c r="B239" s="153">
        <v>261</v>
      </c>
      <c r="C239" s="154" t="s">
        <v>380</v>
      </c>
      <c r="D239" s="157">
        <v>6</v>
      </c>
      <c r="E239" s="145">
        <v>68</v>
      </c>
      <c r="F239" s="145">
        <v>87</v>
      </c>
      <c r="G239" s="145">
        <v>19</v>
      </c>
      <c r="H239" s="145">
        <v>16</v>
      </c>
      <c r="I239" s="145">
        <v>79</v>
      </c>
      <c r="J239" s="145">
        <f t="shared" si="40"/>
        <v>269</v>
      </c>
      <c r="K239" s="145">
        <v>144</v>
      </c>
      <c r="L239" s="147" t="s">
        <v>114</v>
      </c>
      <c r="M239" s="147" t="s">
        <v>130</v>
      </c>
      <c r="N239" s="147" t="s">
        <v>124</v>
      </c>
      <c r="O239" s="147" t="s">
        <v>130</v>
      </c>
      <c r="P239" s="147" t="s">
        <v>124</v>
      </c>
      <c r="Q239" s="147" t="s">
        <v>124</v>
      </c>
      <c r="R239" s="158" t="s">
        <v>381</v>
      </c>
      <c r="S239" s="148" t="s">
        <v>175</v>
      </c>
      <c r="T239" s="148" t="s">
        <v>136</v>
      </c>
      <c r="U239" s="148" t="s">
        <v>250</v>
      </c>
      <c r="V239" s="145">
        <f t="shared" si="41"/>
        <v>155</v>
      </c>
      <c r="W239" s="148" t="s">
        <v>382</v>
      </c>
      <c r="X239" s="145">
        <f t="shared" si="42"/>
        <v>174</v>
      </c>
      <c r="Y239">
        <f ca="1" t="shared" si="43"/>
        <v>0.856244516687769</v>
      </c>
      <c r="Z239" s="199"/>
      <c r="AA239" s="199"/>
      <c r="AB239" s="199"/>
      <c r="AC239" s="199"/>
      <c r="AD239" s="199"/>
      <c r="AE239" s="199"/>
      <c r="AF239" s="199"/>
      <c r="AG239" s="199"/>
      <c r="AH239" s="199"/>
      <c r="AI239" s="199"/>
      <c r="AJ239" s="199"/>
      <c r="AK239" s="199"/>
      <c r="AL239" s="199"/>
    </row>
    <row r="240" spans="1:38">
      <c r="A240" s="201"/>
      <c r="B240" s="153">
        <v>118</v>
      </c>
      <c r="C240" s="154" t="s">
        <v>1035</v>
      </c>
      <c r="D240" s="144">
        <v>8</v>
      </c>
      <c r="E240" s="145">
        <v>75</v>
      </c>
      <c r="F240" s="145">
        <v>92</v>
      </c>
      <c r="G240" s="145">
        <v>58</v>
      </c>
      <c r="H240" s="145">
        <v>32</v>
      </c>
      <c r="I240" s="145">
        <v>50</v>
      </c>
      <c r="J240" s="145">
        <f t="shared" si="40"/>
        <v>307</v>
      </c>
      <c r="K240" s="145">
        <v>129</v>
      </c>
      <c r="L240" s="147" t="s">
        <v>114</v>
      </c>
      <c r="M240" s="147" t="s">
        <v>130</v>
      </c>
      <c r="N240" s="147" t="s">
        <v>130</v>
      </c>
      <c r="O240" s="147" t="s">
        <v>130</v>
      </c>
      <c r="P240" s="147" t="s">
        <v>114</v>
      </c>
      <c r="Q240" s="147" t="s">
        <v>115</v>
      </c>
      <c r="R240" s="148" t="s">
        <v>776</v>
      </c>
      <c r="S240" s="148" t="s">
        <v>119</v>
      </c>
      <c r="T240" s="148" t="s">
        <v>119</v>
      </c>
      <c r="U240" s="148" t="s">
        <v>126</v>
      </c>
      <c r="V240" s="145">
        <f t="shared" si="41"/>
        <v>167</v>
      </c>
      <c r="W240" s="149"/>
      <c r="X240" s="145">
        <f t="shared" si="42"/>
        <v>225</v>
      </c>
      <c r="Y240">
        <f ca="1" t="shared" si="43"/>
        <v>0.465323452869571</v>
      </c>
      <c r="Z240" s="199"/>
      <c r="AA240" s="199"/>
      <c r="AB240" s="199"/>
      <c r="AC240" s="199"/>
      <c r="AD240" s="199"/>
      <c r="AE240" s="199"/>
      <c r="AF240" s="199"/>
      <c r="AG240" s="199"/>
      <c r="AH240" s="199"/>
      <c r="AI240" s="199"/>
      <c r="AJ240" s="199"/>
      <c r="AK240" s="199"/>
      <c r="AL240" s="199"/>
    </row>
    <row r="241" spans="1:38">
      <c r="A241" s="197" t="s">
        <v>1395</v>
      </c>
      <c r="B241" s="153">
        <v>444</v>
      </c>
      <c r="C241" s="154" t="s">
        <v>1023</v>
      </c>
      <c r="D241" s="144">
        <v>15</v>
      </c>
      <c r="E241" s="145">
        <v>78</v>
      </c>
      <c r="F241" s="145">
        <v>90</v>
      </c>
      <c r="G241" s="145">
        <v>55</v>
      </c>
      <c r="H241" s="145">
        <v>51</v>
      </c>
      <c r="I241" s="145">
        <v>55</v>
      </c>
      <c r="J241" s="145">
        <f t="shared" si="40"/>
        <v>329</v>
      </c>
      <c r="K241" s="145">
        <v>11</v>
      </c>
      <c r="L241" s="147" t="s">
        <v>130</v>
      </c>
      <c r="M241" s="147" t="s">
        <v>115</v>
      </c>
      <c r="N241" s="147" t="s">
        <v>130</v>
      </c>
      <c r="O241" s="147" t="s">
        <v>114</v>
      </c>
      <c r="P241" s="147" t="s">
        <v>114</v>
      </c>
      <c r="Q241" s="147" t="s">
        <v>130</v>
      </c>
      <c r="R241" s="158" t="s">
        <v>505</v>
      </c>
      <c r="S241" s="148" t="s">
        <v>132</v>
      </c>
      <c r="T241" s="148" t="s">
        <v>119</v>
      </c>
      <c r="U241" s="148" t="s">
        <v>250</v>
      </c>
      <c r="V241" s="145">
        <f t="shared" si="41"/>
        <v>168</v>
      </c>
      <c r="W241" s="148" t="s">
        <v>506</v>
      </c>
      <c r="X241" s="145">
        <f t="shared" si="42"/>
        <v>223</v>
      </c>
      <c r="Y241">
        <f ca="1" t="shared" si="43"/>
        <v>0.895531517628177</v>
      </c>
      <c r="Z241" s="199"/>
      <c r="AA241" s="199"/>
      <c r="AB241" s="199"/>
      <c r="AC241" s="199"/>
      <c r="AD241" s="199"/>
      <c r="AE241" s="199"/>
      <c r="AF241" s="199"/>
      <c r="AG241" s="199"/>
      <c r="AH241" s="199"/>
      <c r="AI241" s="199"/>
      <c r="AJ241" s="199"/>
      <c r="AK241" s="199"/>
      <c r="AL241" s="199"/>
    </row>
    <row r="242" ht="17.6" spans="1:38">
      <c r="A242" s="197"/>
      <c r="B242" s="122">
        <v>29</v>
      </c>
      <c r="C242" s="121" t="s">
        <v>1396</v>
      </c>
      <c r="D242" s="124">
        <v>8</v>
      </c>
      <c r="E242" s="121" t="s">
        <v>1369</v>
      </c>
      <c r="F242" s="121" t="s">
        <v>260</v>
      </c>
      <c r="G242" s="145"/>
      <c r="H242" s="145"/>
      <c r="I242" s="145"/>
      <c r="J242" s="145"/>
      <c r="K242" s="145"/>
      <c r="L242" s="147"/>
      <c r="M242" s="147"/>
      <c r="N242" s="147"/>
      <c r="O242" s="147"/>
      <c r="P242" s="147"/>
      <c r="Q242" s="147"/>
      <c r="R242" s="158"/>
      <c r="S242" s="148"/>
      <c r="T242" s="148"/>
      <c r="U242" s="148"/>
      <c r="V242" s="145"/>
      <c r="W242" s="148"/>
      <c r="X242" s="145"/>
      <c r="Z242" s="199"/>
      <c r="AA242" s="199"/>
      <c r="AB242" s="199"/>
      <c r="AC242" s="199"/>
      <c r="AD242" s="199"/>
      <c r="AE242" s="199"/>
      <c r="AF242" s="199"/>
      <c r="AG242" s="199"/>
      <c r="AH242" s="199"/>
      <c r="AI242" s="199"/>
      <c r="AJ242" s="199"/>
      <c r="AK242" s="199"/>
      <c r="AL242" s="199"/>
    </row>
    <row r="243" spans="1:38">
      <c r="A243" s="197"/>
      <c r="B243" s="153">
        <v>87</v>
      </c>
      <c r="C243" s="154" t="s">
        <v>288</v>
      </c>
      <c r="D243" s="144">
        <v>14</v>
      </c>
      <c r="E243" s="145">
        <v>65</v>
      </c>
      <c r="F243" s="145">
        <v>45</v>
      </c>
      <c r="G243" s="145">
        <v>93</v>
      </c>
      <c r="H243" s="145">
        <v>89</v>
      </c>
      <c r="I243" s="145">
        <v>96</v>
      </c>
      <c r="J243" s="145">
        <f t="shared" ref="J243:J259" si="44">SUM(E243:I243)</f>
        <v>388</v>
      </c>
      <c r="K243" s="145">
        <v>101</v>
      </c>
      <c r="L243" s="147" t="s">
        <v>130</v>
      </c>
      <c r="M243" s="147" t="s">
        <v>124</v>
      </c>
      <c r="N243" s="147" t="s">
        <v>130</v>
      </c>
      <c r="O243" s="147" t="s">
        <v>130</v>
      </c>
      <c r="P243" s="147" t="s">
        <v>124</v>
      </c>
      <c r="Q243" s="147" t="s">
        <v>114</v>
      </c>
      <c r="R243" s="148" t="s">
        <v>153</v>
      </c>
      <c r="S243" s="148" t="s">
        <v>118</v>
      </c>
      <c r="T243" s="148" t="s">
        <v>133</v>
      </c>
      <c r="U243" s="148" t="s">
        <v>148</v>
      </c>
      <c r="V243" s="145">
        <f t="shared" ref="V243:V259" si="45">E243+F243</f>
        <v>110</v>
      </c>
      <c r="W243" s="149"/>
      <c r="X243" s="145">
        <f t="shared" ref="X243:X259" si="46">E243+F243+G243</f>
        <v>203</v>
      </c>
      <c r="Y243">
        <f ca="1" t="shared" ref="Y243:Y259" si="47">RAND()</f>
        <v>0.572487976928707</v>
      </c>
      <c r="Z243" s="199"/>
      <c r="AA243" s="199"/>
      <c r="AB243" s="199"/>
      <c r="AC243" s="199"/>
      <c r="AD243" s="199"/>
      <c r="AE243" s="199"/>
      <c r="AF243" s="199"/>
      <c r="AG243" s="199"/>
      <c r="AH243" s="199"/>
      <c r="AI243" s="199"/>
      <c r="AJ243" s="199"/>
      <c r="AK243" s="199"/>
      <c r="AL243" s="199"/>
    </row>
    <row r="244" spans="1:38">
      <c r="A244" s="197"/>
      <c r="B244" s="153">
        <v>588</v>
      </c>
      <c r="C244" s="156" t="s">
        <v>641</v>
      </c>
      <c r="D244" s="144">
        <v>2</v>
      </c>
      <c r="E244" s="145">
        <v>41</v>
      </c>
      <c r="F244" s="145">
        <v>47</v>
      </c>
      <c r="G244" s="145">
        <v>77</v>
      </c>
      <c r="H244" s="145">
        <v>85</v>
      </c>
      <c r="I244" s="145">
        <v>89</v>
      </c>
      <c r="J244" s="145">
        <f t="shared" si="44"/>
        <v>339</v>
      </c>
      <c r="K244" s="145">
        <v>95</v>
      </c>
      <c r="L244" s="147" t="s">
        <v>124</v>
      </c>
      <c r="M244" s="147" t="s">
        <v>124</v>
      </c>
      <c r="N244" s="147" t="s">
        <v>124</v>
      </c>
      <c r="O244" s="147" t="s">
        <v>130</v>
      </c>
      <c r="P244" s="147" t="s">
        <v>130</v>
      </c>
      <c r="Q244" s="147" t="s">
        <v>130</v>
      </c>
      <c r="R244" s="148" t="s">
        <v>147</v>
      </c>
      <c r="S244" s="148" t="s">
        <v>319</v>
      </c>
      <c r="T244" s="148" t="s">
        <v>136</v>
      </c>
      <c r="U244" s="148" t="s">
        <v>120</v>
      </c>
      <c r="V244" s="145">
        <f t="shared" si="45"/>
        <v>88</v>
      </c>
      <c r="W244" s="149"/>
      <c r="X244" s="145">
        <f t="shared" si="46"/>
        <v>165</v>
      </c>
      <c r="Y244">
        <f ca="1" t="shared" si="47"/>
        <v>0.782786836028034</v>
      </c>
      <c r="Z244" s="199"/>
      <c r="AA244" s="199"/>
      <c r="AB244" s="199"/>
      <c r="AC244" s="199"/>
      <c r="AD244" s="199"/>
      <c r="AE244" s="199"/>
      <c r="AF244" s="199"/>
      <c r="AG244" s="199"/>
      <c r="AH244" s="199"/>
      <c r="AI244" s="199"/>
      <c r="AJ244" s="199"/>
      <c r="AK244" s="199"/>
      <c r="AL244" s="199"/>
    </row>
    <row r="245" spans="1:38">
      <c r="A245" s="197"/>
      <c r="B245" s="153">
        <v>185</v>
      </c>
      <c r="C245" s="154" t="s">
        <v>1017</v>
      </c>
      <c r="D245" s="144">
        <v>9</v>
      </c>
      <c r="E245" s="145">
        <v>73</v>
      </c>
      <c r="F245" s="145">
        <v>91</v>
      </c>
      <c r="G245" s="145">
        <v>47</v>
      </c>
      <c r="H245" s="145">
        <v>47</v>
      </c>
      <c r="I245" s="145">
        <v>58</v>
      </c>
      <c r="J245" s="145">
        <f t="shared" si="44"/>
        <v>316</v>
      </c>
      <c r="K245" s="145">
        <v>72</v>
      </c>
      <c r="L245" s="147" t="s">
        <v>114</v>
      </c>
      <c r="M245" s="147" t="s">
        <v>130</v>
      </c>
      <c r="N245" s="147" t="s">
        <v>114</v>
      </c>
      <c r="O245" s="147" t="s">
        <v>124</v>
      </c>
      <c r="P245" s="147" t="s">
        <v>114</v>
      </c>
      <c r="Q245" s="147" t="s">
        <v>130</v>
      </c>
      <c r="R245" s="148" t="s">
        <v>239</v>
      </c>
      <c r="S245" s="148" t="s">
        <v>132</v>
      </c>
      <c r="T245" s="148" t="s">
        <v>119</v>
      </c>
      <c r="U245" s="148" t="s">
        <v>126</v>
      </c>
      <c r="V245" s="145">
        <f t="shared" si="45"/>
        <v>164</v>
      </c>
      <c r="W245" s="149"/>
      <c r="X245" s="145">
        <f t="shared" si="46"/>
        <v>211</v>
      </c>
      <c r="Y245">
        <f ca="1" t="shared" si="47"/>
        <v>0.916444542151552</v>
      </c>
      <c r="Z245" s="199"/>
      <c r="AA245" s="199"/>
      <c r="AB245" s="199"/>
      <c r="AC245" s="199"/>
      <c r="AD245" s="199"/>
      <c r="AE245" s="199"/>
      <c r="AF245" s="199"/>
      <c r="AG245" s="199"/>
      <c r="AH245" s="199"/>
      <c r="AI245" s="199"/>
      <c r="AJ245" s="199"/>
      <c r="AK245" s="199"/>
      <c r="AL245" s="199"/>
    </row>
    <row r="246" spans="1:38">
      <c r="A246" s="197"/>
      <c r="B246" s="153">
        <v>498</v>
      </c>
      <c r="C246" s="154" t="s">
        <v>515</v>
      </c>
      <c r="D246" s="144">
        <v>6</v>
      </c>
      <c r="E246" s="145">
        <v>54</v>
      </c>
      <c r="F246" s="145">
        <v>52</v>
      </c>
      <c r="G246" s="145">
        <v>88</v>
      </c>
      <c r="H246" s="145">
        <v>96</v>
      </c>
      <c r="I246" s="145">
        <v>62</v>
      </c>
      <c r="J246" s="145">
        <f t="shared" si="44"/>
        <v>352</v>
      </c>
      <c r="K246" s="145">
        <v>47</v>
      </c>
      <c r="L246" s="147" t="s">
        <v>124</v>
      </c>
      <c r="M246" s="147" t="s">
        <v>124</v>
      </c>
      <c r="N246" s="147" t="s">
        <v>130</v>
      </c>
      <c r="O246" s="147" t="s">
        <v>124</v>
      </c>
      <c r="P246" s="147" t="s">
        <v>124</v>
      </c>
      <c r="Q246" s="147" t="s">
        <v>124</v>
      </c>
      <c r="R246" s="148" t="s">
        <v>170</v>
      </c>
      <c r="S246" s="148" t="s">
        <v>132</v>
      </c>
      <c r="T246" s="148" t="s">
        <v>119</v>
      </c>
      <c r="U246" s="148" t="s">
        <v>120</v>
      </c>
      <c r="V246" s="145">
        <f t="shared" si="45"/>
        <v>106</v>
      </c>
      <c r="W246" s="149"/>
      <c r="X246" s="145">
        <f t="shared" si="46"/>
        <v>194</v>
      </c>
      <c r="Y246">
        <f ca="1" t="shared" si="47"/>
        <v>0.25346819640205</v>
      </c>
      <c r="Z246" s="199"/>
      <c r="AA246" s="199"/>
      <c r="AB246" s="199"/>
      <c r="AC246" s="199"/>
      <c r="AD246" s="199"/>
      <c r="AE246" s="199"/>
      <c r="AF246" s="199"/>
      <c r="AG246" s="199"/>
      <c r="AH246" s="199"/>
      <c r="AI246" s="199"/>
      <c r="AJ246" s="199"/>
      <c r="AK246" s="199"/>
      <c r="AL246" s="199"/>
    </row>
    <row r="247" spans="1:38">
      <c r="A247" s="197"/>
      <c r="B247" s="153">
        <v>572</v>
      </c>
      <c r="C247" s="154" t="s">
        <v>733</v>
      </c>
      <c r="D247" s="144">
        <v>1</v>
      </c>
      <c r="E247" s="145">
        <v>71</v>
      </c>
      <c r="F247" s="145">
        <v>62</v>
      </c>
      <c r="G247" s="145">
        <v>69</v>
      </c>
      <c r="H247" s="145">
        <v>82</v>
      </c>
      <c r="I247" s="145">
        <v>74</v>
      </c>
      <c r="J247" s="145">
        <f t="shared" si="44"/>
        <v>358</v>
      </c>
      <c r="K247" s="145">
        <v>32</v>
      </c>
      <c r="L247" s="147" t="s">
        <v>130</v>
      </c>
      <c r="M247" s="147" t="s">
        <v>114</v>
      </c>
      <c r="N247" s="147" t="s">
        <v>130</v>
      </c>
      <c r="O247" s="147" t="s">
        <v>130</v>
      </c>
      <c r="P247" s="147" t="s">
        <v>130</v>
      </c>
      <c r="Q247" s="147" t="s">
        <v>130</v>
      </c>
      <c r="R247" s="148" t="s">
        <v>365</v>
      </c>
      <c r="S247" s="148" t="s">
        <v>132</v>
      </c>
      <c r="T247" s="148" t="s">
        <v>119</v>
      </c>
      <c r="U247" s="148" t="s">
        <v>250</v>
      </c>
      <c r="V247" s="145">
        <f t="shared" si="45"/>
        <v>133</v>
      </c>
      <c r="W247" s="149"/>
      <c r="X247" s="145">
        <f t="shared" si="46"/>
        <v>202</v>
      </c>
      <c r="Y247">
        <f ca="1" t="shared" si="47"/>
        <v>0.094784197435053</v>
      </c>
      <c r="Z247" s="199"/>
      <c r="AA247" s="199"/>
      <c r="AB247" s="199"/>
      <c r="AC247" s="199"/>
      <c r="AD247" s="199"/>
      <c r="AE247" s="199"/>
      <c r="AF247" s="199"/>
      <c r="AG247" s="199"/>
      <c r="AH247" s="199"/>
      <c r="AI247" s="199"/>
      <c r="AJ247" s="199"/>
      <c r="AK247" s="199"/>
      <c r="AL247" s="199"/>
    </row>
    <row r="248" spans="1:38">
      <c r="A248" s="197"/>
      <c r="B248" s="153">
        <v>599</v>
      </c>
      <c r="C248" s="154" t="s">
        <v>705</v>
      </c>
      <c r="D248" s="144">
        <v>2</v>
      </c>
      <c r="E248" s="145">
        <v>58</v>
      </c>
      <c r="F248" s="145">
        <v>61</v>
      </c>
      <c r="G248" s="145">
        <v>86</v>
      </c>
      <c r="H248" s="145">
        <v>85</v>
      </c>
      <c r="I248" s="145">
        <v>78</v>
      </c>
      <c r="J248" s="145">
        <f t="shared" si="44"/>
        <v>368</v>
      </c>
      <c r="K248" s="145">
        <v>114</v>
      </c>
      <c r="L248" s="147" t="s">
        <v>124</v>
      </c>
      <c r="M248" s="147" t="s">
        <v>130</v>
      </c>
      <c r="N248" s="147" t="s">
        <v>124</v>
      </c>
      <c r="O248" s="147" t="s">
        <v>124</v>
      </c>
      <c r="P248" s="147" t="s">
        <v>130</v>
      </c>
      <c r="Q248" s="147" t="s">
        <v>114</v>
      </c>
      <c r="R248" s="148" t="s">
        <v>701</v>
      </c>
      <c r="S248" s="148" t="s">
        <v>119</v>
      </c>
      <c r="T248" s="148" t="s">
        <v>145</v>
      </c>
      <c r="U248" s="148" t="s">
        <v>120</v>
      </c>
      <c r="V248" s="145">
        <f t="shared" si="45"/>
        <v>119</v>
      </c>
      <c r="W248" s="149"/>
      <c r="X248" s="145">
        <f t="shared" si="46"/>
        <v>205</v>
      </c>
      <c r="Y248">
        <f ca="1" t="shared" si="47"/>
        <v>0.877703129653306</v>
      </c>
      <c r="Z248" s="199"/>
      <c r="AA248" s="199"/>
      <c r="AB248" s="199"/>
      <c r="AC248" s="199"/>
      <c r="AD248" s="199"/>
      <c r="AE248" s="199"/>
      <c r="AF248" s="199"/>
      <c r="AG248" s="199"/>
      <c r="AH248" s="199"/>
      <c r="AI248" s="199"/>
      <c r="AJ248" s="199"/>
      <c r="AK248" s="199"/>
      <c r="AL248" s="199"/>
    </row>
    <row r="249" spans="1:38">
      <c r="A249" s="197"/>
      <c r="B249" s="153">
        <v>88</v>
      </c>
      <c r="C249" s="154" t="s">
        <v>484</v>
      </c>
      <c r="D249" s="144">
        <v>2</v>
      </c>
      <c r="E249" s="145">
        <v>46</v>
      </c>
      <c r="F249" s="145">
        <v>50</v>
      </c>
      <c r="G249" s="145">
        <v>87</v>
      </c>
      <c r="H249" s="145">
        <v>81</v>
      </c>
      <c r="I249" s="145">
        <v>66</v>
      </c>
      <c r="J249" s="145">
        <f t="shared" si="44"/>
        <v>330</v>
      </c>
      <c r="K249" s="145">
        <v>23</v>
      </c>
      <c r="L249" s="147" t="s">
        <v>124</v>
      </c>
      <c r="M249" s="147" t="s">
        <v>124</v>
      </c>
      <c r="N249" s="147" t="s">
        <v>124</v>
      </c>
      <c r="O249" s="147" t="s">
        <v>124</v>
      </c>
      <c r="P249" s="147" t="s">
        <v>124</v>
      </c>
      <c r="Q249" s="147" t="s">
        <v>124</v>
      </c>
      <c r="R249" s="148" t="s">
        <v>165</v>
      </c>
      <c r="S249" s="148" t="s">
        <v>132</v>
      </c>
      <c r="T249" s="148" t="s">
        <v>136</v>
      </c>
      <c r="U249" s="148" t="s">
        <v>148</v>
      </c>
      <c r="V249" s="145">
        <f t="shared" si="45"/>
        <v>96</v>
      </c>
      <c r="W249" s="149"/>
      <c r="X249" s="145">
        <f t="shared" si="46"/>
        <v>183</v>
      </c>
      <c r="Y249">
        <f ca="1" t="shared" si="47"/>
        <v>0.690599770078129</v>
      </c>
      <c r="Z249" s="199"/>
      <c r="AA249" s="199"/>
      <c r="AB249" s="199"/>
      <c r="AC249" s="199"/>
      <c r="AD249" s="199"/>
      <c r="AE249" s="199"/>
      <c r="AF249" s="199"/>
      <c r="AG249" s="199"/>
      <c r="AH249" s="199"/>
      <c r="AI249" s="199"/>
      <c r="AJ249" s="199"/>
      <c r="AK249" s="199"/>
      <c r="AL249" s="199"/>
    </row>
    <row r="250" spans="1:38">
      <c r="A250" s="197"/>
      <c r="B250" s="153">
        <v>405</v>
      </c>
      <c r="C250" s="154" t="s">
        <v>487</v>
      </c>
      <c r="D250" s="144">
        <v>9</v>
      </c>
      <c r="E250" s="145">
        <v>75</v>
      </c>
      <c r="F250" s="145">
        <v>87</v>
      </c>
      <c r="G250" s="145">
        <v>64</v>
      </c>
      <c r="H250" s="145">
        <v>65</v>
      </c>
      <c r="I250" s="145">
        <v>66</v>
      </c>
      <c r="J250" s="145">
        <f t="shared" si="44"/>
        <v>357</v>
      </c>
      <c r="K250" s="145">
        <v>145</v>
      </c>
      <c r="L250" s="147" t="s">
        <v>114</v>
      </c>
      <c r="M250" s="147" t="s">
        <v>130</v>
      </c>
      <c r="N250" s="147" t="s">
        <v>115</v>
      </c>
      <c r="O250" s="147" t="s">
        <v>114</v>
      </c>
      <c r="P250" s="147" t="s">
        <v>124</v>
      </c>
      <c r="Q250" s="147" t="s">
        <v>124</v>
      </c>
      <c r="R250" s="148" t="s">
        <v>253</v>
      </c>
      <c r="S250" s="148" t="s">
        <v>175</v>
      </c>
      <c r="T250" s="148" t="s">
        <v>136</v>
      </c>
      <c r="U250" s="148" t="s">
        <v>126</v>
      </c>
      <c r="V250" s="145">
        <f t="shared" si="45"/>
        <v>162</v>
      </c>
      <c r="W250" s="149"/>
      <c r="X250" s="145">
        <f t="shared" si="46"/>
        <v>226</v>
      </c>
      <c r="Y250">
        <f ca="1" t="shared" si="47"/>
        <v>0.908143161737586</v>
      </c>
      <c r="Z250" s="199"/>
      <c r="AA250" s="199"/>
      <c r="AB250" s="199"/>
      <c r="AC250" s="199"/>
      <c r="AD250" s="199"/>
      <c r="AE250" s="199"/>
      <c r="AF250" s="199"/>
      <c r="AG250" s="199"/>
      <c r="AH250" s="199"/>
      <c r="AI250" s="199"/>
      <c r="AJ250" s="199"/>
      <c r="AK250" s="199"/>
      <c r="AL250" s="199"/>
    </row>
    <row r="251" spans="1:38">
      <c r="A251" s="197"/>
      <c r="B251" s="153">
        <v>438</v>
      </c>
      <c r="C251" s="154" t="s">
        <v>477</v>
      </c>
      <c r="D251" s="144">
        <v>8</v>
      </c>
      <c r="E251" s="145">
        <v>76</v>
      </c>
      <c r="F251" s="145">
        <v>87</v>
      </c>
      <c r="G251" s="145">
        <v>59</v>
      </c>
      <c r="H251" s="145">
        <v>57</v>
      </c>
      <c r="I251" s="145">
        <v>67</v>
      </c>
      <c r="J251" s="145">
        <f t="shared" si="44"/>
        <v>346</v>
      </c>
      <c r="K251" s="145">
        <v>8</v>
      </c>
      <c r="L251" s="147" t="s">
        <v>114</v>
      </c>
      <c r="M251" s="147" t="s">
        <v>130</v>
      </c>
      <c r="N251" s="147" t="s">
        <v>130</v>
      </c>
      <c r="O251" s="147" t="s">
        <v>114</v>
      </c>
      <c r="P251" s="147" t="s">
        <v>124</v>
      </c>
      <c r="Q251" s="147" t="s">
        <v>124</v>
      </c>
      <c r="R251" s="148" t="s">
        <v>239</v>
      </c>
      <c r="S251" s="148" t="s">
        <v>132</v>
      </c>
      <c r="T251" s="148" t="s">
        <v>136</v>
      </c>
      <c r="U251" s="148" t="s">
        <v>126</v>
      </c>
      <c r="V251" s="145">
        <f t="shared" si="45"/>
        <v>163</v>
      </c>
      <c r="W251" s="149"/>
      <c r="X251" s="145">
        <f t="shared" si="46"/>
        <v>222</v>
      </c>
      <c r="Y251">
        <f ca="1" t="shared" si="47"/>
        <v>0.112631710950534</v>
      </c>
      <c r="Z251" s="199"/>
      <c r="AA251" s="199"/>
      <c r="AB251" s="199"/>
      <c r="AC251" s="199"/>
      <c r="AD251" s="199"/>
      <c r="AE251" s="199"/>
      <c r="AF251" s="199"/>
      <c r="AG251" s="199"/>
      <c r="AH251" s="199"/>
      <c r="AI251" s="199"/>
      <c r="AJ251" s="199"/>
      <c r="AK251" s="199"/>
      <c r="AL251" s="199"/>
    </row>
    <row r="252" spans="1:38">
      <c r="A252" s="197"/>
      <c r="B252" s="153">
        <v>511</v>
      </c>
      <c r="C252" s="154" t="s">
        <v>637</v>
      </c>
      <c r="D252" s="144">
        <v>5</v>
      </c>
      <c r="E252" s="145">
        <v>69</v>
      </c>
      <c r="F252" s="145">
        <v>64</v>
      </c>
      <c r="G252" s="145">
        <v>78</v>
      </c>
      <c r="H252" s="145">
        <v>83</v>
      </c>
      <c r="I252" s="145">
        <v>91</v>
      </c>
      <c r="J252" s="145">
        <f t="shared" si="44"/>
        <v>385</v>
      </c>
      <c r="K252" s="145">
        <v>46</v>
      </c>
      <c r="L252" s="147" t="s">
        <v>130</v>
      </c>
      <c r="M252" s="147" t="s">
        <v>130</v>
      </c>
      <c r="N252" s="147" t="s">
        <v>130</v>
      </c>
      <c r="O252" s="147" t="s">
        <v>130</v>
      </c>
      <c r="P252" s="147" t="s">
        <v>130</v>
      </c>
      <c r="Q252" s="147" t="s">
        <v>124</v>
      </c>
      <c r="R252" s="148" t="s">
        <v>353</v>
      </c>
      <c r="S252" s="148" t="s">
        <v>118</v>
      </c>
      <c r="T252" s="148" t="s">
        <v>119</v>
      </c>
      <c r="U252" s="148" t="s">
        <v>126</v>
      </c>
      <c r="V252" s="145">
        <f t="shared" si="45"/>
        <v>133</v>
      </c>
      <c r="W252" s="149"/>
      <c r="X252" s="145">
        <f t="shared" si="46"/>
        <v>211</v>
      </c>
      <c r="Y252">
        <f ca="1" t="shared" si="47"/>
        <v>0.843375492443969</v>
      </c>
      <c r="Z252" s="199"/>
      <c r="AA252" s="199"/>
      <c r="AB252" s="199"/>
      <c r="AC252" s="199"/>
      <c r="AD252" s="199"/>
      <c r="AE252" s="199"/>
      <c r="AF252" s="199"/>
      <c r="AG252" s="199"/>
      <c r="AH252" s="199"/>
      <c r="AI252" s="199"/>
      <c r="AJ252" s="199"/>
      <c r="AK252" s="199"/>
      <c r="AL252" s="199"/>
    </row>
    <row r="253" spans="1:38">
      <c r="A253" s="197"/>
      <c r="B253" s="153">
        <v>364</v>
      </c>
      <c r="C253" s="154" t="s">
        <v>1018</v>
      </c>
      <c r="D253" s="144">
        <v>5</v>
      </c>
      <c r="E253" s="145">
        <v>77</v>
      </c>
      <c r="F253" s="145">
        <v>86</v>
      </c>
      <c r="G253" s="145">
        <v>64</v>
      </c>
      <c r="H253" s="145">
        <v>58</v>
      </c>
      <c r="I253" s="145">
        <v>58</v>
      </c>
      <c r="J253" s="145">
        <f t="shared" si="44"/>
        <v>343</v>
      </c>
      <c r="K253" s="145">
        <v>76</v>
      </c>
      <c r="L253" s="147" t="s">
        <v>130</v>
      </c>
      <c r="M253" s="147" t="s">
        <v>114</v>
      </c>
      <c r="N253" s="147" t="s">
        <v>114</v>
      </c>
      <c r="O253" s="147" t="s">
        <v>130</v>
      </c>
      <c r="P253" s="147" t="s">
        <v>114</v>
      </c>
      <c r="Q253" s="147" t="s">
        <v>124</v>
      </c>
      <c r="R253" s="148" t="s">
        <v>337</v>
      </c>
      <c r="S253" s="148" t="s">
        <v>118</v>
      </c>
      <c r="T253" s="148" t="s">
        <v>119</v>
      </c>
      <c r="U253" s="148" t="s">
        <v>126</v>
      </c>
      <c r="V253" s="145">
        <f t="shared" si="45"/>
        <v>163</v>
      </c>
      <c r="W253" s="149"/>
      <c r="X253" s="145">
        <f t="shared" si="46"/>
        <v>227</v>
      </c>
      <c r="Y253">
        <f ca="1" t="shared" si="47"/>
        <v>0.881687442892061</v>
      </c>
      <c r="Z253" s="199"/>
      <c r="AA253" s="199"/>
      <c r="AB253" s="199"/>
      <c r="AC253" s="199"/>
      <c r="AD253" s="199"/>
      <c r="AE253" s="199"/>
      <c r="AF253" s="199"/>
      <c r="AG253" s="199"/>
      <c r="AH253" s="199"/>
      <c r="AI253" s="199"/>
      <c r="AJ253" s="199"/>
      <c r="AK253" s="199"/>
      <c r="AL253" s="199"/>
    </row>
    <row r="254" spans="1:38">
      <c r="A254" s="197"/>
      <c r="B254" s="153">
        <v>620</v>
      </c>
      <c r="C254" s="154" t="s">
        <v>797</v>
      </c>
      <c r="D254" s="144">
        <v>1</v>
      </c>
      <c r="E254" s="145">
        <v>53</v>
      </c>
      <c r="F254" s="145">
        <v>57</v>
      </c>
      <c r="G254" s="145">
        <v>81</v>
      </c>
      <c r="H254" s="145">
        <v>89</v>
      </c>
      <c r="I254" s="145">
        <v>64</v>
      </c>
      <c r="J254" s="145">
        <f t="shared" si="44"/>
        <v>344</v>
      </c>
      <c r="K254" s="145">
        <v>110</v>
      </c>
      <c r="L254" s="147" t="s">
        <v>124</v>
      </c>
      <c r="M254" s="147" t="s">
        <v>124</v>
      </c>
      <c r="N254" s="147" t="s">
        <v>124</v>
      </c>
      <c r="O254" s="147" t="s">
        <v>124</v>
      </c>
      <c r="P254" s="147" t="s">
        <v>130</v>
      </c>
      <c r="Q254" s="147" t="s">
        <v>130</v>
      </c>
      <c r="R254" s="148" t="s">
        <v>330</v>
      </c>
      <c r="S254" s="148" t="s">
        <v>132</v>
      </c>
      <c r="T254" s="148" t="s">
        <v>119</v>
      </c>
      <c r="U254" s="148" t="s">
        <v>126</v>
      </c>
      <c r="V254" s="145">
        <f t="shared" si="45"/>
        <v>110</v>
      </c>
      <c r="W254" s="149"/>
      <c r="X254" s="145">
        <f t="shared" si="46"/>
        <v>191</v>
      </c>
      <c r="Y254">
        <f ca="1" t="shared" si="47"/>
        <v>0.844689467758022</v>
      </c>
      <c r="Z254" s="199"/>
      <c r="AA254" s="199"/>
      <c r="AB254" s="199"/>
      <c r="AC254" s="199"/>
      <c r="AD254" s="199"/>
      <c r="AE254" s="199"/>
      <c r="AF254" s="199"/>
      <c r="AG254" s="199"/>
      <c r="AH254" s="199"/>
      <c r="AI254" s="199"/>
      <c r="AJ254" s="199"/>
      <c r="AK254" s="199"/>
      <c r="AL254" s="199"/>
    </row>
    <row r="255" spans="1:38">
      <c r="A255" s="197"/>
      <c r="B255" s="153">
        <v>773</v>
      </c>
      <c r="C255" s="154" t="s">
        <v>794</v>
      </c>
      <c r="D255" s="144">
        <v>4</v>
      </c>
      <c r="E255" s="145">
        <v>75</v>
      </c>
      <c r="F255" s="145">
        <v>69</v>
      </c>
      <c r="G255" s="145">
        <v>74</v>
      </c>
      <c r="H255" s="145">
        <v>76</v>
      </c>
      <c r="I255" s="145">
        <v>65</v>
      </c>
      <c r="J255" s="145">
        <f t="shared" si="44"/>
        <v>359</v>
      </c>
      <c r="K255" s="145">
        <v>87</v>
      </c>
      <c r="L255" s="147" t="s">
        <v>130</v>
      </c>
      <c r="M255" s="147" t="s">
        <v>114</v>
      </c>
      <c r="N255" s="147" t="s">
        <v>114</v>
      </c>
      <c r="O255" s="147" t="s">
        <v>130</v>
      </c>
      <c r="P255" s="147" t="s">
        <v>130</v>
      </c>
      <c r="Q255" s="147" t="s">
        <v>115</v>
      </c>
      <c r="R255" s="148" t="s">
        <v>674</v>
      </c>
      <c r="S255" s="148" t="s">
        <v>132</v>
      </c>
      <c r="T255" s="148" t="s">
        <v>119</v>
      </c>
      <c r="U255" s="148" t="s">
        <v>120</v>
      </c>
      <c r="V255" s="145">
        <f t="shared" si="45"/>
        <v>144</v>
      </c>
      <c r="W255" s="149"/>
      <c r="X255" s="145">
        <f t="shared" si="46"/>
        <v>218</v>
      </c>
      <c r="Y255">
        <f ca="1" t="shared" si="47"/>
        <v>0.562290506635226</v>
      </c>
      <c r="Z255" s="199"/>
      <c r="AA255" s="199"/>
      <c r="AB255" s="199"/>
      <c r="AC255" s="199"/>
      <c r="AD255" s="199"/>
      <c r="AE255" s="199"/>
      <c r="AF255" s="199"/>
      <c r="AG255" s="199"/>
      <c r="AH255" s="199"/>
      <c r="AI255" s="199"/>
      <c r="AJ255" s="199"/>
      <c r="AK255" s="199"/>
      <c r="AL255" s="199"/>
    </row>
    <row r="256" spans="1:38">
      <c r="A256" s="197"/>
      <c r="B256" s="153">
        <v>120</v>
      </c>
      <c r="C256" s="154" t="s">
        <v>498</v>
      </c>
      <c r="D256" s="144">
        <v>3</v>
      </c>
      <c r="E256" s="145">
        <v>15</v>
      </c>
      <c r="F256" s="145">
        <v>33</v>
      </c>
      <c r="G256" s="145">
        <v>93</v>
      </c>
      <c r="H256" s="145">
        <v>81</v>
      </c>
      <c r="I256" s="145">
        <v>64</v>
      </c>
      <c r="J256" s="145">
        <f t="shared" si="44"/>
        <v>286</v>
      </c>
      <c r="K256" s="145">
        <v>6</v>
      </c>
      <c r="L256" s="147" t="s">
        <v>124</v>
      </c>
      <c r="M256" s="147" t="s">
        <v>124</v>
      </c>
      <c r="N256" s="147" t="s">
        <v>124</v>
      </c>
      <c r="O256" s="147" t="s">
        <v>124</v>
      </c>
      <c r="P256" s="147" t="s">
        <v>124</v>
      </c>
      <c r="Q256" s="147" t="s">
        <v>124</v>
      </c>
      <c r="R256" s="148" t="s">
        <v>499</v>
      </c>
      <c r="S256" s="148" t="s">
        <v>132</v>
      </c>
      <c r="T256" s="148" t="s">
        <v>119</v>
      </c>
      <c r="U256" s="148" t="s">
        <v>126</v>
      </c>
      <c r="V256" s="145">
        <f t="shared" si="45"/>
        <v>48</v>
      </c>
      <c r="W256" s="149"/>
      <c r="X256" s="145">
        <f t="shared" si="46"/>
        <v>141</v>
      </c>
      <c r="Y256">
        <f ca="1" t="shared" si="47"/>
        <v>0.512483854317234</v>
      </c>
      <c r="Z256" s="199"/>
      <c r="AA256" s="199"/>
      <c r="AB256" s="199"/>
      <c r="AC256" s="199"/>
      <c r="AD256" s="199"/>
      <c r="AE256" s="199"/>
      <c r="AF256" s="199"/>
      <c r="AG256" s="199"/>
      <c r="AH256" s="199"/>
      <c r="AI256" s="199"/>
      <c r="AJ256" s="199"/>
      <c r="AK256" s="199"/>
      <c r="AL256" s="199"/>
    </row>
    <row r="257" spans="1:38">
      <c r="A257" s="197" t="s">
        <v>1397</v>
      </c>
      <c r="B257" s="153">
        <v>332</v>
      </c>
      <c r="C257" s="154" t="s">
        <v>561</v>
      </c>
      <c r="D257" s="144">
        <v>15</v>
      </c>
      <c r="E257" s="145">
        <v>75</v>
      </c>
      <c r="F257" s="145">
        <v>97</v>
      </c>
      <c r="G257" s="145">
        <v>40</v>
      </c>
      <c r="H257" s="145">
        <v>15</v>
      </c>
      <c r="I257" s="145">
        <v>50</v>
      </c>
      <c r="J257" s="145">
        <f t="shared" si="44"/>
        <v>277</v>
      </c>
      <c r="K257" s="145">
        <v>32</v>
      </c>
      <c r="L257" s="147" t="s">
        <v>114</v>
      </c>
      <c r="M257" s="147" t="s">
        <v>130</v>
      </c>
      <c r="N257" s="147" t="s">
        <v>114</v>
      </c>
      <c r="O257" s="147" t="s">
        <v>114</v>
      </c>
      <c r="P257" s="147" t="s">
        <v>124</v>
      </c>
      <c r="Q257" s="147" t="s">
        <v>130</v>
      </c>
      <c r="R257" s="148" t="s">
        <v>562</v>
      </c>
      <c r="S257" s="148" t="s">
        <v>119</v>
      </c>
      <c r="T257" s="148" t="s">
        <v>119</v>
      </c>
      <c r="U257" s="148" t="s">
        <v>250</v>
      </c>
      <c r="V257" s="145">
        <f t="shared" si="45"/>
        <v>172</v>
      </c>
      <c r="W257" s="149"/>
      <c r="X257" s="145">
        <f t="shared" si="46"/>
        <v>212</v>
      </c>
      <c r="Y257">
        <f ca="1" t="shared" si="47"/>
        <v>0.443072132939186</v>
      </c>
      <c r="Z257" s="199"/>
      <c r="AA257" s="199"/>
      <c r="AB257" s="199"/>
      <c r="AC257" s="199"/>
      <c r="AD257" s="199"/>
      <c r="AE257" s="199"/>
      <c r="AF257" s="199"/>
      <c r="AG257" s="199"/>
      <c r="AH257" s="199"/>
      <c r="AI257" s="199"/>
      <c r="AJ257" s="199"/>
      <c r="AK257" s="199"/>
      <c r="AL257" s="199"/>
    </row>
    <row r="258" spans="1:52">
      <c r="A258" s="197"/>
      <c r="B258" s="153">
        <v>566</v>
      </c>
      <c r="C258" s="154" t="s">
        <v>1016</v>
      </c>
      <c r="D258" s="144">
        <v>16</v>
      </c>
      <c r="E258" s="145">
        <v>85</v>
      </c>
      <c r="F258" s="145">
        <v>95</v>
      </c>
      <c r="G258" s="145">
        <v>61</v>
      </c>
      <c r="H258" s="145">
        <v>50</v>
      </c>
      <c r="I258" s="145">
        <v>59</v>
      </c>
      <c r="J258" s="145">
        <f t="shared" si="44"/>
        <v>350</v>
      </c>
      <c r="K258" s="145">
        <v>34</v>
      </c>
      <c r="L258" s="147" t="s">
        <v>115</v>
      </c>
      <c r="M258" s="147" t="s">
        <v>114</v>
      </c>
      <c r="N258" s="147" t="s">
        <v>130</v>
      </c>
      <c r="O258" s="147" t="s">
        <v>115</v>
      </c>
      <c r="P258" s="147" t="s">
        <v>114</v>
      </c>
      <c r="Q258" s="147" t="s">
        <v>124</v>
      </c>
      <c r="R258" s="148" t="s">
        <v>198</v>
      </c>
      <c r="S258" s="148" t="s">
        <v>118</v>
      </c>
      <c r="T258" s="148" t="s">
        <v>119</v>
      </c>
      <c r="U258" s="148" t="s">
        <v>126</v>
      </c>
      <c r="V258" s="145">
        <f t="shared" si="45"/>
        <v>180</v>
      </c>
      <c r="W258" s="149"/>
      <c r="X258" s="145">
        <f t="shared" si="46"/>
        <v>241</v>
      </c>
      <c r="Y258">
        <f ca="1" t="shared" si="47"/>
        <v>0.332994718573542</v>
      </c>
      <c r="Z258" s="199"/>
      <c r="AA258" s="199"/>
      <c r="AB258" s="199"/>
      <c r="AC258" s="199"/>
      <c r="AD258" s="199"/>
      <c r="AE258" s="199"/>
      <c r="AF258" s="199"/>
      <c r="AG258" s="162"/>
      <c r="AH258" s="162"/>
      <c r="AI258" s="162"/>
      <c r="AJ258" s="162"/>
      <c r="AK258" s="162"/>
      <c r="AL258" s="162"/>
      <c r="AM258" s="162"/>
      <c r="AN258" s="163"/>
      <c r="AO258" s="163"/>
      <c r="AP258" s="163"/>
      <c r="AQ258" s="163"/>
      <c r="AR258" s="163"/>
      <c r="AS258" s="163"/>
      <c r="AT258" s="165"/>
      <c r="AU258" s="165"/>
      <c r="AV258" s="165"/>
      <c r="AW258" s="165"/>
      <c r="AX258" s="162"/>
      <c r="AY258" s="164"/>
      <c r="AZ258" s="162"/>
    </row>
    <row r="259" spans="1:52">
      <c r="A259" s="197"/>
      <c r="B259" s="153">
        <v>49</v>
      </c>
      <c r="C259" s="154" t="s">
        <v>494</v>
      </c>
      <c r="D259" s="144">
        <v>6</v>
      </c>
      <c r="E259" s="145">
        <v>48</v>
      </c>
      <c r="F259" s="145">
        <v>48</v>
      </c>
      <c r="G259" s="145">
        <v>77</v>
      </c>
      <c r="H259" s="145">
        <v>77</v>
      </c>
      <c r="I259" s="145">
        <v>65</v>
      </c>
      <c r="J259" s="145">
        <f t="shared" si="44"/>
        <v>315</v>
      </c>
      <c r="K259" s="145">
        <v>22</v>
      </c>
      <c r="L259" s="147" t="s">
        <v>124</v>
      </c>
      <c r="M259" s="147" t="s">
        <v>130</v>
      </c>
      <c r="N259" s="147" t="s">
        <v>124</v>
      </c>
      <c r="O259" s="147" t="s">
        <v>124</v>
      </c>
      <c r="P259" s="147" t="s">
        <v>124</v>
      </c>
      <c r="Q259" s="147" t="s">
        <v>124</v>
      </c>
      <c r="R259" s="148" t="s">
        <v>294</v>
      </c>
      <c r="S259" s="148" t="s">
        <v>118</v>
      </c>
      <c r="T259" s="148" t="s">
        <v>119</v>
      </c>
      <c r="U259" s="148" t="s">
        <v>120</v>
      </c>
      <c r="V259" s="145">
        <f t="shared" si="45"/>
        <v>96</v>
      </c>
      <c r="W259" s="149"/>
      <c r="X259" s="145">
        <f t="shared" si="46"/>
        <v>173</v>
      </c>
      <c r="Y259">
        <f ca="1" t="shared" si="47"/>
        <v>0.99972267055419</v>
      </c>
      <c r="Z259" s="199"/>
      <c r="AA259" s="199"/>
      <c r="AB259" s="199"/>
      <c r="AC259" s="199"/>
      <c r="AD259" s="199"/>
      <c r="AE259" s="199"/>
      <c r="AF259" s="199"/>
      <c r="AG259" s="162"/>
      <c r="AH259" s="162"/>
      <c r="AI259" s="162"/>
      <c r="AJ259" s="162"/>
      <c r="AK259" s="162"/>
      <c r="AL259" s="162"/>
      <c r="AM259" s="162"/>
      <c r="AN259" s="163"/>
      <c r="AO259" s="163"/>
      <c r="AP259" s="163"/>
      <c r="AQ259" s="163"/>
      <c r="AR259" s="163"/>
      <c r="AS259" s="163"/>
      <c r="AT259" s="165"/>
      <c r="AU259" s="165"/>
      <c r="AV259" s="165"/>
      <c r="AW259" s="165"/>
      <c r="AX259" s="162"/>
      <c r="AY259" s="203"/>
      <c r="AZ259" s="162"/>
    </row>
    <row r="260" ht="17.6" spans="1:52">
      <c r="A260" s="197"/>
      <c r="B260" s="122">
        <v>38</v>
      </c>
      <c r="C260" s="121" t="s">
        <v>1398</v>
      </c>
      <c r="D260" s="124">
        <v>4</v>
      </c>
      <c r="E260" s="121" t="s">
        <v>1369</v>
      </c>
      <c r="F260" s="121" t="s">
        <v>499</v>
      </c>
      <c r="G260" s="145"/>
      <c r="H260" s="145"/>
      <c r="I260" s="145"/>
      <c r="J260" s="145"/>
      <c r="K260" s="145"/>
      <c r="L260" s="147"/>
      <c r="M260" s="147"/>
      <c r="N260" s="147"/>
      <c r="O260" s="147"/>
      <c r="P260" s="147"/>
      <c r="Q260" s="147"/>
      <c r="R260" s="148"/>
      <c r="S260" s="148"/>
      <c r="T260" s="148"/>
      <c r="U260" s="148"/>
      <c r="V260" s="145"/>
      <c r="W260" s="149"/>
      <c r="X260" s="145"/>
      <c r="Z260" s="199"/>
      <c r="AA260" s="199"/>
      <c r="AB260" s="199"/>
      <c r="AC260" s="199"/>
      <c r="AD260" s="199"/>
      <c r="AE260" s="199"/>
      <c r="AF260" s="199"/>
      <c r="AG260" s="162"/>
      <c r="AH260" s="162"/>
      <c r="AI260" s="162"/>
      <c r="AJ260" s="162"/>
      <c r="AK260" s="162"/>
      <c r="AL260" s="162"/>
      <c r="AM260" s="162"/>
      <c r="AN260" s="163"/>
      <c r="AO260" s="163"/>
      <c r="AP260" s="163"/>
      <c r="AQ260" s="163"/>
      <c r="AR260" s="163"/>
      <c r="AS260" s="163"/>
      <c r="AT260" s="165"/>
      <c r="AU260" s="165"/>
      <c r="AV260" s="165"/>
      <c r="AW260" s="165"/>
      <c r="AX260" s="162"/>
      <c r="AY260" s="203"/>
      <c r="AZ260" s="162"/>
    </row>
    <row r="261" spans="1:38">
      <c r="A261" s="197"/>
      <c r="B261" s="153">
        <v>425</v>
      </c>
      <c r="C261" s="154" t="s">
        <v>466</v>
      </c>
      <c r="D261" s="144">
        <v>7</v>
      </c>
      <c r="E261" s="145">
        <v>77</v>
      </c>
      <c r="F261" s="145">
        <v>86</v>
      </c>
      <c r="G261" s="145">
        <v>45</v>
      </c>
      <c r="H261" s="145">
        <v>53</v>
      </c>
      <c r="I261" s="145">
        <v>68</v>
      </c>
      <c r="J261" s="145">
        <f t="shared" ref="J261:J271" si="48">SUM(E261:I261)</f>
        <v>329</v>
      </c>
      <c r="K261" s="145">
        <v>149</v>
      </c>
      <c r="L261" s="147" t="s">
        <v>130</v>
      </c>
      <c r="M261" s="147" t="s">
        <v>124</v>
      </c>
      <c r="N261" s="147" t="s">
        <v>114</v>
      </c>
      <c r="O261" s="147" t="s">
        <v>114</v>
      </c>
      <c r="P261" s="147" t="s">
        <v>124</v>
      </c>
      <c r="Q261" s="147" t="s">
        <v>124</v>
      </c>
      <c r="R261" s="148" t="s">
        <v>429</v>
      </c>
      <c r="S261" s="148" t="s">
        <v>118</v>
      </c>
      <c r="T261" s="148" t="s">
        <v>133</v>
      </c>
      <c r="U261" s="148" t="s">
        <v>120</v>
      </c>
      <c r="V261" s="145">
        <f t="shared" ref="V261:V271" si="49">E261+F261</f>
        <v>163</v>
      </c>
      <c r="W261" s="149"/>
      <c r="X261" s="145">
        <f t="shared" ref="X261:X271" si="50">E261+F261+G261</f>
        <v>208</v>
      </c>
      <c r="Y261">
        <f ca="1" t="shared" ref="Y261:Y271" si="51">RAND()</f>
        <v>0.55038376757111</v>
      </c>
      <c r="Z261" s="199"/>
      <c r="AA261" s="199"/>
      <c r="AB261" s="199"/>
      <c r="AC261" s="199"/>
      <c r="AD261" s="199"/>
      <c r="AE261" s="199"/>
      <c r="AF261" s="199"/>
      <c r="AG261" s="199"/>
      <c r="AH261" s="199"/>
      <c r="AI261" s="199"/>
      <c r="AJ261" s="199"/>
      <c r="AK261" s="199"/>
      <c r="AL261" s="199"/>
    </row>
    <row r="262" spans="1:38">
      <c r="A262" s="197"/>
      <c r="B262" s="153">
        <v>232</v>
      </c>
      <c r="C262" s="154" t="s">
        <v>571</v>
      </c>
      <c r="D262" s="144">
        <v>11</v>
      </c>
      <c r="E262" s="145">
        <v>78</v>
      </c>
      <c r="F262" s="145">
        <v>90</v>
      </c>
      <c r="G262" s="145">
        <v>60</v>
      </c>
      <c r="H262" s="145">
        <v>13</v>
      </c>
      <c r="I262" s="145">
        <v>47</v>
      </c>
      <c r="J262" s="145">
        <f t="shared" si="48"/>
        <v>288</v>
      </c>
      <c r="K262" s="145">
        <v>33</v>
      </c>
      <c r="L262" s="147" t="s">
        <v>115</v>
      </c>
      <c r="M262" s="147" t="s">
        <v>114</v>
      </c>
      <c r="N262" s="147" t="s">
        <v>130</v>
      </c>
      <c r="O262" s="147" t="s">
        <v>130</v>
      </c>
      <c r="P262" s="147" t="s">
        <v>124</v>
      </c>
      <c r="Q262" s="147" t="s">
        <v>114</v>
      </c>
      <c r="R262" s="148" t="s">
        <v>208</v>
      </c>
      <c r="S262" s="148" t="s">
        <v>175</v>
      </c>
      <c r="T262" s="148" t="s">
        <v>119</v>
      </c>
      <c r="U262" s="148" t="s">
        <v>250</v>
      </c>
      <c r="V262" s="145">
        <f t="shared" si="49"/>
        <v>168</v>
      </c>
      <c r="W262" s="149"/>
      <c r="X262" s="145">
        <f t="shared" si="50"/>
        <v>228</v>
      </c>
      <c r="Y262">
        <f ca="1" t="shared" si="51"/>
        <v>0.642047850155934</v>
      </c>
      <c r="Z262" s="199"/>
      <c r="AA262" s="199"/>
      <c r="AB262" s="199"/>
      <c r="AC262" s="199"/>
      <c r="AD262" s="199"/>
      <c r="AE262" s="199"/>
      <c r="AF262" s="199"/>
      <c r="AG262" s="199"/>
      <c r="AH262" s="199"/>
      <c r="AI262" s="199"/>
      <c r="AJ262" s="199"/>
      <c r="AK262" s="199"/>
      <c r="AL262" s="199"/>
    </row>
    <row r="263" spans="1:38">
      <c r="A263" s="197"/>
      <c r="B263" s="153">
        <v>691</v>
      </c>
      <c r="C263" s="154" t="s">
        <v>1009</v>
      </c>
      <c r="D263" s="144">
        <v>2</v>
      </c>
      <c r="E263" s="145">
        <v>58</v>
      </c>
      <c r="F263" s="145">
        <v>47</v>
      </c>
      <c r="G263" s="145">
        <v>78</v>
      </c>
      <c r="H263" s="145">
        <v>81</v>
      </c>
      <c r="I263" s="145">
        <v>60</v>
      </c>
      <c r="J263" s="145">
        <f t="shared" si="48"/>
        <v>324</v>
      </c>
      <c r="K263" s="145">
        <v>93</v>
      </c>
      <c r="L263" s="147" t="s">
        <v>124</v>
      </c>
      <c r="M263" s="147" t="s">
        <v>130</v>
      </c>
      <c r="N263" s="147" t="s">
        <v>124</v>
      </c>
      <c r="O263" s="147" t="s">
        <v>124</v>
      </c>
      <c r="P263" s="147" t="s">
        <v>114</v>
      </c>
      <c r="Q263" s="147" t="s">
        <v>130</v>
      </c>
      <c r="R263" s="148" t="s">
        <v>360</v>
      </c>
      <c r="S263" s="148" t="s">
        <v>132</v>
      </c>
      <c r="T263" s="148" t="s">
        <v>119</v>
      </c>
      <c r="U263" s="148" t="s">
        <v>120</v>
      </c>
      <c r="V263" s="145">
        <f t="shared" si="49"/>
        <v>105</v>
      </c>
      <c r="W263" s="149"/>
      <c r="X263" s="145">
        <f t="shared" si="50"/>
        <v>183</v>
      </c>
      <c r="Y263">
        <f ca="1" t="shared" si="51"/>
        <v>0.453601861973742</v>
      </c>
      <c r="Z263" s="199"/>
      <c r="AA263" s="199"/>
      <c r="AB263" s="199"/>
      <c r="AC263" s="199"/>
      <c r="AD263" s="199"/>
      <c r="AE263" s="199"/>
      <c r="AF263" s="199"/>
      <c r="AG263" s="199"/>
      <c r="AH263" s="199"/>
      <c r="AI263" s="199"/>
      <c r="AJ263" s="199"/>
      <c r="AK263" s="199"/>
      <c r="AL263" s="199"/>
    </row>
    <row r="264" spans="1:38">
      <c r="A264" s="197"/>
      <c r="B264" s="153">
        <v>490</v>
      </c>
      <c r="C264" s="154" t="s">
        <v>531</v>
      </c>
      <c r="D264" s="144">
        <v>7</v>
      </c>
      <c r="E264" s="145">
        <v>73</v>
      </c>
      <c r="F264" s="145">
        <v>88</v>
      </c>
      <c r="G264" s="145">
        <v>40</v>
      </c>
      <c r="H264" s="145">
        <v>50</v>
      </c>
      <c r="I264" s="145">
        <v>58</v>
      </c>
      <c r="J264" s="145">
        <f t="shared" si="48"/>
        <v>309</v>
      </c>
      <c r="K264" s="145">
        <v>47</v>
      </c>
      <c r="L264" s="147" t="s">
        <v>114</v>
      </c>
      <c r="M264" s="147" t="s">
        <v>114</v>
      </c>
      <c r="N264" s="147" t="s">
        <v>130</v>
      </c>
      <c r="O264" s="147" t="s">
        <v>130</v>
      </c>
      <c r="P264" s="147" t="s">
        <v>124</v>
      </c>
      <c r="Q264" s="147" t="s">
        <v>124</v>
      </c>
      <c r="R264" s="148" t="s">
        <v>309</v>
      </c>
      <c r="S264" s="148" t="s">
        <v>132</v>
      </c>
      <c r="T264" s="148" t="s">
        <v>119</v>
      </c>
      <c r="U264" s="148" t="s">
        <v>250</v>
      </c>
      <c r="V264" s="145">
        <f t="shared" si="49"/>
        <v>161</v>
      </c>
      <c r="W264" s="149"/>
      <c r="X264" s="145">
        <f t="shared" si="50"/>
        <v>201</v>
      </c>
      <c r="Y264">
        <f ca="1" t="shared" si="51"/>
        <v>0.82956855393558</v>
      </c>
      <c r="Z264" s="199"/>
      <c r="AA264" s="199"/>
      <c r="AB264" s="199"/>
      <c r="AC264" s="199"/>
      <c r="AD264" s="199"/>
      <c r="AE264" s="199"/>
      <c r="AF264" s="199"/>
      <c r="AG264" s="199"/>
      <c r="AH264" s="199"/>
      <c r="AI264" s="199"/>
      <c r="AJ264" s="199"/>
      <c r="AK264" s="199"/>
      <c r="AL264" s="199"/>
    </row>
    <row r="265" spans="1:38">
      <c r="A265" s="197"/>
      <c r="B265" s="153">
        <v>16</v>
      </c>
      <c r="C265" s="154" t="s">
        <v>348</v>
      </c>
      <c r="D265" s="144">
        <v>1</v>
      </c>
      <c r="E265" s="145">
        <v>32</v>
      </c>
      <c r="F265" s="145">
        <v>51</v>
      </c>
      <c r="G265" s="145">
        <v>84</v>
      </c>
      <c r="H265" s="145">
        <v>76</v>
      </c>
      <c r="I265" s="145">
        <v>84</v>
      </c>
      <c r="J265" s="145">
        <f t="shared" si="48"/>
        <v>327</v>
      </c>
      <c r="K265" s="145">
        <v>62</v>
      </c>
      <c r="L265" s="147" t="s">
        <v>124</v>
      </c>
      <c r="M265" s="147" t="s">
        <v>124</v>
      </c>
      <c r="N265" s="147" t="s">
        <v>124</v>
      </c>
      <c r="O265" s="147" t="s">
        <v>124</v>
      </c>
      <c r="P265" s="147" t="s">
        <v>124</v>
      </c>
      <c r="Q265" s="147" t="s">
        <v>124</v>
      </c>
      <c r="R265" s="148" t="s">
        <v>333</v>
      </c>
      <c r="S265" s="148" t="s">
        <v>118</v>
      </c>
      <c r="T265" s="148" t="s">
        <v>279</v>
      </c>
      <c r="U265" s="148" t="s">
        <v>148</v>
      </c>
      <c r="V265" s="145">
        <f t="shared" si="49"/>
        <v>83</v>
      </c>
      <c r="W265" s="149"/>
      <c r="X265" s="145">
        <f t="shared" si="50"/>
        <v>167</v>
      </c>
      <c r="Y265">
        <f ca="1" t="shared" si="51"/>
        <v>0.957064063300794</v>
      </c>
      <c r="Z265" s="199"/>
      <c r="AA265" s="199"/>
      <c r="AB265" s="199"/>
      <c r="AC265" s="199"/>
      <c r="AD265" s="199"/>
      <c r="AE265" s="199"/>
      <c r="AF265" s="199"/>
      <c r="AG265" s="199"/>
      <c r="AH265" s="199"/>
      <c r="AI265" s="199"/>
      <c r="AJ265" s="199"/>
      <c r="AK265" s="199"/>
      <c r="AL265" s="199"/>
    </row>
    <row r="266" spans="1:38">
      <c r="A266" s="197"/>
      <c r="B266" s="153">
        <v>546</v>
      </c>
      <c r="C266" s="156" t="s">
        <v>893</v>
      </c>
      <c r="D266" s="144">
        <v>6</v>
      </c>
      <c r="E266" s="145">
        <v>64</v>
      </c>
      <c r="F266" s="145">
        <v>60</v>
      </c>
      <c r="G266" s="145">
        <v>86</v>
      </c>
      <c r="H266" s="145">
        <v>87</v>
      </c>
      <c r="I266" s="145">
        <v>92</v>
      </c>
      <c r="J266" s="145">
        <f t="shared" si="48"/>
        <v>389</v>
      </c>
      <c r="K266" s="145">
        <v>50</v>
      </c>
      <c r="L266" s="147" t="s">
        <v>130</v>
      </c>
      <c r="M266" s="147" t="s">
        <v>115</v>
      </c>
      <c r="N266" s="147" t="s">
        <v>114</v>
      </c>
      <c r="O266" s="147" t="s">
        <v>124</v>
      </c>
      <c r="P266" s="147" t="s">
        <v>114</v>
      </c>
      <c r="Q266" s="147" t="s">
        <v>130</v>
      </c>
      <c r="R266" s="148" t="s">
        <v>429</v>
      </c>
      <c r="S266" s="148" t="s">
        <v>118</v>
      </c>
      <c r="T266" s="148" t="s">
        <v>119</v>
      </c>
      <c r="U266" s="148" t="s">
        <v>120</v>
      </c>
      <c r="V266" s="145">
        <f t="shared" si="49"/>
        <v>124</v>
      </c>
      <c r="W266" s="149"/>
      <c r="X266" s="145">
        <f t="shared" si="50"/>
        <v>210</v>
      </c>
      <c r="Y266">
        <f ca="1" t="shared" si="51"/>
        <v>0.703044431761356</v>
      </c>
      <c r="Z266" s="199"/>
      <c r="AA266" s="199"/>
      <c r="AB266" s="199"/>
      <c r="AC266" s="199"/>
      <c r="AD266" s="199"/>
      <c r="AE266" s="199"/>
      <c r="AF266" s="199"/>
      <c r="AG266" s="199"/>
      <c r="AH266" s="199"/>
      <c r="AI266" s="199"/>
      <c r="AJ266" s="199"/>
      <c r="AK266" s="199"/>
      <c r="AL266" s="199"/>
    </row>
    <row r="267" spans="1:38">
      <c r="A267" s="197"/>
      <c r="B267" s="153">
        <v>47</v>
      </c>
      <c r="C267" s="154" t="s">
        <v>709</v>
      </c>
      <c r="D267" s="144">
        <v>4</v>
      </c>
      <c r="E267" s="145">
        <v>65</v>
      </c>
      <c r="F267" s="145">
        <v>53</v>
      </c>
      <c r="G267" s="145">
        <v>78</v>
      </c>
      <c r="H267" s="145">
        <v>80</v>
      </c>
      <c r="I267" s="145">
        <v>77</v>
      </c>
      <c r="J267" s="145">
        <f t="shared" si="48"/>
        <v>353</v>
      </c>
      <c r="K267" s="145">
        <v>19</v>
      </c>
      <c r="L267" s="147" t="s">
        <v>130</v>
      </c>
      <c r="M267" s="147" t="s">
        <v>130</v>
      </c>
      <c r="N267" s="147" t="s">
        <v>130</v>
      </c>
      <c r="O267" s="147" t="s">
        <v>124</v>
      </c>
      <c r="P267" s="147" t="s">
        <v>130</v>
      </c>
      <c r="Q267" s="147" t="s">
        <v>124</v>
      </c>
      <c r="R267" s="148" t="s">
        <v>170</v>
      </c>
      <c r="S267" s="148" t="s">
        <v>132</v>
      </c>
      <c r="T267" s="148" t="s">
        <v>119</v>
      </c>
      <c r="U267" s="148" t="s">
        <v>126</v>
      </c>
      <c r="V267" s="145">
        <f t="shared" si="49"/>
        <v>118</v>
      </c>
      <c r="W267" s="149"/>
      <c r="X267" s="145">
        <f t="shared" si="50"/>
        <v>196</v>
      </c>
      <c r="Y267">
        <f ca="1" t="shared" si="51"/>
        <v>0.596177573383744</v>
      </c>
      <c r="Z267" s="199"/>
      <c r="AA267" s="199"/>
      <c r="AB267" s="199"/>
      <c r="AC267" s="199"/>
      <c r="AD267" s="199"/>
      <c r="AE267" s="199"/>
      <c r="AF267" s="199"/>
      <c r="AG267" s="199"/>
      <c r="AH267" s="199"/>
      <c r="AI267" s="199"/>
      <c r="AJ267" s="199"/>
      <c r="AK267" s="199"/>
      <c r="AL267" s="199"/>
    </row>
    <row r="268" spans="1:38">
      <c r="A268" s="197"/>
      <c r="B268" s="153">
        <v>372</v>
      </c>
      <c r="C268" s="154" t="s">
        <v>586</v>
      </c>
      <c r="D268" s="144">
        <v>3</v>
      </c>
      <c r="E268" s="145">
        <v>70</v>
      </c>
      <c r="F268" s="145">
        <v>84</v>
      </c>
      <c r="G268" s="145">
        <v>41</v>
      </c>
      <c r="H268" s="145">
        <v>33</v>
      </c>
      <c r="I268" s="145">
        <v>40</v>
      </c>
      <c r="J268" s="145">
        <f t="shared" si="48"/>
        <v>268</v>
      </c>
      <c r="K268" s="145">
        <v>117</v>
      </c>
      <c r="L268" s="147" t="s">
        <v>114</v>
      </c>
      <c r="M268" s="147" t="s">
        <v>114</v>
      </c>
      <c r="N268" s="147" t="s">
        <v>130</v>
      </c>
      <c r="O268" s="147" t="s">
        <v>124</v>
      </c>
      <c r="P268" s="147" t="s">
        <v>124</v>
      </c>
      <c r="Q268" s="147" t="s">
        <v>114</v>
      </c>
      <c r="R268" s="148" t="s">
        <v>587</v>
      </c>
      <c r="S268" s="148" t="s">
        <v>119</v>
      </c>
      <c r="T268" s="148" t="s">
        <v>119</v>
      </c>
      <c r="U268" s="148" t="s">
        <v>126</v>
      </c>
      <c r="V268" s="145">
        <f t="shared" si="49"/>
        <v>154</v>
      </c>
      <c r="W268" s="149"/>
      <c r="X268" s="145">
        <f t="shared" si="50"/>
        <v>195</v>
      </c>
      <c r="Y268">
        <f ca="1" t="shared" si="51"/>
        <v>0.126285460748547</v>
      </c>
      <c r="Z268" s="199"/>
      <c r="AA268" s="199"/>
      <c r="AB268" s="199"/>
      <c r="AC268" s="199"/>
      <c r="AD268" s="199"/>
      <c r="AE268" s="199"/>
      <c r="AF268" s="199"/>
      <c r="AG268" s="199"/>
      <c r="AH268" s="199"/>
      <c r="AI268" s="199"/>
      <c r="AJ268" s="199"/>
      <c r="AK268" s="199"/>
      <c r="AL268" s="199"/>
    </row>
    <row r="269" spans="1:38">
      <c r="A269" s="197"/>
      <c r="B269" s="153">
        <v>284</v>
      </c>
      <c r="C269" s="154" t="s">
        <v>401</v>
      </c>
      <c r="D269" s="144">
        <v>6</v>
      </c>
      <c r="E269" s="145">
        <v>71</v>
      </c>
      <c r="F269" s="145">
        <v>80</v>
      </c>
      <c r="G269" s="145">
        <v>56</v>
      </c>
      <c r="H269" s="145">
        <v>58</v>
      </c>
      <c r="I269" s="145">
        <v>77</v>
      </c>
      <c r="J269" s="145">
        <f t="shared" si="48"/>
        <v>342</v>
      </c>
      <c r="K269" s="145">
        <v>135</v>
      </c>
      <c r="L269" s="147" t="s">
        <v>130</v>
      </c>
      <c r="M269" s="147" t="s">
        <v>130</v>
      </c>
      <c r="N269" s="147" t="s">
        <v>115</v>
      </c>
      <c r="O269" s="147" t="s">
        <v>114</v>
      </c>
      <c r="P269" s="147" t="s">
        <v>124</v>
      </c>
      <c r="Q269" s="147" t="s">
        <v>124</v>
      </c>
      <c r="R269" s="148" t="s">
        <v>402</v>
      </c>
      <c r="S269" s="148" t="s">
        <v>118</v>
      </c>
      <c r="T269" s="148" t="s">
        <v>119</v>
      </c>
      <c r="U269" s="148" t="s">
        <v>126</v>
      </c>
      <c r="V269" s="145">
        <f t="shared" si="49"/>
        <v>151</v>
      </c>
      <c r="W269" s="149"/>
      <c r="X269" s="145">
        <f t="shared" si="50"/>
        <v>207</v>
      </c>
      <c r="Y269">
        <f ca="1" t="shared" si="51"/>
        <v>0.366021278507483</v>
      </c>
      <c r="Z269" s="199"/>
      <c r="AA269" s="199"/>
      <c r="AB269" s="199"/>
      <c r="AC269" s="199"/>
      <c r="AD269" s="199"/>
      <c r="AE269" s="199"/>
      <c r="AF269" s="199"/>
      <c r="AG269" s="199"/>
      <c r="AH269" s="199"/>
      <c r="AI269" s="199"/>
      <c r="AJ269" s="199"/>
      <c r="AK269" s="199"/>
      <c r="AL269" s="199"/>
    </row>
    <row r="270" spans="1:38">
      <c r="A270" s="197"/>
      <c r="B270" s="153">
        <v>271</v>
      </c>
      <c r="C270" s="154" t="s">
        <v>704</v>
      </c>
      <c r="D270" s="144">
        <v>5</v>
      </c>
      <c r="E270" s="145">
        <v>72</v>
      </c>
      <c r="F270" s="145">
        <v>66</v>
      </c>
      <c r="G270" s="145">
        <v>79</v>
      </c>
      <c r="H270" s="145">
        <v>70</v>
      </c>
      <c r="I270" s="145">
        <v>78</v>
      </c>
      <c r="J270" s="145">
        <f t="shared" si="48"/>
        <v>365</v>
      </c>
      <c r="K270" s="145">
        <v>5</v>
      </c>
      <c r="L270" s="147" t="s">
        <v>130</v>
      </c>
      <c r="M270" s="147" t="s">
        <v>130</v>
      </c>
      <c r="N270" s="147" t="s">
        <v>130</v>
      </c>
      <c r="O270" s="147" t="s">
        <v>114</v>
      </c>
      <c r="P270" s="147" t="s">
        <v>130</v>
      </c>
      <c r="Q270" s="147" t="s">
        <v>124</v>
      </c>
      <c r="R270" s="148" t="s">
        <v>353</v>
      </c>
      <c r="S270" s="148" t="s">
        <v>132</v>
      </c>
      <c r="T270" s="148" t="s">
        <v>136</v>
      </c>
      <c r="U270" s="148" t="s">
        <v>120</v>
      </c>
      <c r="V270" s="145">
        <f t="shared" si="49"/>
        <v>138</v>
      </c>
      <c r="W270" s="149"/>
      <c r="X270" s="145">
        <f t="shared" si="50"/>
        <v>217</v>
      </c>
      <c r="Y270">
        <f ca="1" t="shared" si="51"/>
        <v>0.299183807498295</v>
      </c>
      <c r="Z270" s="199"/>
      <c r="AA270" s="199"/>
      <c r="AB270" s="199"/>
      <c r="AC270" s="199"/>
      <c r="AD270" s="199"/>
      <c r="AE270" s="199"/>
      <c r="AF270" s="199"/>
      <c r="AG270" s="199"/>
      <c r="AH270" s="199"/>
      <c r="AI270" s="199"/>
      <c r="AJ270" s="199"/>
      <c r="AK270" s="199"/>
      <c r="AL270" s="199"/>
    </row>
    <row r="271" spans="1:38">
      <c r="A271" s="197" t="s">
        <v>1399</v>
      </c>
      <c r="B271" s="153">
        <v>45</v>
      </c>
      <c r="C271" s="154" t="s">
        <v>152</v>
      </c>
      <c r="D271" s="144">
        <v>15</v>
      </c>
      <c r="E271" s="145">
        <v>92</v>
      </c>
      <c r="F271" s="145">
        <v>66</v>
      </c>
      <c r="G271" s="145">
        <v>67</v>
      </c>
      <c r="H271" s="145">
        <v>74</v>
      </c>
      <c r="I271" s="145">
        <v>97</v>
      </c>
      <c r="J271" s="145">
        <f t="shared" si="48"/>
        <v>396</v>
      </c>
      <c r="K271" s="145">
        <v>18</v>
      </c>
      <c r="L271" s="147" t="s">
        <v>114</v>
      </c>
      <c r="M271" s="147" t="s">
        <v>115</v>
      </c>
      <c r="N271" s="147" t="s">
        <v>114</v>
      </c>
      <c r="O271" s="147" t="s">
        <v>130</v>
      </c>
      <c r="P271" s="147" t="s">
        <v>115</v>
      </c>
      <c r="Q271" s="147" t="s">
        <v>124</v>
      </c>
      <c r="R271" s="148" t="s">
        <v>153</v>
      </c>
      <c r="S271" s="148" t="s">
        <v>132</v>
      </c>
      <c r="T271" s="148" t="s">
        <v>133</v>
      </c>
      <c r="U271" s="148" t="s">
        <v>120</v>
      </c>
      <c r="V271" s="145">
        <f t="shared" si="49"/>
        <v>158</v>
      </c>
      <c r="W271" s="149"/>
      <c r="X271" s="145">
        <f t="shared" si="50"/>
        <v>225</v>
      </c>
      <c r="Y271">
        <f ca="1" t="shared" si="51"/>
        <v>0.473769440882426</v>
      </c>
      <c r="Z271" s="199"/>
      <c r="AA271" s="199"/>
      <c r="AB271" s="199"/>
      <c r="AC271" s="199"/>
      <c r="AD271" s="199"/>
      <c r="AE271" s="199"/>
      <c r="AF271" s="199"/>
      <c r="AG271" s="199"/>
      <c r="AH271" s="199"/>
      <c r="AI271" s="199"/>
      <c r="AJ271" s="199"/>
      <c r="AK271" s="199"/>
      <c r="AL271" s="199"/>
    </row>
    <row r="272" ht="17.6" spans="1:38">
      <c r="A272" s="197"/>
      <c r="B272" s="122">
        <v>21</v>
      </c>
      <c r="C272" s="121" t="s">
        <v>1400</v>
      </c>
      <c r="D272" s="124">
        <v>4</v>
      </c>
      <c r="E272" s="121" t="s">
        <v>1401</v>
      </c>
      <c r="F272" s="121" t="s">
        <v>429</v>
      </c>
      <c r="G272" s="145"/>
      <c r="H272" s="145"/>
      <c r="I272" s="145"/>
      <c r="J272" s="145"/>
      <c r="K272" s="145"/>
      <c r="L272" s="147"/>
      <c r="M272" s="147"/>
      <c r="N272" s="147"/>
      <c r="O272" s="147"/>
      <c r="P272" s="147"/>
      <c r="Q272" s="147"/>
      <c r="R272" s="148"/>
      <c r="S272" s="148"/>
      <c r="T272" s="148"/>
      <c r="U272" s="148"/>
      <c r="V272" s="145"/>
      <c r="W272" s="149"/>
      <c r="X272" s="145"/>
      <c r="Z272" s="199"/>
      <c r="AA272" s="199"/>
      <c r="AB272" s="199"/>
      <c r="AC272" s="199"/>
      <c r="AD272" s="199"/>
      <c r="AE272" s="199"/>
      <c r="AF272" s="199"/>
      <c r="AG272" s="199"/>
      <c r="AH272" s="199"/>
      <c r="AI272" s="199"/>
      <c r="AJ272" s="199"/>
      <c r="AK272" s="199"/>
      <c r="AL272" s="199"/>
    </row>
    <row r="273" ht="17.6" spans="1:38">
      <c r="A273" s="197"/>
      <c r="B273" s="122">
        <v>28</v>
      </c>
      <c r="C273" s="121" t="s">
        <v>1402</v>
      </c>
      <c r="D273" s="124">
        <v>4</v>
      </c>
      <c r="E273" s="121" t="s">
        <v>1369</v>
      </c>
      <c r="F273" s="121" t="s">
        <v>701</v>
      </c>
      <c r="G273" s="145"/>
      <c r="H273" s="145"/>
      <c r="I273" s="145"/>
      <c r="J273" s="145"/>
      <c r="K273" s="145"/>
      <c r="L273" s="147"/>
      <c r="M273" s="147"/>
      <c r="N273" s="147"/>
      <c r="O273" s="147"/>
      <c r="P273" s="147"/>
      <c r="Q273" s="147"/>
      <c r="R273" s="148"/>
      <c r="S273" s="148"/>
      <c r="T273" s="148"/>
      <c r="U273" s="148"/>
      <c r="V273" s="145"/>
      <c r="W273" s="149"/>
      <c r="X273" s="145"/>
      <c r="Z273" s="199"/>
      <c r="AA273" s="199"/>
      <c r="AB273" s="199"/>
      <c r="AC273" s="199"/>
      <c r="AD273" s="199"/>
      <c r="AE273" s="199"/>
      <c r="AF273" s="199"/>
      <c r="AG273" s="199"/>
      <c r="AH273" s="199"/>
      <c r="AI273" s="199"/>
      <c r="AJ273" s="199"/>
      <c r="AK273" s="199"/>
      <c r="AL273" s="199"/>
    </row>
    <row r="274" spans="1:38">
      <c r="A274" s="197"/>
      <c r="B274" s="153">
        <v>173</v>
      </c>
      <c r="C274" s="154" t="s">
        <v>712</v>
      </c>
      <c r="D274" s="144">
        <v>13</v>
      </c>
      <c r="E274" s="145">
        <v>87</v>
      </c>
      <c r="F274" s="145">
        <v>80</v>
      </c>
      <c r="G274" s="145">
        <v>73</v>
      </c>
      <c r="H274" s="145">
        <v>71</v>
      </c>
      <c r="I274" s="145">
        <v>77</v>
      </c>
      <c r="J274" s="145">
        <f t="shared" ref="J274:J285" si="52">SUM(E274:I274)</f>
        <v>388</v>
      </c>
      <c r="K274" s="145">
        <v>77</v>
      </c>
      <c r="L274" s="147" t="s">
        <v>115</v>
      </c>
      <c r="M274" s="147" t="s">
        <v>114</v>
      </c>
      <c r="N274" s="147" t="s">
        <v>114</v>
      </c>
      <c r="O274" s="147" t="s">
        <v>115</v>
      </c>
      <c r="P274" s="147" t="s">
        <v>130</v>
      </c>
      <c r="Q274" s="147" t="s">
        <v>124</v>
      </c>
      <c r="R274" s="148" t="s">
        <v>268</v>
      </c>
      <c r="S274" s="148" t="s">
        <v>132</v>
      </c>
      <c r="T274" s="148" t="s">
        <v>119</v>
      </c>
      <c r="U274" s="148" t="s">
        <v>120</v>
      </c>
      <c r="V274" s="145">
        <f t="shared" ref="V274:V285" si="53">E274+F274</f>
        <v>167</v>
      </c>
      <c r="W274" s="149"/>
      <c r="X274" s="145">
        <f t="shared" ref="X274:X285" si="54">E274+F274+G274</f>
        <v>240</v>
      </c>
      <c r="Y274">
        <f ca="1" t="shared" ref="Y274:Y285" si="55">RAND()</f>
        <v>0.193538226903032</v>
      </c>
      <c r="Z274" s="199"/>
      <c r="AA274" s="199"/>
      <c r="AB274" s="199"/>
      <c r="AC274" s="199"/>
      <c r="AD274" s="199"/>
      <c r="AE274" s="199"/>
      <c r="AF274" s="199"/>
      <c r="AG274" s="199"/>
      <c r="AH274" s="199"/>
      <c r="AI274" s="199"/>
      <c r="AJ274" s="199"/>
      <c r="AK274" s="199"/>
      <c r="AL274" s="199"/>
    </row>
    <row r="275" spans="1:38">
      <c r="A275" s="197"/>
      <c r="B275" s="153">
        <v>144</v>
      </c>
      <c r="C275" s="154" t="s">
        <v>552</v>
      </c>
      <c r="D275" s="157">
        <v>5</v>
      </c>
      <c r="E275" s="145">
        <v>59</v>
      </c>
      <c r="F275" s="145">
        <v>94</v>
      </c>
      <c r="G275" s="145">
        <v>25</v>
      </c>
      <c r="H275" s="145">
        <v>28</v>
      </c>
      <c r="I275" s="145">
        <v>53</v>
      </c>
      <c r="J275" s="145">
        <f t="shared" si="52"/>
        <v>259</v>
      </c>
      <c r="K275" s="145">
        <v>25</v>
      </c>
      <c r="L275" s="147" t="s">
        <v>114</v>
      </c>
      <c r="M275" s="147" t="s">
        <v>130</v>
      </c>
      <c r="N275" s="147" t="s">
        <v>124</v>
      </c>
      <c r="O275" s="147" t="s">
        <v>130</v>
      </c>
      <c r="P275" s="147" t="s">
        <v>124</v>
      </c>
      <c r="Q275" s="147" t="s">
        <v>124</v>
      </c>
      <c r="R275" s="148" t="s">
        <v>256</v>
      </c>
      <c r="S275" s="148" t="s">
        <v>118</v>
      </c>
      <c r="T275" s="148" t="s">
        <v>133</v>
      </c>
      <c r="U275" s="148" t="s">
        <v>250</v>
      </c>
      <c r="V275" s="145">
        <f t="shared" si="53"/>
        <v>153</v>
      </c>
      <c r="W275" s="149"/>
      <c r="X275" s="145">
        <f t="shared" si="54"/>
        <v>178</v>
      </c>
      <c r="Y275">
        <f ca="1" t="shared" si="55"/>
        <v>0.514995871558105</v>
      </c>
      <c r="Z275" s="199"/>
      <c r="AA275" s="199"/>
      <c r="AB275" s="199"/>
      <c r="AC275" s="199"/>
      <c r="AD275" s="199"/>
      <c r="AE275" s="199"/>
      <c r="AF275" s="199"/>
      <c r="AG275" s="199"/>
      <c r="AH275" s="199"/>
      <c r="AI275" s="199"/>
      <c r="AJ275" s="199"/>
      <c r="AK275" s="199"/>
      <c r="AL275" s="199"/>
    </row>
    <row r="276" spans="1:38">
      <c r="A276" s="197"/>
      <c r="B276" s="153">
        <v>391</v>
      </c>
      <c r="C276" s="154" t="s">
        <v>351</v>
      </c>
      <c r="D276" s="144">
        <v>2</v>
      </c>
      <c r="E276" s="145">
        <v>27</v>
      </c>
      <c r="F276" s="145">
        <v>28</v>
      </c>
      <c r="G276" s="145">
        <v>82</v>
      </c>
      <c r="H276" s="145">
        <v>86</v>
      </c>
      <c r="I276" s="145">
        <v>83</v>
      </c>
      <c r="J276" s="145">
        <f t="shared" si="52"/>
        <v>306</v>
      </c>
      <c r="K276" s="145">
        <v>146</v>
      </c>
      <c r="L276" s="147" t="s">
        <v>124</v>
      </c>
      <c r="M276" s="147" t="s">
        <v>124</v>
      </c>
      <c r="N276" s="147" t="s">
        <v>124</v>
      </c>
      <c r="O276" s="147" t="s">
        <v>124</v>
      </c>
      <c r="P276" s="147" t="s">
        <v>124</v>
      </c>
      <c r="Q276" s="147" t="s">
        <v>124</v>
      </c>
      <c r="R276" s="148" t="s">
        <v>168</v>
      </c>
      <c r="S276" s="148" t="s">
        <v>118</v>
      </c>
      <c r="T276" s="148" t="s">
        <v>133</v>
      </c>
      <c r="U276" s="148" t="s">
        <v>126</v>
      </c>
      <c r="V276" s="145">
        <f t="shared" si="53"/>
        <v>55</v>
      </c>
      <c r="W276" s="149"/>
      <c r="X276" s="145">
        <f t="shared" si="54"/>
        <v>137</v>
      </c>
      <c r="Y276">
        <f ca="1" t="shared" si="55"/>
        <v>0.223610364352934</v>
      </c>
      <c r="Z276" s="199"/>
      <c r="AA276" s="199"/>
      <c r="AB276" s="199"/>
      <c r="AC276" s="199"/>
      <c r="AD276" s="199"/>
      <c r="AE276" s="199"/>
      <c r="AF276" s="199"/>
      <c r="AG276" s="199"/>
      <c r="AH276" s="199"/>
      <c r="AI276" s="199"/>
      <c r="AJ276" s="199"/>
      <c r="AK276" s="199"/>
      <c r="AL276" s="199"/>
    </row>
    <row r="277" spans="1:38">
      <c r="A277" s="197"/>
      <c r="B277" s="153">
        <v>386</v>
      </c>
      <c r="C277" s="154" t="s">
        <v>413</v>
      </c>
      <c r="D277" s="144">
        <v>2</v>
      </c>
      <c r="E277" s="145">
        <v>62</v>
      </c>
      <c r="F277" s="145">
        <v>55</v>
      </c>
      <c r="G277" s="145">
        <v>86</v>
      </c>
      <c r="H277" s="145">
        <v>89</v>
      </c>
      <c r="I277" s="145">
        <v>76</v>
      </c>
      <c r="J277" s="145">
        <f t="shared" si="52"/>
        <v>368</v>
      </c>
      <c r="K277" s="145">
        <v>88</v>
      </c>
      <c r="L277" s="147" t="s">
        <v>130</v>
      </c>
      <c r="M277" s="147" t="s">
        <v>130</v>
      </c>
      <c r="N277" s="147" t="s">
        <v>124</v>
      </c>
      <c r="O277" s="147" t="s">
        <v>130</v>
      </c>
      <c r="P277" s="147" t="s">
        <v>124</v>
      </c>
      <c r="Q277" s="147" t="s">
        <v>124</v>
      </c>
      <c r="R277" s="148" t="s">
        <v>414</v>
      </c>
      <c r="S277" s="148" t="s">
        <v>132</v>
      </c>
      <c r="T277" s="148" t="s">
        <v>119</v>
      </c>
      <c r="U277" s="148" t="s">
        <v>126</v>
      </c>
      <c r="V277" s="145">
        <f t="shared" si="53"/>
        <v>117</v>
      </c>
      <c r="W277" s="149"/>
      <c r="X277" s="145">
        <f t="shared" si="54"/>
        <v>203</v>
      </c>
      <c r="Y277">
        <f ca="1" t="shared" si="55"/>
        <v>0.741111043932159</v>
      </c>
      <c r="Z277" s="199"/>
      <c r="AA277" s="199"/>
      <c r="AB277" s="199"/>
      <c r="AC277" s="199"/>
      <c r="AD277" s="199"/>
      <c r="AE277" s="199"/>
      <c r="AF277" s="199"/>
      <c r="AG277" s="199"/>
      <c r="AH277" s="199"/>
      <c r="AI277" s="199"/>
      <c r="AJ277" s="199"/>
      <c r="AK277" s="199"/>
      <c r="AL277" s="199"/>
    </row>
    <row r="278" spans="1:38">
      <c r="A278" s="197"/>
      <c r="B278" s="153">
        <v>447</v>
      </c>
      <c r="C278" s="154" t="s">
        <v>164</v>
      </c>
      <c r="D278" s="144">
        <v>10</v>
      </c>
      <c r="E278" s="145">
        <v>89</v>
      </c>
      <c r="F278" s="145">
        <v>65</v>
      </c>
      <c r="G278" s="145">
        <v>95</v>
      </c>
      <c r="H278" s="145">
        <v>79</v>
      </c>
      <c r="I278" s="145">
        <v>89</v>
      </c>
      <c r="J278" s="145">
        <f t="shared" si="52"/>
        <v>417</v>
      </c>
      <c r="K278" s="145">
        <v>14</v>
      </c>
      <c r="L278" s="147" t="s">
        <v>114</v>
      </c>
      <c r="M278" s="147" t="s">
        <v>114</v>
      </c>
      <c r="N278" s="147" t="s">
        <v>114</v>
      </c>
      <c r="O278" s="147" t="s">
        <v>130</v>
      </c>
      <c r="P278" s="147" t="s">
        <v>115</v>
      </c>
      <c r="Q278" s="147" t="s">
        <v>130</v>
      </c>
      <c r="R278" s="148" t="s">
        <v>165</v>
      </c>
      <c r="S278" s="148" t="s">
        <v>118</v>
      </c>
      <c r="T278" s="148" t="s">
        <v>119</v>
      </c>
      <c r="U278" s="148" t="s">
        <v>126</v>
      </c>
      <c r="V278" s="145">
        <f t="shared" si="53"/>
        <v>154</v>
      </c>
      <c r="W278" s="149"/>
      <c r="X278" s="145">
        <f t="shared" si="54"/>
        <v>249</v>
      </c>
      <c r="Y278">
        <f ca="1" t="shared" si="55"/>
        <v>0.489817174422713</v>
      </c>
      <c r="Z278" s="199"/>
      <c r="AA278" s="199"/>
      <c r="AB278" s="199"/>
      <c r="AC278" s="199"/>
      <c r="AD278" s="199"/>
      <c r="AE278" s="199"/>
      <c r="AF278" s="199"/>
      <c r="AG278" s="199"/>
      <c r="AH278" s="199"/>
      <c r="AI278" s="199"/>
      <c r="AJ278" s="199"/>
      <c r="AK278" s="199"/>
      <c r="AL278" s="199"/>
    </row>
    <row r="279" spans="1:38">
      <c r="A279" s="197"/>
      <c r="B279" s="153">
        <v>668</v>
      </c>
      <c r="C279" s="154" t="s">
        <v>677</v>
      </c>
      <c r="D279" s="144">
        <v>2</v>
      </c>
      <c r="E279" s="145">
        <v>71</v>
      </c>
      <c r="F279" s="145">
        <v>72</v>
      </c>
      <c r="G279" s="145">
        <v>80</v>
      </c>
      <c r="H279" s="145">
        <v>77</v>
      </c>
      <c r="I279" s="145">
        <v>83</v>
      </c>
      <c r="J279" s="145">
        <f t="shared" si="52"/>
        <v>383</v>
      </c>
      <c r="K279" s="145">
        <v>63</v>
      </c>
      <c r="L279" s="147" t="s">
        <v>130</v>
      </c>
      <c r="M279" s="147" t="s">
        <v>114</v>
      </c>
      <c r="N279" s="147" t="s">
        <v>130</v>
      </c>
      <c r="O279" s="147" t="s">
        <v>130</v>
      </c>
      <c r="P279" s="147" t="s">
        <v>130</v>
      </c>
      <c r="Q279" s="147" t="s">
        <v>130</v>
      </c>
      <c r="R279" s="148" t="s">
        <v>284</v>
      </c>
      <c r="S279" s="148" t="s">
        <v>132</v>
      </c>
      <c r="T279" s="148" t="s">
        <v>119</v>
      </c>
      <c r="U279" s="148" t="s">
        <v>126</v>
      </c>
      <c r="V279" s="145">
        <f t="shared" si="53"/>
        <v>143</v>
      </c>
      <c r="W279" s="149"/>
      <c r="X279" s="145">
        <f t="shared" si="54"/>
        <v>223</v>
      </c>
      <c r="Y279">
        <f ca="1" t="shared" si="55"/>
        <v>0.221401007183855</v>
      </c>
      <c r="Z279" s="199"/>
      <c r="AA279" s="199"/>
      <c r="AB279" s="199"/>
      <c r="AC279" s="199"/>
      <c r="AD279" s="199"/>
      <c r="AE279" s="199"/>
      <c r="AF279" s="199"/>
      <c r="AG279" s="199"/>
      <c r="AH279" s="199"/>
      <c r="AI279" s="199"/>
      <c r="AJ279" s="199"/>
      <c r="AK279" s="199"/>
      <c r="AL279" s="199"/>
    </row>
    <row r="280" spans="1:38">
      <c r="A280" s="197"/>
      <c r="B280" s="153">
        <v>456</v>
      </c>
      <c r="C280" s="154" t="s">
        <v>202</v>
      </c>
      <c r="D280" s="144">
        <v>3</v>
      </c>
      <c r="E280" s="145">
        <v>78</v>
      </c>
      <c r="F280" s="145">
        <v>62</v>
      </c>
      <c r="G280" s="145">
        <v>85</v>
      </c>
      <c r="H280" s="145">
        <v>69</v>
      </c>
      <c r="I280" s="145">
        <v>74</v>
      </c>
      <c r="J280" s="145">
        <f t="shared" si="52"/>
        <v>368</v>
      </c>
      <c r="K280" s="145">
        <v>11</v>
      </c>
      <c r="L280" s="147" t="s">
        <v>130</v>
      </c>
      <c r="M280" s="147" t="s">
        <v>114</v>
      </c>
      <c r="N280" s="147" t="s">
        <v>130</v>
      </c>
      <c r="O280" s="147" t="s">
        <v>130</v>
      </c>
      <c r="P280" s="147" t="s">
        <v>115</v>
      </c>
      <c r="Q280" s="147" t="s">
        <v>130</v>
      </c>
      <c r="R280" s="148" t="s">
        <v>203</v>
      </c>
      <c r="S280" s="148" t="s">
        <v>119</v>
      </c>
      <c r="T280" s="148" t="s">
        <v>133</v>
      </c>
      <c r="U280" s="148" t="s">
        <v>120</v>
      </c>
      <c r="V280" s="145">
        <f t="shared" si="53"/>
        <v>140</v>
      </c>
      <c r="W280" s="149"/>
      <c r="X280" s="145">
        <f t="shared" si="54"/>
        <v>225</v>
      </c>
      <c r="Y280">
        <f ca="1" t="shared" si="55"/>
        <v>0.851906276040377</v>
      </c>
      <c r="Z280" s="199"/>
      <c r="AA280" s="199"/>
      <c r="AB280" s="199"/>
      <c r="AC280" s="199"/>
      <c r="AD280" s="199"/>
      <c r="AE280" s="199"/>
      <c r="AF280" s="199"/>
      <c r="AG280" s="199"/>
      <c r="AH280" s="199"/>
      <c r="AI280" s="199"/>
      <c r="AJ280" s="199"/>
      <c r="AK280" s="199"/>
      <c r="AL280" s="199"/>
    </row>
    <row r="281" spans="1:38">
      <c r="A281" s="197"/>
      <c r="B281" s="153">
        <v>255</v>
      </c>
      <c r="C281" s="154" t="s">
        <v>605</v>
      </c>
      <c r="D281" s="144">
        <v>10</v>
      </c>
      <c r="E281" s="145">
        <v>77</v>
      </c>
      <c r="F281" s="145">
        <v>90</v>
      </c>
      <c r="G281" s="145">
        <v>35</v>
      </c>
      <c r="H281" s="145">
        <v>20</v>
      </c>
      <c r="I281" s="145">
        <v>17</v>
      </c>
      <c r="J281" s="145">
        <f t="shared" si="52"/>
        <v>239</v>
      </c>
      <c r="K281" s="145">
        <v>143</v>
      </c>
      <c r="L281" s="147" t="s">
        <v>114</v>
      </c>
      <c r="M281" s="147" t="s">
        <v>130</v>
      </c>
      <c r="N281" s="147" t="s">
        <v>130</v>
      </c>
      <c r="O281" s="147" t="s">
        <v>115</v>
      </c>
      <c r="P281" s="147" t="s">
        <v>124</v>
      </c>
      <c r="Q281" s="147" t="s">
        <v>124</v>
      </c>
      <c r="R281" s="148" t="s">
        <v>606</v>
      </c>
      <c r="S281" s="148" t="s">
        <v>175</v>
      </c>
      <c r="T281" s="148" t="s">
        <v>145</v>
      </c>
      <c r="U281" s="148" t="s">
        <v>250</v>
      </c>
      <c r="V281" s="145">
        <f t="shared" si="53"/>
        <v>167</v>
      </c>
      <c r="W281" s="149"/>
      <c r="X281" s="145">
        <f t="shared" si="54"/>
        <v>202</v>
      </c>
      <c r="Y281">
        <f ca="1" t="shared" si="55"/>
        <v>0.542196850678022</v>
      </c>
      <c r="Z281" s="199"/>
      <c r="AA281" s="199"/>
      <c r="AB281" s="199"/>
      <c r="AC281" s="199"/>
      <c r="AD281" s="199"/>
      <c r="AE281" s="199"/>
      <c r="AF281" s="199"/>
      <c r="AG281" s="199"/>
      <c r="AH281" s="199"/>
      <c r="AI281" s="199"/>
      <c r="AJ281" s="199"/>
      <c r="AK281" s="199"/>
      <c r="AL281" s="199"/>
    </row>
    <row r="282" spans="1:38">
      <c r="A282" s="197"/>
      <c r="B282" s="153">
        <v>95</v>
      </c>
      <c r="C282" s="154" t="s">
        <v>827</v>
      </c>
      <c r="D282" s="144">
        <v>8</v>
      </c>
      <c r="E282" s="145">
        <v>83</v>
      </c>
      <c r="F282" s="145">
        <v>76</v>
      </c>
      <c r="G282" s="145">
        <v>54</v>
      </c>
      <c r="H282" s="145">
        <v>51</v>
      </c>
      <c r="I282" s="145">
        <v>57</v>
      </c>
      <c r="J282" s="145">
        <f t="shared" si="52"/>
        <v>321</v>
      </c>
      <c r="K282" s="145">
        <v>101</v>
      </c>
      <c r="L282" s="147" t="s">
        <v>114</v>
      </c>
      <c r="M282" s="147" t="s">
        <v>115</v>
      </c>
      <c r="N282" s="147" t="s">
        <v>114</v>
      </c>
      <c r="O282" s="147" t="s">
        <v>130</v>
      </c>
      <c r="P282" s="147" t="s">
        <v>130</v>
      </c>
      <c r="Q282" s="147" t="s">
        <v>115</v>
      </c>
      <c r="R282" s="148" t="s">
        <v>411</v>
      </c>
      <c r="S282" s="148" t="s">
        <v>132</v>
      </c>
      <c r="T282" s="148" t="s">
        <v>119</v>
      </c>
      <c r="U282" s="148" t="s">
        <v>250</v>
      </c>
      <c r="V282" s="145">
        <f t="shared" si="53"/>
        <v>159</v>
      </c>
      <c r="W282" s="149"/>
      <c r="X282" s="145">
        <f t="shared" si="54"/>
        <v>213</v>
      </c>
      <c r="Y282">
        <f ca="1" t="shared" si="55"/>
        <v>0.815165511391407</v>
      </c>
      <c r="Z282" s="199"/>
      <c r="AA282" s="199"/>
      <c r="AB282" s="199"/>
      <c r="AC282" s="199"/>
      <c r="AD282" s="199"/>
      <c r="AE282" s="199"/>
      <c r="AF282" s="199"/>
      <c r="AG282" s="199"/>
      <c r="AH282" s="199"/>
      <c r="AI282" s="199"/>
      <c r="AJ282" s="199"/>
      <c r="AK282" s="199"/>
      <c r="AL282" s="199"/>
    </row>
    <row r="283" spans="1:38">
      <c r="A283" s="197"/>
      <c r="B283" s="153">
        <v>617</v>
      </c>
      <c r="C283" s="154" t="s">
        <v>465</v>
      </c>
      <c r="D283" s="144">
        <v>1</v>
      </c>
      <c r="E283" s="145">
        <v>23</v>
      </c>
      <c r="F283" s="145">
        <v>27</v>
      </c>
      <c r="G283" s="145">
        <v>86</v>
      </c>
      <c r="H283" s="145">
        <v>79</v>
      </c>
      <c r="I283" s="145">
        <v>68</v>
      </c>
      <c r="J283" s="145">
        <f t="shared" si="52"/>
        <v>283</v>
      </c>
      <c r="K283" s="145">
        <v>102</v>
      </c>
      <c r="L283" s="147" t="s">
        <v>124</v>
      </c>
      <c r="M283" s="147" t="s">
        <v>124</v>
      </c>
      <c r="N283" s="147" t="s">
        <v>124</v>
      </c>
      <c r="O283" s="147" t="s">
        <v>124</v>
      </c>
      <c r="P283" s="147" t="s">
        <v>124</v>
      </c>
      <c r="Q283" s="147" t="s">
        <v>124</v>
      </c>
      <c r="R283" s="148" t="s">
        <v>358</v>
      </c>
      <c r="S283" s="148" t="s">
        <v>132</v>
      </c>
      <c r="T283" s="148" t="s">
        <v>133</v>
      </c>
      <c r="U283" s="148" t="s">
        <v>148</v>
      </c>
      <c r="V283" s="145">
        <f t="shared" si="53"/>
        <v>50</v>
      </c>
      <c r="W283" s="149"/>
      <c r="X283" s="145">
        <f t="shared" si="54"/>
        <v>136</v>
      </c>
      <c r="Y283">
        <f ca="1" t="shared" si="55"/>
        <v>0.415322043574368</v>
      </c>
      <c r="Z283" s="199"/>
      <c r="AA283" s="199"/>
      <c r="AB283" s="199"/>
      <c r="AC283" s="199"/>
      <c r="AD283" s="199"/>
      <c r="AE283" s="199"/>
      <c r="AF283" s="199"/>
      <c r="AG283" s="199"/>
      <c r="AH283" s="199"/>
      <c r="AI283" s="199"/>
      <c r="AJ283" s="199"/>
      <c r="AK283" s="199"/>
      <c r="AL283" s="199"/>
    </row>
    <row r="284" spans="1:38">
      <c r="A284" s="197"/>
      <c r="B284" s="153">
        <v>584</v>
      </c>
      <c r="C284" s="154" t="s">
        <v>998</v>
      </c>
      <c r="D284" s="144">
        <v>12</v>
      </c>
      <c r="E284" s="145">
        <v>80</v>
      </c>
      <c r="F284" s="145">
        <v>86</v>
      </c>
      <c r="G284" s="145">
        <v>56</v>
      </c>
      <c r="H284" s="145">
        <v>52</v>
      </c>
      <c r="I284" s="145">
        <v>64</v>
      </c>
      <c r="J284" s="145">
        <f t="shared" si="52"/>
        <v>338</v>
      </c>
      <c r="K284" s="145">
        <v>51</v>
      </c>
      <c r="L284" s="147" t="s">
        <v>130</v>
      </c>
      <c r="M284" s="147" t="s">
        <v>130</v>
      </c>
      <c r="N284" s="147" t="s">
        <v>130</v>
      </c>
      <c r="O284" s="147" t="s">
        <v>115</v>
      </c>
      <c r="P284" s="147" t="s">
        <v>114</v>
      </c>
      <c r="Q284" s="147" t="s">
        <v>124</v>
      </c>
      <c r="R284" s="158" t="s">
        <v>210</v>
      </c>
      <c r="S284" s="148" t="s">
        <v>132</v>
      </c>
      <c r="T284" s="148" t="s">
        <v>119</v>
      </c>
      <c r="U284" s="148" t="s">
        <v>126</v>
      </c>
      <c r="V284" s="145">
        <f t="shared" si="53"/>
        <v>166</v>
      </c>
      <c r="W284" s="148" t="s">
        <v>211</v>
      </c>
      <c r="X284" s="145">
        <f t="shared" si="54"/>
        <v>222</v>
      </c>
      <c r="Y284">
        <f ca="1" t="shared" si="55"/>
        <v>0.69531035317079</v>
      </c>
      <c r="Z284" s="199"/>
      <c r="AA284" s="199"/>
      <c r="AB284" s="199"/>
      <c r="AC284" s="199"/>
      <c r="AD284" s="199"/>
      <c r="AE284" s="199"/>
      <c r="AF284" s="199"/>
      <c r="AG284" s="199"/>
      <c r="AH284" s="199"/>
      <c r="AI284" s="199"/>
      <c r="AJ284" s="199"/>
      <c r="AK284" s="199"/>
      <c r="AL284" s="199"/>
    </row>
    <row r="285" spans="1:38">
      <c r="A285" s="197" t="s">
        <v>1403</v>
      </c>
      <c r="B285" s="153">
        <v>78</v>
      </c>
      <c r="C285" s="154" t="s">
        <v>846</v>
      </c>
      <c r="D285" s="144">
        <v>13</v>
      </c>
      <c r="E285" s="145">
        <v>81</v>
      </c>
      <c r="F285" s="145">
        <v>82</v>
      </c>
      <c r="G285" s="145">
        <v>39</v>
      </c>
      <c r="H285" s="145">
        <v>43</v>
      </c>
      <c r="I285" s="145">
        <v>51</v>
      </c>
      <c r="J285" s="145">
        <f t="shared" si="52"/>
        <v>296</v>
      </c>
      <c r="K285" s="145">
        <v>24</v>
      </c>
      <c r="L285" s="147" t="s">
        <v>130</v>
      </c>
      <c r="M285" s="147" t="s">
        <v>130</v>
      </c>
      <c r="N285" s="147" t="s">
        <v>115</v>
      </c>
      <c r="O285" s="147" t="s">
        <v>115</v>
      </c>
      <c r="P285" s="147" t="s">
        <v>130</v>
      </c>
      <c r="Q285" s="147" t="s">
        <v>124</v>
      </c>
      <c r="R285" s="158" t="s">
        <v>274</v>
      </c>
      <c r="S285" s="148" t="s">
        <v>132</v>
      </c>
      <c r="T285" s="148" t="s">
        <v>119</v>
      </c>
      <c r="U285" s="148" t="s">
        <v>250</v>
      </c>
      <c r="V285" s="145">
        <f t="shared" si="53"/>
        <v>163</v>
      </c>
      <c r="W285" s="148" t="s">
        <v>276</v>
      </c>
      <c r="X285" s="145">
        <f t="shared" si="54"/>
        <v>202</v>
      </c>
      <c r="Y285">
        <f ca="1" t="shared" si="55"/>
        <v>0.64057998335483</v>
      </c>
      <c r="Z285" s="199"/>
      <c r="AA285" s="199"/>
      <c r="AB285" s="199"/>
      <c r="AC285" s="199"/>
      <c r="AD285" s="199"/>
      <c r="AE285" s="199"/>
      <c r="AF285" s="199"/>
      <c r="AG285" s="199"/>
      <c r="AH285" s="199"/>
      <c r="AI285" s="199"/>
      <c r="AJ285" s="199"/>
      <c r="AK285" s="199"/>
      <c r="AL285" s="199"/>
    </row>
    <row r="286" ht="17.6" spans="1:38">
      <c r="A286" s="197"/>
      <c r="B286" s="122">
        <v>17</v>
      </c>
      <c r="C286" s="121" t="s">
        <v>1404</v>
      </c>
      <c r="D286" s="124">
        <v>10</v>
      </c>
      <c r="E286" s="121" t="s">
        <v>1366</v>
      </c>
      <c r="F286" s="121" t="s">
        <v>239</v>
      </c>
      <c r="G286" s="145"/>
      <c r="H286" s="145"/>
      <c r="I286" s="145"/>
      <c r="J286" s="145"/>
      <c r="K286" s="145"/>
      <c r="L286" s="147"/>
      <c r="M286" s="147"/>
      <c r="N286" s="147"/>
      <c r="O286" s="147"/>
      <c r="P286" s="147"/>
      <c r="Q286" s="147"/>
      <c r="R286" s="158"/>
      <c r="S286" s="148"/>
      <c r="T286" s="148"/>
      <c r="U286" s="148"/>
      <c r="V286" s="145"/>
      <c r="W286" s="148"/>
      <c r="X286" s="145"/>
      <c r="Z286" s="199"/>
      <c r="AA286" s="199"/>
      <c r="AB286" s="199"/>
      <c r="AC286" s="199"/>
      <c r="AD286" s="199"/>
      <c r="AE286" s="199"/>
      <c r="AF286" s="199"/>
      <c r="AG286" s="199"/>
      <c r="AH286" s="199"/>
      <c r="AI286" s="199"/>
      <c r="AJ286" s="199"/>
      <c r="AK286" s="199"/>
      <c r="AL286" s="199"/>
    </row>
    <row r="287" spans="1:38">
      <c r="A287" s="197"/>
      <c r="B287" s="153">
        <v>317</v>
      </c>
      <c r="C287" s="156" t="s">
        <v>584</v>
      </c>
      <c r="D287" s="144">
        <v>13</v>
      </c>
      <c r="E287" s="145">
        <v>79</v>
      </c>
      <c r="F287" s="145">
        <v>76</v>
      </c>
      <c r="G287" s="145">
        <v>54</v>
      </c>
      <c r="H287" s="145">
        <v>91</v>
      </c>
      <c r="I287" s="145">
        <v>41</v>
      </c>
      <c r="J287" s="145">
        <f t="shared" ref="J287:J318" si="56">SUM(E287:I287)</f>
        <v>341</v>
      </c>
      <c r="K287" s="145">
        <v>90</v>
      </c>
      <c r="L287" s="147" t="s">
        <v>114</v>
      </c>
      <c r="M287" s="147" t="s">
        <v>115</v>
      </c>
      <c r="N287" s="147" t="s">
        <v>114</v>
      </c>
      <c r="O287" s="160" t="s">
        <v>130</v>
      </c>
      <c r="P287" s="147" t="s">
        <v>124</v>
      </c>
      <c r="Q287" s="147" t="s">
        <v>114</v>
      </c>
      <c r="R287" s="148" t="s">
        <v>362</v>
      </c>
      <c r="S287" s="148" t="s">
        <v>275</v>
      </c>
      <c r="T287" s="148" t="s">
        <v>136</v>
      </c>
      <c r="U287" s="148" t="s">
        <v>148</v>
      </c>
      <c r="V287" s="145">
        <f t="shared" ref="V287:V318" si="57">E287+F287</f>
        <v>155</v>
      </c>
      <c r="W287" s="149"/>
      <c r="X287" s="145">
        <f t="shared" ref="X287:X318" si="58">E287+F287+G287</f>
        <v>209</v>
      </c>
      <c r="Y287">
        <f ca="1" t="shared" ref="Y287:Y318" si="59">RAND()</f>
        <v>0.928433252877955</v>
      </c>
      <c r="Z287" s="199"/>
      <c r="AA287" s="199"/>
      <c r="AB287" s="199"/>
      <c r="AC287" s="199"/>
      <c r="AD287" s="199"/>
      <c r="AE287" s="199"/>
      <c r="AF287" s="199"/>
      <c r="AG287" s="199"/>
      <c r="AH287" s="199"/>
      <c r="AI287" s="199"/>
      <c r="AJ287" s="199"/>
      <c r="AK287" s="199"/>
      <c r="AL287" s="199"/>
    </row>
    <row r="288" spans="1:38">
      <c r="A288" s="197"/>
      <c r="B288" s="153">
        <v>576</v>
      </c>
      <c r="C288" s="156" t="s">
        <v>255</v>
      </c>
      <c r="D288" s="144">
        <v>6</v>
      </c>
      <c r="E288" s="145">
        <v>53</v>
      </c>
      <c r="F288" s="145">
        <v>92</v>
      </c>
      <c r="G288" s="145">
        <v>68</v>
      </c>
      <c r="H288" s="145">
        <v>9</v>
      </c>
      <c r="I288" s="145">
        <v>55</v>
      </c>
      <c r="J288" s="145">
        <f t="shared" si="56"/>
        <v>277</v>
      </c>
      <c r="K288" s="145">
        <v>0</v>
      </c>
      <c r="L288" s="147" t="s">
        <v>114</v>
      </c>
      <c r="M288" s="147" t="s">
        <v>114</v>
      </c>
      <c r="N288" s="147" t="s">
        <v>114</v>
      </c>
      <c r="O288" s="147" t="s">
        <v>114</v>
      </c>
      <c r="P288" s="147" t="s">
        <v>115</v>
      </c>
      <c r="Q288" s="147" t="s">
        <v>130</v>
      </c>
      <c r="R288" s="148" t="s">
        <v>256</v>
      </c>
      <c r="S288" s="148" t="s">
        <v>119</v>
      </c>
      <c r="T288" s="148" t="s">
        <v>145</v>
      </c>
      <c r="U288" s="148" t="s">
        <v>120</v>
      </c>
      <c r="V288" s="145">
        <f t="shared" si="57"/>
        <v>145</v>
      </c>
      <c r="W288" s="149"/>
      <c r="X288" s="145">
        <f t="shared" si="58"/>
        <v>213</v>
      </c>
      <c r="Y288">
        <f ca="1" t="shared" si="59"/>
        <v>0.394015281642435</v>
      </c>
      <c r="Z288" s="199"/>
      <c r="AA288" s="199"/>
      <c r="AB288" s="199"/>
      <c r="AC288" s="199"/>
      <c r="AD288" s="199"/>
      <c r="AE288" s="199"/>
      <c r="AF288" s="199"/>
      <c r="AG288" s="199"/>
      <c r="AH288" s="199"/>
      <c r="AI288" s="199"/>
      <c r="AJ288" s="199"/>
      <c r="AK288" s="199"/>
      <c r="AL288" s="199"/>
    </row>
    <row r="289" spans="1:38">
      <c r="A289" s="197"/>
      <c r="B289" s="153">
        <v>202</v>
      </c>
      <c r="C289" s="154" t="s">
        <v>643</v>
      </c>
      <c r="D289" s="144">
        <v>2</v>
      </c>
      <c r="E289" s="145">
        <v>74</v>
      </c>
      <c r="F289" s="145">
        <v>70</v>
      </c>
      <c r="G289" s="145">
        <v>74</v>
      </c>
      <c r="H289" s="145">
        <v>77</v>
      </c>
      <c r="I289" s="145">
        <v>89</v>
      </c>
      <c r="J289" s="145">
        <f t="shared" si="56"/>
        <v>384</v>
      </c>
      <c r="K289" s="145">
        <v>73</v>
      </c>
      <c r="L289" s="147" t="s">
        <v>114</v>
      </c>
      <c r="M289" s="147" t="s">
        <v>114</v>
      </c>
      <c r="N289" s="147" t="s">
        <v>130</v>
      </c>
      <c r="O289" s="147" t="s">
        <v>130</v>
      </c>
      <c r="P289" s="147" t="s">
        <v>130</v>
      </c>
      <c r="Q289" s="147" t="s">
        <v>124</v>
      </c>
      <c r="R289" s="148" t="s">
        <v>344</v>
      </c>
      <c r="S289" s="148" t="s">
        <v>118</v>
      </c>
      <c r="T289" s="148" t="s">
        <v>119</v>
      </c>
      <c r="U289" s="148" t="s">
        <v>126</v>
      </c>
      <c r="V289" s="145">
        <f t="shared" si="57"/>
        <v>144</v>
      </c>
      <c r="W289" s="149"/>
      <c r="X289" s="145">
        <f t="shared" si="58"/>
        <v>218</v>
      </c>
      <c r="Y289">
        <f ca="1" t="shared" si="59"/>
        <v>0.939569645746172</v>
      </c>
      <c r="Z289" s="199"/>
      <c r="AA289" s="199"/>
      <c r="AB289" s="199"/>
      <c r="AC289" s="199"/>
      <c r="AD289" s="199"/>
      <c r="AE289" s="199"/>
      <c r="AF289" s="199"/>
      <c r="AG289" s="199"/>
      <c r="AH289" s="199"/>
      <c r="AI289" s="199"/>
      <c r="AJ289" s="199"/>
      <c r="AK289" s="199"/>
      <c r="AL289" s="199"/>
    </row>
    <row r="290" spans="1:38">
      <c r="A290" s="197"/>
      <c r="B290" s="153">
        <v>273</v>
      </c>
      <c r="C290" s="154" t="s">
        <v>332</v>
      </c>
      <c r="D290" s="144">
        <v>2</v>
      </c>
      <c r="E290" s="145">
        <v>57</v>
      </c>
      <c r="F290" s="145">
        <v>56</v>
      </c>
      <c r="G290" s="145">
        <v>81</v>
      </c>
      <c r="H290" s="145">
        <v>85</v>
      </c>
      <c r="I290" s="145">
        <v>86</v>
      </c>
      <c r="J290" s="145">
        <f t="shared" si="56"/>
        <v>365</v>
      </c>
      <c r="K290" s="145">
        <v>64</v>
      </c>
      <c r="L290" s="147" t="s">
        <v>124</v>
      </c>
      <c r="M290" s="147" t="s">
        <v>130</v>
      </c>
      <c r="N290" s="147" t="s">
        <v>130</v>
      </c>
      <c r="O290" s="147" t="s">
        <v>124</v>
      </c>
      <c r="P290" s="147" t="s">
        <v>124</v>
      </c>
      <c r="Q290" s="147" t="s">
        <v>124</v>
      </c>
      <c r="R290" s="148" t="s">
        <v>333</v>
      </c>
      <c r="S290" s="148" t="s">
        <v>132</v>
      </c>
      <c r="T290" s="148" t="s">
        <v>119</v>
      </c>
      <c r="U290" s="148" t="s">
        <v>120</v>
      </c>
      <c r="V290" s="145">
        <f t="shared" si="57"/>
        <v>113</v>
      </c>
      <c r="W290" s="149"/>
      <c r="X290" s="145">
        <f t="shared" si="58"/>
        <v>194</v>
      </c>
      <c r="Y290">
        <f ca="1" t="shared" si="59"/>
        <v>0.579268535777244</v>
      </c>
      <c r="Z290" s="199"/>
      <c r="AA290" s="199"/>
      <c r="AB290" s="199"/>
      <c r="AC290" s="199"/>
      <c r="AD290" s="199"/>
      <c r="AE290" s="199"/>
      <c r="AF290" s="199"/>
      <c r="AG290" s="199"/>
      <c r="AH290" s="199"/>
      <c r="AI290" s="199"/>
      <c r="AJ290" s="199"/>
      <c r="AK290" s="199"/>
      <c r="AL290" s="199"/>
    </row>
    <row r="291" spans="1:38">
      <c r="A291" s="197"/>
      <c r="B291" s="153">
        <v>667</v>
      </c>
      <c r="C291" s="154" t="s">
        <v>920</v>
      </c>
      <c r="D291" s="144">
        <v>2</v>
      </c>
      <c r="E291" s="145">
        <v>66</v>
      </c>
      <c r="F291" s="145">
        <v>67</v>
      </c>
      <c r="G291" s="145">
        <v>84</v>
      </c>
      <c r="H291" s="145">
        <v>81</v>
      </c>
      <c r="I291" s="145">
        <v>82</v>
      </c>
      <c r="J291" s="145">
        <f t="shared" si="56"/>
        <v>380</v>
      </c>
      <c r="K291" s="145">
        <v>124</v>
      </c>
      <c r="L291" s="147" t="s">
        <v>130</v>
      </c>
      <c r="M291" s="147" t="s">
        <v>130</v>
      </c>
      <c r="N291" s="147" t="s">
        <v>130</v>
      </c>
      <c r="O291" s="147" t="s">
        <v>124</v>
      </c>
      <c r="P291" s="147" t="s">
        <v>114</v>
      </c>
      <c r="Q291" s="147" t="s">
        <v>114</v>
      </c>
      <c r="R291" s="148" t="s">
        <v>286</v>
      </c>
      <c r="S291" s="148" t="s">
        <v>132</v>
      </c>
      <c r="T291" s="148" t="s">
        <v>119</v>
      </c>
      <c r="U291" s="148" t="s">
        <v>148</v>
      </c>
      <c r="V291" s="145">
        <f t="shared" si="57"/>
        <v>133</v>
      </c>
      <c r="W291" s="149"/>
      <c r="X291" s="145">
        <f t="shared" si="58"/>
        <v>217</v>
      </c>
      <c r="Y291">
        <f ca="1" t="shared" si="59"/>
        <v>0.95689999239819</v>
      </c>
      <c r="Z291" s="199"/>
      <c r="AA291" s="199"/>
      <c r="AB291" s="199"/>
      <c r="AC291" s="199"/>
      <c r="AD291" s="199"/>
      <c r="AE291" s="199"/>
      <c r="AF291" s="199"/>
      <c r="AG291" s="199"/>
      <c r="AH291" s="199"/>
      <c r="AI291" s="199"/>
      <c r="AJ291" s="199"/>
      <c r="AK291" s="199"/>
      <c r="AL291" s="199"/>
    </row>
    <row r="292" spans="1:38">
      <c r="A292" s="197"/>
      <c r="B292" s="153">
        <v>666</v>
      </c>
      <c r="C292" s="154" t="s">
        <v>644</v>
      </c>
      <c r="D292" s="144">
        <v>7</v>
      </c>
      <c r="E292" s="145">
        <v>85</v>
      </c>
      <c r="F292" s="145">
        <v>71</v>
      </c>
      <c r="G292" s="145">
        <v>88</v>
      </c>
      <c r="H292" s="145">
        <v>86</v>
      </c>
      <c r="I292" s="145">
        <v>89</v>
      </c>
      <c r="J292" s="145">
        <f t="shared" si="56"/>
        <v>419</v>
      </c>
      <c r="K292" s="145">
        <v>63</v>
      </c>
      <c r="L292" s="147" t="s">
        <v>130</v>
      </c>
      <c r="M292" s="147" t="s">
        <v>114</v>
      </c>
      <c r="N292" s="147" t="s">
        <v>114</v>
      </c>
      <c r="O292" s="147" t="s">
        <v>124</v>
      </c>
      <c r="P292" s="147" t="s">
        <v>130</v>
      </c>
      <c r="Q292" s="147" t="s">
        <v>115</v>
      </c>
      <c r="R292" s="148" t="s">
        <v>230</v>
      </c>
      <c r="S292" s="148" t="s">
        <v>118</v>
      </c>
      <c r="T292" s="148" t="s">
        <v>119</v>
      </c>
      <c r="U292" s="148" t="s">
        <v>126</v>
      </c>
      <c r="V292" s="145">
        <f t="shared" si="57"/>
        <v>156</v>
      </c>
      <c r="W292" s="149"/>
      <c r="X292" s="145">
        <f t="shared" si="58"/>
        <v>244</v>
      </c>
      <c r="Y292">
        <f ca="1" t="shared" si="59"/>
        <v>0.466973494738341</v>
      </c>
      <c r="Z292" s="199"/>
      <c r="AA292" s="199"/>
      <c r="AB292" s="199"/>
      <c r="AC292" s="199"/>
      <c r="AD292" s="199"/>
      <c r="AE292" s="199"/>
      <c r="AF292" s="199"/>
      <c r="AG292" s="199"/>
      <c r="AH292" s="199"/>
      <c r="AI292" s="199"/>
      <c r="AJ292" s="199"/>
      <c r="AK292" s="199"/>
      <c r="AL292" s="199"/>
    </row>
    <row r="293" spans="1:38">
      <c r="A293" s="197"/>
      <c r="B293" s="153">
        <v>561</v>
      </c>
      <c r="C293" s="154" t="s">
        <v>810</v>
      </c>
      <c r="D293" s="144">
        <v>4</v>
      </c>
      <c r="E293" s="145">
        <v>77</v>
      </c>
      <c r="F293" s="145">
        <v>78</v>
      </c>
      <c r="G293" s="145">
        <v>58</v>
      </c>
      <c r="H293" s="145">
        <v>55</v>
      </c>
      <c r="I293" s="145">
        <v>61</v>
      </c>
      <c r="J293" s="145">
        <f t="shared" si="56"/>
        <v>329</v>
      </c>
      <c r="K293" s="145">
        <v>34</v>
      </c>
      <c r="L293" s="147" t="s">
        <v>114</v>
      </c>
      <c r="M293" s="147" t="s">
        <v>114</v>
      </c>
      <c r="N293" s="147" t="s">
        <v>124</v>
      </c>
      <c r="O293" s="147" t="s">
        <v>130</v>
      </c>
      <c r="P293" s="147" t="s">
        <v>130</v>
      </c>
      <c r="Q293" s="147" t="s">
        <v>115</v>
      </c>
      <c r="R293" s="148" t="s">
        <v>245</v>
      </c>
      <c r="S293" s="148" t="s">
        <v>132</v>
      </c>
      <c r="T293" s="148" t="s">
        <v>119</v>
      </c>
      <c r="U293" s="148" t="s">
        <v>126</v>
      </c>
      <c r="V293" s="145">
        <f t="shared" si="57"/>
        <v>155</v>
      </c>
      <c r="W293" s="149"/>
      <c r="X293" s="145">
        <f t="shared" si="58"/>
        <v>213</v>
      </c>
      <c r="Y293">
        <f ca="1" t="shared" si="59"/>
        <v>0.0537058681302758</v>
      </c>
      <c r="Z293" s="199"/>
      <c r="AA293" s="199"/>
      <c r="AB293" s="199"/>
      <c r="AC293" s="199"/>
      <c r="AD293" s="199"/>
      <c r="AE293" s="199"/>
      <c r="AF293" s="199"/>
      <c r="AG293" s="199"/>
      <c r="AH293" s="199"/>
      <c r="AI293" s="199"/>
      <c r="AJ293" s="199"/>
      <c r="AK293" s="199"/>
      <c r="AL293" s="199"/>
    </row>
    <row r="294" spans="1:38">
      <c r="A294" s="197"/>
      <c r="B294" s="153">
        <v>641</v>
      </c>
      <c r="C294" s="154" t="s">
        <v>664</v>
      </c>
      <c r="D294" s="144">
        <v>5</v>
      </c>
      <c r="E294" s="145">
        <v>31</v>
      </c>
      <c r="F294" s="145">
        <v>38</v>
      </c>
      <c r="G294" s="145">
        <v>78</v>
      </c>
      <c r="H294" s="145">
        <v>80</v>
      </c>
      <c r="I294" s="145">
        <v>84</v>
      </c>
      <c r="J294" s="145">
        <f t="shared" si="56"/>
        <v>311</v>
      </c>
      <c r="K294" s="145">
        <v>62</v>
      </c>
      <c r="L294" s="147" t="s">
        <v>124</v>
      </c>
      <c r="M294" s="147" t="s">
        <v>124</v>
      </c>
      <c r="N294" s="147" t="s">
        <v>124</v>
      </c>
      <c r="O294" s="147" t="s">
        <v>124</v>
      </c>
      <c r="P294" s="147" t="s">
        <v>130</v>
      </c>
      <c r="Q294" s="147" t="s">
        <v>124</v>
      </c>
      <c r="R294" s="148" t="s">
        <v>624</v>
      </c>
      <c r="S294" s="148" t="s">
        <v>132</v>
      </c>
      <c r="T294" s="148" t="s">
        <v>119</v>
      </c>
      <c r="U294" s="148" t="s">
        <v>126</v>
      </c>
      <c r="V294" s="145">
        <f t="shared" si="57"/>
        <v>69</v>
      </c>
      <c r="W294" s="149"/>
      <c r="X294" s="145">
        <f t="shared" si="58"/>
        <v>147</v>
      </c>
      <c r="Y294">
        <f ca="1" t="shared" si="59"/>
        <v>0.208868064548613</v>
      </c>
      <c r="Z294" s="199"/>
      <c r="AA294" s="199"/>
      <c r="AB294" s="199"/>
      <c r="AC294" s="199"/>
      <c r="AD294" s="199"/>
      <c r="AE294" s="199"/>
      <c r="AF294" s="199"/>
      <c r="AG294" s="199"/>
      <c r="AH294" s="199"/>
      <c r="AI294" s="199"/>
      <c r="AJ294" s="199"/>
      <c r="AK294" s="199"/>
      <c r="AL294" s="199"/>
    </row>
    <row r="295" spans="1:38">
      <c r="A295" s="197"/>
      <c r="B295" s="153">
        <v>58</v>
      </c>
      <c r="C295" s="154" t="s">
        <v>324</v>
      </c>
      <c r="D295" s="144">
        <v>11</v>
      </c>
      <c r="E295" s="145">
        <v>41</v>
      </c>
      <c r="F295" s="145">
        <v>35</v>
      </c>
      <c r="G295" s="145">
        <v>85</v>
      </c>
      <c r="H295" s="145">
        <v>91</v>
      </c>
      <c r="I295" s="145">
        <v>88</v>
      </c>
      <c r="J295" s="145">
        <f t="shared" si="56"/>
        <v>340</v>
      </c>
      <c r="K295" s="145">
        <v>1</v>
      </c>
      <c r="L295" s="147" t="s">
        <v>124</v>
      </c>
      <c r="M295" s="147" t="s">
        <v>124</v>
      </c>
      <c r="N295" s="147" t="s">
        <v>130</v>
      </c>
      <c r="O295" s="147" t="s">
        <v>124</v>
      </c>
      <c r="P295" s="147" t="s">
        <v>124</v>
      </c>
      <c r="Q295" s="147" t="s">
        <v>124</v>
      </c>
      <c r="R295" s="148" t="s">
        <v>302</v>
      </c>
      <c r="S295" s="148" t="s">
        <v>132</v>
      </c>
      <c r="T295" s="148" t="s">
        <v>133</v>
      </c>
      <c r="U295" s="148" t="s">
        <v>148</v>
      </c>
      <c r="V295" s="145">
        <f t="shared" si="57"/>
        <v>76</v>
      </c>
      <c r="W295" s="149"/>
      <c r="X295" s="145">
        <f t="shared" si="58"/>
        <v>161</v>
      </c>
      <c r="Y295">
        <f ca="1" t="shared" si="59"/>
        <v>0.0163457021222411</v>
      </c>
      <c r="Z295" s="199"/>
      <c r="AA295" s="199"/>
      <c r="AB295" s="199"/>
      <c r="AC295" s="199"/>
      <c r="AD295" s="199"/>
      <c r="AE295" s="199"/>
      <c r="AF295" s="199"/>
      <c r="AG295" s="199"/>
      <c r="AH295" s="199"/>
      <c r="AI295" s="199"/>
      <c r="AJ295" s="199"/>
      <c r="AK295" s="199"/>
      <c r="AL295" s="199"/>
    </row>
    <row r="296" spans="1:38">
      <c r="A296" s="197"/>
      <c r="B296" s="153">
        <v>657</v>
      </c>
      <c r="C296" s="154" t="s">
        <v>1000</v>
      </c>
      <c r="D296" s="144">
        <v>11</v>
      </c>
      <c r="E296" s="145">
        <v>83</v>
      </c>
      <c r="F296" s="145">
        <v>84</v>
      </c>
      <c r="G296" s="145">
        <v>59</v>
      </c>
      <c r="H296" s="145">
        <v>60</v>
      </c>
      <c r="I296" s="145">
        <v>64</v>
      </c>
      <c r="J296" s="145">
        <f t="shared" si="56"/>
        <v>350</v>
      </c>
      <c r="K296" s="145">
        <v>65</v>
      </c>
      <c r="L296" s="147" t="s">
        <v>130</v>
      </c>
      <c r="M296" s="147" t="s">
        <v>114</v>
      </c>
      <c r="N296" s="147" t="s">
        <v>115</v>
      </c>
      <c r="O296" s="147" t="s">
        <v>114</v>
      </c>
      <c r="P296" s="147" t="s">
        <v>114</v>
      </c>
      <c r="Q296" s="147" t="s">
        <v>124</v>
      </c>
      <c r="R296" s="148" t="s">
        <v>260</v>
      </c>
      <c r="S296" s="148" t="s">
        <v>132</v>
      </c>
      <c r="T296" s="148" t="s">
        <v>119</v>
      </c>
      <c r="U296" s="148" t="s">
        <v>126</v>
      </c>
      <c r="V296" s="145">
        <f t="shared" si="57"/>
        <v>167</v>
      </c>
      <c r="W296" s="149"/>
      <c r="X296" s="145">
        <f t="shared" si="58"/>
        <v>226</v>
      </c>
      <c r="Y296">
        <f ca="1" t="shared" si="59"/>
        <v>0.269061843372932</v>
      </c>
      <c r="Z296" s="199"/>
      <c r="AA296" s="199"/>
      <c r="AB296" s="199"/>
      <c r="AC296" s="199"/>
      <c r="AD296" s="199"/>
      <c r="AE296" s="199"/>
      <c r="AF296" s="199"/>
      <c r="AG296" s="199"/>
      <c r="AH296" s="199"/>
      <c r="AI296" s="199"/>
      <c r="AJ296" s="199"/>
      <c r="AK296" s="199"/>
      <c r="AL296" s="199"/>
    </row>
    <row r="297" spans="1:38">
      <c r="A297" s="197"/>
      <c r="B297" s="153">
        <v>792</v>
      </c>
      <c r="C297" s="154" t="s">
        <v>580</v>
      </c>
      <c r="D297" s="144">
        <v>1</v>
      </c>
      <c r="E297" s="145">
        <v>28</v>
      </c>
      <c r="F297" s="145">
        <v>21</v>
      </c>
      <c r="G297" s="145">
        <v>87</v>
      </c>
      <c r="H297" s="145">
        <v>68</v>
      </c>
      <c r="I297" s="145">
        <v>41</v>
      </c>
      <c r="J297" s="145">
        <f t="shared" si="56"/>
        <v>245</v>
      </c>
      <c r="K297" s="145">
        <v>132</v>
      </c>
      <c r="L297" s="147" t="s">
        <v>124</v>
      </c>
      <c r="M297" s="147" t="s">
        <v>124</v>
      </c>
      <c r="N297" s="147" t="s">
        <v>124</v>
      </c>
      <c r="O297" s="147" t="s">
        <v>124</v>
      </c>
      <c r="P297" s="147" t="s">
        <v>124</v>
      </c>
      <c r="Q297" s="147" t="s">
        <v>124</v>
      </c>
      <c r="R297" s="148" t="s">
        <v>358</v>
      </c>
      <c r="S297" s="148" t="s">
        <v>175</v>
      </c>
      <c r="T297" s="148" t="s">
        <v>119</v>
      </c>
      <c r="U297" s="148" t="s">
        <v>148</v>
      </c>
      <c r="V297" s="145">
        <f t="shared" si="57"/>
        <v>49</v>
      </c>
      <c r="W297" s="149"/>
      <c r="X297" s="145">
        <f t="shared" si="58"/>
        <v>136</v>
      </c>
      <c r="Y297">
        <f ca="1" t="shared" si="59"/>
        <v>0.143024264963109</v>
      </c>
      <c r="Z297" s="199"/>
      <c r="AA297" s="199"/>
      <c r="AB297" s="199"/>
      <c r="AC297" s="199"/>
      <c r="AD297" s="199"/>
      <c r="AE297" s="199"/>
      <c r="AF297" s="199"/>
      <c r="AG297" s="199"/>
      <c r="AH297" s="199"/>
      <c r="AI297" s="199"/>
      <c r="AJ297" s="199"/>
      <c r="AK297" s="199"/>
      <c r="AL297" s="199"/>
    </row>
    <row r="298" spans="1:38">
      <c r="A298" s="197" t="s">
        <v>1405</v>
      </c>
      <c r="B298" s="153">
        <v>567</v>
      </c>
      <c r="C298" s="154" t="s">
        <v>1001</v>
      </c>
      <c r="D298" s="144">
        <v>14</v>
      </c>
      <c r="E298" s="145">
        <v>88</v>
      </c>
      <c r="F298" s="145">
        <v>83</v>
      </c>
      <c r="G298" s="145">
        <v>66</v>
      </c>
      <c r="H298" s="145">
        <v>56</v>
      </c>
      <c r="I298" s="145">
        <v>64</v>
      </c>
      <c r="J298" s="145">
        <f t="shared" si="56"/>
        <v>357</v>
      </c>
      <c r="K298" s="145">
        <v>34</v>
      </c>
      <c r="L298" s="147" t="s">
        <v>115</v>
      </c>
      <c r="M298" s="147" t="s">
        <v>114</v>
      </c>
      <c r="N298" s="147" t="s">
        <v>115</v>
      </c>
      <c r="O298" s="147" t="s">
        <v>114</v>
      </c>
      <c r="P298" s="147" t="s">
        <v>114</v>
      </c>
      <c r="Q298" s="147" t="s">
        <v>130</v>
      </c>
      <c r="R298" s="148" t="s">
        <v>208</v>
      </c>
      <c r="S298" s="148" t="s">
        <v>132</v>
      </c>
      <c r="T298" s="148" t="s">
        <v>133</v>
      </c>
      <c r="U298" s="148" t="s">
        <v>120</v>
      </c>
      <c r="V298" s="145">
        <f t="shared" si="57"/>
        <v>171</v>
      </c>
      <c r="W298" s="149"/>
      <c r="X298" s="145">
        <f t="shared" si="58"/>
        <v>237</v>
      </c>
      <c r="Y298">
        <f ca="1" t="shared" si="59"/>
        <v>0.690467530471757</v>
      </c>
      <c r="Z298" s="199"/>
      <c r="AA298" s="199"/>
      <c r="AB298" s="199"/>
      <c r="AC298" s="199"/>
      <c r="AD298" s="199"/>
      <c r="AE298" s="199"/>
      <c r="AF298" s="199"/>
      <c r="AG298" s="199"/>
      <c r="AH298" s="199"/>
      <c r="AI298" s="199"/>
      <c r="AJ298" s="199"/>
      <c r="AK298" s="199"/>
      <c r="AL298" s="199"/>
    </row>
    <row r="299" spans="1:38">
      <c r="A299" s="198"/>
      <c r="B299" s="153">
        <v>376</v>
      </c>
      <c r="C299" s="154" t="s">
        <v>231</v>
      </c>
      <c r="D299" s="144">
        <v>14</v>
      </c>
      <c r="E299" s="145">
        <v>88</v>
      </c>
      <c r="F299" s="145">
        <v>79</v>
      </c>
      <c r="G299" s="145">
        <v>82</v>
      </c>
      <c r="H299" s="145">
        <v>71</v>
      </c>
      <c r="I299" s="145">
        <v>65</v>
      </c>
      <c r="J299" s="145">
        <f t="shared" si="56"/>
        <v>385</v>
      </c>
      <c r="K299" s="145">
        <v>26</v>
      </c>
      <c r="L299" s="147" t="s">
        <v>114</v>
      </c>
      <c r="M299" s="147" t="s">
        <v>115</v>
      </c>
      <c r="N299" s="147" t="s">
        <v>114</v>
      </c>
      <c r="O299" s="147" t="s">
        <v>114</v>
      </c>
      <c r="P299" s="147" t="s">
        <v>115</v>
      </c>
      <c r="Q299" s="147" t="s">
        <v>130</v>
      </c>
      <c r="R299" s="158" t="s">
        <v>232</v>
      </c>
      <c r="S299" s="148" t="s">
        <v>132</v>
      </c>
      <c r="T299" s="148" t="s">
        <v>136</v>
      </c>
      <c r="U299" s="148" t="s">
        <v>126</v>
      </c>
      <c r="V299" s="145">
        <f t="shared" si="57"/>
        <v>167</v>
      </c>
      <c r="W299" s="148" t="s">
        <v>233</v>
      </c>
      <c r="X299" s="145">
        <f t="shared" si="58"/>
        <v>249</v>
      </c>
      <c r="Y299">
        <f ca="1" t="shared" si="59"/>
        <v>0.290676159592941</v>
      </c>
      <c r="Z299" s="199"/>
      <c r="AA299" s="199"/>
      <c r="AB299" s="199"/>
      <c r="AC299" s="199"/>
      <c r="AD299" s="199"/>
      <c r="AE299" s="199"/>
      <c r="AF299" s="199"/>
      <c r="AG299" s="199"/>
      <c r="AH299" s="199"/>
      <c r="AI299" s="199"/>
      <c r="AJ299" s="199"/>
      <c r="AK299" s="199"/>
      <c r="AL299" s="199"/>
    </row>
    <row r="300" spans="1:38">
      <c r="A300" s="198"/>
      <c r="B300" s="153">
        <v>687</v>
      </c>
      <c r="C300" s="154" t="s">
        <v>853</v>
      </c>
      <c r="D300" s="144">
        <v>5</v>
      </c>
      <c r="E300" s="145">
        <v>73</v>
      </c>
      <c r="F300" s="145">
        <v>87</v>
      </c>
      <c r="G300" s="145">
        <v>46</v>
      </c>
      <c r="H300" s="145">
        <v>39</v>
      </c>
      <c r="I300" s="145">
        <v>48</v>
      </c>
      <c r="J300" s="145">
        <f t="shared" si="56"/>
        <v>293</v>
      </c>
      <c r="K300" s="145">
        <v>89</v>
      </c>
      <c r="L300" s="147" t="s">
        <v>114</v>
      </c>
      <c r="M300" s="147" t="s">
        <v>114</v>
      </c>
      <c r="N300" s="147" t="s">
        <v>130</v>
      </c>
      <c r="O300" s="147" t="s">
        <v>124</v>
      </c>
      <c r="P300" s="147" t="s">
        <v>130</v>
      </c>
      <c r="Q300" s="147" t="s">
        <v>114</v>
      </c>
      <c r="R300" s="148" t="s">
        <v>452</v>
      </c>
      <c r="S300" s="148" t="s">
        <v>132</v>
      </c>
      <c r="T300" s="148" t="s">
        <v>119</v>
      </c>
      <c r="U300" s="148" t="s">
        <v>126</v>
      </c>
      <c r="V300" s="145">
        <f t="shared" si="57"/>
        <v>160</v>
      </c>
      <c r="W300" s="149"/>
      <c r="X300" s="145">
        <f t="shared" si="58"/>
        <v>206</v>
      </c>
      <c r="Y300">
        <f ca="1" t="shared" si="59"/>
        <v>0.526437028641801</v>
      </c>
      <c r="Z300" s="199"/>
      <c r="AA300" s="199"/>
      <c r="AB300" s="199"/>
      <c r="AC300" s="199"/>
      <c r="AD300" s="199"/>
      <c r="AE300" s="199"/>
      <c r="AF300" s="199"/>
      <c r="AG300" s="199"/>
      <c r="AH300" s="199"/>
      <c r="AI300" s="199"/>
      <c r="AJ300" s="199"/>
      <c r="AK300" s="199"/>
      <c r="AL300" s="199"/>
    </row>
    <row r="301" spans="1:38">
      <c r="A301" s="198"/>
      <c r="B301" s="153">
        <v>577</v>
      </c>
      <c r="C301" s="154" t="s">
        <v>630</v>
      </c>
      <c r="D301" s="144">
        <v>7</v>
      </c>
      <c r="E301" s="145">
        <v>84</v>
      </c>
      <c r="F301" s="145">
        <v>42</v>
      </c>
      <c r="G301" s="145">
        <v>81</v>
      </c>
      <c r="H301" s="145">
        <v>80</v>
      </c>
      <c r="I301" s="145">
        <v>93</v>
      </c>
      <c r="J301" s="145">
        <f t="shared" si="56"/>
        <v>380</v>
      </c>
      <c r="K301" s="145">
        <v>27</v>
      </c>
      <c r="L301" s="147" t="s">
        <v>114</v>
      </c>
      <c r="M301" s="147" t="s">
        <v>130</v>
      </c>
      <c r="N301" s="147" t="s">
        <v>114</v>
      </c>
      <c r="O301" s="147" t="s">
        <v>114</v>
      </c>
      <c r="P301" s="147" t="s">
        <v>130</v>
      </c>
      <c r="Q301" s="147" t="s">
        <v>114</v>
      </c>
      <c r="R301" s="148" t="s">
        <v>172</v>
      </c>
      <c r="S301" s="148" t="s">
        <v>132</v>
      </c>
      <c r="T301" s="148" t="s">
        <v>119</v>
      </c>
      <c r="U301" s="148" t="s">
        <v>120</v>
      </c>
      <c r="V301" s="145">
        <f t="shared" si="57"/>
        <v>126</v>
      </c>
      <c r="W301" s="149"/>
      <c r="X301" s="145">
        <f t="shared" si="58"/>
        <v>207</v>
      </c>
      <c r="Y301">
        <f ca="1" t="shared" si="59"/>
        <v>0.988341745051564</v>
      </c>
      <c r="Z301" s="199"/>
      <c r="AA301" s="199"/>
      <c r="AB301" s="199"/>
      <c r="AC301" s="199"/>
      <c r="AD301" s="199"/>
      <c r="AE301" s="199"/>
      <c r="AF301" s="199"/>
      <c r="AG301" s="199"/>
      <c r="AH301" s="199"/>
      <c r="AI301" s="199"/>
      <c r="AJ301" s="199"/>
      <c r="AK301" s="199"/>
      <c r="AL301" s="199"/>
    </row>
    <row r="302" spans="1:38">
      <c r="A302" s="198"/>
      <c r="B302" s="153">
        <v>295</v>
      </c>
      <c r="C302" s="154" t="s">
        <v>1020</v>
      </c>
      <c r="D302" s="144">
        <v>5</v>
      </c>
      <c r="E302" s="145">
        <v>80</v>
      </c>
      <c r="F302" s="145">
        <v>73</v>
      </c>
      <c r="G302" s="145">
        <v>89</v>
      </c>
      <c r="H302" s="145">
        <v>71</v>
      </c>
      <c r="I302" s="145">
        <v>57</v>
      </c>
      <c r="J302" s="145">
        <f t="shared" si="56"/>
        <v>370</v>
      </c>
      <c r="K302" s="145">
        <v>139</v>
      </c>
      <c r="L302" s="147" t="s">
        <v>114</v>
      </c>
      <c r="M302" s="147" t="s">
        <v>114</v>
      </c>
      <c r="N302" s="147" t="s">
        <v>114</v>
      </c>
      <c r="O302" s="147" t="s">
        <v>115</v>
      </c>
      <c r="P302" s="147" t="s">
        <v>114</v>
      </c>
      <c r="Q302" s="147" t="s">
        <v>124</v>
      </c>
      <c r="R302" s="148" t="s">
        <v>165</v>
      </c>
      <c r="S302" s="148" t="s">
        <v>175</v>
      </c>
      <c r="T302" s="148" t="s">
        <v>145</v>
      </c>
      <c r="U302" s="148" t="s">
        <v>120</v>
      </c>
      <c r="V302" s="145">
        <f t="shared" si="57"/>
        <v>153</v>
      </c>
      <c r="W302" s="149"/>
      <c r="X302" s="145">
        <f t="shared" si="58"/>
        <v>242</v>
      </c>
      <c r="Y302">
        <f ca="1" t="shared" si="59"/>
        <v>0.30546277697999</v>
      </c>
      <c r="Z302" s="199"/>
      <c r="AA302" s="199"/>
      <c r="AB302" s="199"/>
      <c r="AC302" s="199"/>
      <c r="AD302" s="199"/>
      <c r="AE302" s="199"/>
      <c r="AF302" s="199"/>
      <c r="AG302" s="199"/>
      <c r="AH302" s="199"/>
      <c r="AI302" s="199"/>
      <c r="AJ302" s="199"/>
      <c r="AK302" s="199"/>
      <c r="AL302" s="199"/>
    </row>
    <row r="303" spans="1:38">
      <c r="A303" s="198"/>
      <c r="B303" s="153">
        <v>496</v>
      </c>
      <c r="C303" s="154" t="s">
        <v>623</v>
      </c>
      <c r="D303" s="144">
        <v>7</v>
      </c>
      <c r="E303" s="145">
        <v>55</v>
      </c>
      <c r="F303" s="145">
        <v>46</v>
      </c>
      <c r="G303" s="145">
        <v>86</v>
      </c>
      <c r="H303" s="145">
        <v>92</v>
      </c>
      <c r="I303" s="145">
        <v>94</v>
      </c>
      <c r="J303" s="145">
        <f t="shared" si="56"/>
        <v>373</v>
      </c>
      <c r="K303" s="145">
        <v>46</v>
      </c>
      <c r="L303" s="147" t="s">
        <v>124</v>
      </c>
      <c r="M303" s="147" t="s">
        <v>130</v>
      </c>
      <c r="N303" s="147" t="s">
        <v>124</v>
      </c>
      <c r="O303" s="147" t="s">
        <v>124</v>
      </c>
      <c r="P303" s="147" t="s">
        <v>130</v>
      </c>
      <c r="Q303" s="147" t="s">
        <v>124</v>
      </c>
      <c r="R303" s="148" t="s">
        <v>624</v>
      </c>
      <c r="S303" s="148" t="s">
        <v>118</v>
      </c>
      <c r="T303" s="148" t="s">
        <v>119</v>
      </c>
      <c r="U303" s="148" t="s">
        <v>126</v>
      </c>
      <c r="V303" s="145">
        <f t="shared" si="57"/>
        <v>101</v>
      </c>
      <c r="W303" s="149"/>
      <c r="X303" s="145">
        <f t="shared" si="58"/>
        <v>187</v>
      </c>
      <c r="Y303">
        <f ca="1" t="shared" si="59"/>
        <v>0.350917524414502</v>
      </c>
      <c r="Z303" s="199"/>
      <c r="AA303" s="199"/>
      <c r="AB303" s="199"/>
      <c r="AC303" s="199"/>
      <c r="AD303" s="199"/>
      <c r="AE303" s="199"/>
      <c r="AF303" s="199"/>
      <c r="AG303" s="199"/>
      <c r="AH303" s="199"/>
      <c r="AI303" s="199"/>
      <c r="AJ303" s="199"/>
      <c r="AK303" s="199"/>
      <c r="AL303" s="199"/>
    </row>
    <row r="304" spans="1:38">
      <c r="A304" s="198"/>
      <c r="B304" s="153">
        <v>384</v>
      </c>
      <c r="C304" s="154" t="s">
        <v>782</v>
      </c>
      <c r="D304" s="144">
        <v>9</v>
      </c>
      <c r="E304" s="145">
        <v>69</v>
      </c>
      <c r="F304" s="145">
        <v>86</v>
      </c>
      <c r="G304" s="145">
        <v>56</v>
      </c>
      <c r="H304" s="145">
        <v>70</v>
      </c>
      <c r="I304" s="145">
        <v>67</v>
      </c>
      <c r="J304" s="145">
        <f t="shared" si="56"/>
        <v>348</v>
      </c>
      <c r="K304" s="145">
        <v>143</v>
      </c>
      <c r="L304" s="147" t="s">
        <v>114</v>
      </c>
      <c r="M304" s="147" t="s">
        <v>130</v>
      </c>
      <c r="N304" s="147" t="s">
        <v>130</v>
      </c>
      <c r="O304" s="147" t="s">
        <v>114</v>
      </c>
      <c r="P304" s="147" t="s">
        <v>130</v>
      </c>
      <c r="Q304" s="147" t="s">
        <v>130</v>
      </c>
      <c r="R304" s="148" t="s">
        <v>783</v>
      </c>
      <c r="S304" s="148" t="s">
        <v>118</v>
      </c>
      <c r="T304" s="148" t="s">
        <v>119</v>
      </c>
      <c r="U304" s="148" t="s">
        <v>126</v>
      </c>
      <c r="V304" s="145">
        <f t="shared" si="57"/>
        <v>155</v>
      </c>
      <c r="W304" s="149"/>
      <c r="X304" s="145">
        <f t="shared" si="58"/>
        <v>211</v>
      </c>
      <c r="Y304">
        <f ca="1" t="shared" si="59"/>
        <v>0.159619865629217</v>
      </c>
      <c r="Z304" s="199"/>
      <c r="AA304" s="199"/>
      <c r="AB304" s="199"/>
      <c r="AC304" s="199"/>
      <c r="AD304" s="199"/>
      <c r="AE304" s="199"/>
      <c r="AF304" s="199"/>
      <c r="AG304" s="199"/>
      <c r="AH304" s="199"/>
      <c r="AI304" s="199"/>
      <c r="AJ304" s="199"/>
      <c r="AK304" s="199"/>
      <c r="AL304" s="199"/>
    </row>
    <row r="305" spans="1:38">
      <c r="A305" s="198"/>
      <c r="B305" s="153">
        <v>559</v>
      </c>
      <c r="C305" s="154" t="s">
        <v>848</v>
      </c>
      <c r="D305" s="144">
        <v>4</v>
      </c>
      <c r="E305" s="145">
        <v>68</v>
      </c>
      <c r="F305" s="145">
        <v>83</v>
      </c>
      <c r="G305" s="145">
        <v>41</v>
      </c>
      <c r="H305" s="145">
        <v>42</v>
      </c>
      <c r="I305" s="145">
        <v>50</v>
      </c>
      <c r="J305" s="145">
        <f t="shared" si="56"/>
        <v>284</v>
      </c>
      <c r="K305" s="145">
        <v>38</v>
      </c>
      <c r="L305" s="147" t="s">
        <v>114</v>
      </c>
      <c r="M305" s="147" t="s">
        <v>124</v>
      </c>
      <c r="N305" s="147" t="s">
        <v>130</v>
      </c>
      <c r="O305" s="147" t="s">
        <v>114</v>
      </c>
      <c r="P305" s="147" t="s">
        <v>130</v>
      </c>
      <c r="Q305" s="147" t="s">
        <v>124</v>
      </c>
      <c r="R305" s="148" t="s">
        <v>577</v>
      </c>
      <c r="S305" s="148" t="s">
        <v>119</v>
      </c>
      <c r="T305" s="148" t="s">
        <v>119</v>
      </c>
      <c r="U305" s="148" t="s">
        <v>250</v>
      </c>
      <c r="V305" s="145">
        <f t="shared" si="57"/>
        <v>151</v>
      </c>
      <c r="W305" s="149"/>
      <c r="X305" s="145">
        <f t="shared" si="58"/>
        <v>192</v>
      </c>
      <c r="Y305">
        <f ca="1" t="shared" si="59"/>
        <v>0.330367560628541</v>
      </c>
      <c r="Z305" s="199"/>
      <c r="AA305" s="199"/>
      <c r="AB305" s="199"/>
      <c r="AC305" s="199"/>
      <c r="AD305" s="199"/>
      <c r="AE305" s="199"/>
      <c r="AF305" s="199"/>
      <c r="AG305" s="199"/>
      <c r="AH305" s="199"/>
      <c r="AI305" s="199"/>
      <c r="AJ305" s="199"/>
      <c r="AK305" s="199"/>
      <c r="AL305" s="199"/>
    </row>
    <row r="306" spans="1:38">
      <c r="A306" s="198"/>
      <c r="B306" s="153">
        <v>571</v>
      </c>
      <c r="C306" s="154" t="s">
        <v>458</v>
      </c>
      <c r="D306" s="144">
        <v>10</v>
      </c>
      <c r="E306" s="145">
        <v>66</v>
      </c>
      <c r="F306" s="145">
        <v>99</v>
      </c>
      <c r="G306" s="145">
        <v>37</v>
      </c>
      <c r="H306" s="145">
        <v>69</v>
      </c>
      <c r="I306" s="145">
        <v>69</v>
      </c>
      <c r="J306" s="145">
        <f t="shared" si="56"/>
        <v>340</v>
      </c>
      <c r="K306" s="145">
        <v>36</v>
      </c>
      <c r="L306" s="147" t="s">
        <v>114</v>
      </c>
      <c r="M306" s="147" t="s">
        <v>130</v>
      </c>
      <c r="N306" s="147" t="s">
        <v>130</v>
      </c>
      <c r="O306" s="147" t="s">
        <v>130</v>
      </c>
      <c r="P306" s="147" t="s">
        <v>124</v>
      </c>
      <c r="Q306" s="147" t="s">
        <v>130</v>
      </c>
      <c r="R306" s="148" t="s">
        <v>459</v>
      </c>
      <c r="S306" s="148" t="s">
        <v>118</v>
      </c>
      <c r="T306" s="148" t="s">
        <v>119</v>
      </c>
      <c r="U306" s="148" t="s">
        <v>126</v>
      </c>
      <c r="V306" s="145">
        <f t="shared" si="57"/>
        <v>165</v>
      </c>
      <c r="W306" s="149"/>
      <c r="X306" s="145">
        <f t="shared" si="58"/>
        <v>202</v>
      </c>
      <c r="Y306">
        <f ca="1" t="shared" si="59"/>
        <v>0.590486620176767</v>
      </c>
      <c r="Z306" s="199"/>
      <c r="AA306" s="199"/>
      <c r="AB306" s="199"/>
      <c r="AC306" s="199"/>
      <c r="AD306" s="199"/>
      <c r="AE306" s="199"/>
      <c r="AF306" s="199"/>
      <c r="AG306" s="199"/>
      <c r="AH306" s="199"/>
      <c r="AI306" s="199"/>
      <c r="AJ306" s="199"/>
      <c r="AK306" s="199"/>
      <c r="AL306" s="199"/>
    </row>
    <row r="307" spans="1:38">
      <c r="A307" s="198"/>
      <c r="B307" s="153">
        <v>688</v>
      </c>
      <c r="C307" s="154" t="s">
        <v>990</v>
      </c>
      <c r="D307" s="144">
        <v>6</v>
      </c>
      <c r="E307" s="145">
        <v>69</v>
      </c>
      <c r="F307" s="145">
        <v>56</v>
      </c>
      <c r="G307" s="145">
        <v>86</v>
      </c>
      <c r="H307" s="145">
        <v>78</v>
      </c>
      <c r="I307" s="145">
        <v>66</v>
      </c>
      <c r="J307" s="145">
        <f t="shared" si="56"/>
        <v>355</v>
      </c>
      <c r="K307" s="145">
        <v>88</v>
      </c>
      <c r="L307" s="147" t="s">
        <v>124</v>
      </c>
      <c r="M307" s="147" t="s">
        <v>130</v>
      </c>
      <c r="N307" s="147" t="s">
        <v>124</v>
      </c>
      <c r="O307" s="147" t="s">
        <v>130</v>
      </c>
      <c r="P307" s="147" t="s">
        <v>114</v>
      </c>
      <c r="Q307" s="147" t="s">
        <v>130</v>
      </c>
      <c r="R307" s="148" t="s">
        <v>294</v>
      </c>
      <c r="S307" s="148" t="s">
        <v>118</v>
      </c>
      <c r="T307" s="148" t="s">
        <v>119</v>
      </c>
      <c r="U307" s="148" t="s">
        <v>120</v>
      </c>
      <c r="V307" s="145">
        <f t="shared" si="57"/>
        <v>125</v>
      </c>
      <c r="W307" s="149"/>
      <c r="X307" s="145">
        <f t="shared" si="58"/>
        <v>211</v>
      </c>
      <c r="Y307">
        <f ca="1" t="shared" si="59"/>
        <v>0.191919854471197</v>
      </c>
      <c r="Z307" s="199"/>
      <c r="AA307" s="199"/>
      <c r="AB307" s="199"/>
      <c r="AC307" s="199"/>
      <c r="AD307" s="199"/>
      <c r="AE307" s="199"/>
      <c r="AF307" s="199"/>
      <c r="AG307" s="199"/>
      <c r="AH307" s="199"/>
      <c r="AI307" s="199"/>
      <c r="AJ307" s="199"/>
      <c r="AK307" s="199"/>
      <c r="AL307" s="199"/>
    </row>
    <row r="308" spans="1:38">
      <c r="A308" s="198"/>
      <c r="B308" s="153">
        <v>251</v>
      </c>
      <c r="C308" s="154" t="s">
        <v>418</v>
      </c>
      <c r="D308" s="144">
        <v>2</v>
      </c>
      <c r="E308" s="145">
        <v>29</v>
      </c>
      <c r="F308" s="145">
        <v>36</v>
      </c>
      <c r="G308" s="145">
        <v>71</v>
      </c>
      <c r="H308" s="145">
        <v>74</v>
      </c>
      <c r="I308" s="145">
        <v>75</v>
      </c>
      <c r="J308" s="145">
        <f t="shared" si="56"/>
        <v>285</v>
      </c>
      <c r="K308" s="145">
        <v>141</v>
      </c>
      <c r="L308" s="147" t="s">
        <v>124</v>
      </c>
      <c r="M308" s="147" t="s">
        <v>124</v>
      </c>
      <c r="N308" s="147" t="s">
        <v>124</v>
      </c>
      <c r="O308" s="147" t="s">
        <v>124</v>
      </c>
      <c r="P308" s="147" t="s">
        <v>124</v>
      </c>
      <c r="Q308" s="147" t="s">
        <v>124</v>
      </c>
      <c r="R308" s="148" t="s">
        <v>321</v>
      </c>
      <c r="S308" s="148" t="s">
        <v>118</v>
      </c>
      <c r="T308" s="148" t="s">
        <v>133</v>
      </c>
      <c r="U308" s="148" t="s">
        <v>126</v>
      </c>
      <c r="V308" s="145">
        <f t="shared" si="57"/>
        <v>65</v>
      </c>
      <c r="W308" s="149"/>
      <c r="X308" s="145">
        <f t="shared" si="58"/>
        <v>136</v>
      </c>
      <c r="Y308">
        <f ca="1" t="shared" si="59"/>
        <v>0.890388257783824</v>
      </c>
      <c r="Z308" s="199"/>
      <c r="AA308" s="199"/>
      <c r="AB308" s="199"/>
      <c r="AC308" s="199"/>
      <c r="AD308" s="199"/>
      <c r="AE308" s="199"/>
      <c r="AF308" s="199"/>
      <c r="AG308" s="199"/>
      <c r="AH308" s="199"/>
      <c r="AI308" s="199"/>
      <c r="AJ308" s="199"/>
      <c r="AK308" s="199"/>
      <c r="AL308" s="199"/>
    </row>
    <row r="309" spans="1:38">
      <c r="A309" s="198"/>
      <c r="B309" s="153">
        <v>686</v>
      </c>
      <c r="C309" s="154" t="s">
        <v>1044</v>
      </c>
      <c r="D309" s="144">
        <v>6</v>
      </c>
      <c r="E309" s="145">
        <v>79</v>
      </c>
      <c r="F309" s="145">
        <v>80</v>
      </c>
      <c r="G309" s="145">
        <v>61</v>
      </c>
      <c r="H309" s="145">
        <v>36</v>
      </c>
      <c r="I309" s="145">
        <v>42</v>
      </c>
      <c r="J309" s="145">
        <f t="shared" si="56"/>
        <v>298</v>
      </c>
      <c r="K309" s="145">
        <v>87</v>
      </c>
      <c r="L309" s="147" t="s">
        <v>130</v>
      </c>
      <c r="M309" s="147" t="s">
        <v>130</v>
      </c>
      <c r="N309" s="147" t="s">
        <v>130</v>
      </c>
      <c r="O309" s="147" t="s">
        <v>124</v>
      </c>
      <c r="P309" s="147" t="s">
        <v>114</v>
      </c>
      <c r="Q309" s="147" t="s">
        <v>115</v>
      </c>
      <c r="R309" s="148" t="s">
        <v>776</v>
      </c>
      <c r="S309" s="148" t="s">
        <v>132</v>
      </c>
      <c r="T309" s="148" t="s">
        <v>119</v>
      </c>
      <c r="U309" s="148" t="s">
        <v>126</v>
      </c>
      <c r="V309" s="145">
        <f t="shared" si="57"/>
        <v>159</v>
      </c>
      <c r="W309" s="149"/>
      <c r="X309" s="145">
        <f t="shared" si="58"/>
        <v>220</v>
      </c>
      <c r="Y309">
        <f ca="1" t="shared" si="59"/>
        <v>0.24686478313072</v>
      </c>
      <c r="Z309" s="199"/>
      <c r="AA309" s="199"/>
      <c r="AB309" s="199"/>
      <c r="AC309" s="199"/>
      <c r="AD309" s="199"/>
      <c r="AE309" s="199"/>
      <c r="AF309" s="199"/>
      <c r="AG309" s="199"/>
      <c r="AH309" s="199"/>
      <c r="AI309" s="199"/>
      <c r="AJ309" s="199"/>
      <c r="AK309" s="199"/>
      <c r="AL309" s="199"/>
    </row>
    <row r="310" spans="1:38">
      <c r="A310" s="197" t="s">
        <v>1406</v>
      </c>
      <c r="B310" s="153">
        <v>324</v>
      </c>
      <c r="C310" s="154" t="s">
        <v>1033</v>
      </c>
      <c r="D310" s="144">
        <v>14</v>
      </c>
      <c r="E310" s="145">
        <v>89</v>
      </c>
      <c r="F310" s="145">
        <v>60</v>
      </c>
      <c r="G310" s="145">
        <v>77</v>
      </c>
      <c r="H310" s="145">
        <v>59</v>
      </c>
      <c r="I310" s="145">
        <v>51</v>
      </c>
      <c r="J310" s="145">
        <f t="shared" si="56"/>
        <v>336</v>
      </c>
      <c r="K310" s="145">
        <v>61</v>
      </c>
      <c r="L310" s="147" t="s">
        <v>115</v>
      </c>
      <c r="M310" s="147" t="s">
        <v>114</v>
      </c>
      <c r="N310" s="147" t="s">
        <v>130</v>
      </c>
      <c r="O310" s="147" t="s">
        <v>130</v>
      </c>
      <c r="P310" s="147" t="s">
        <v>114</v>
      </c>
      <c r="Q310" s="147" t="s">
        <v>115</v>
      </c>
      <c r="R310" s="158" t="s">
        <v>178</v>
      </c>
      <c r="S310" s="148" t="s">
        <v>132</v>
      </c>
      <c r="T310" s="148" t="s">
        <v>119</v>
      </c>
      <c r="U310" s="148" t="s">
        <v>126</v>
      </c>
      <c r="V310" s="145">
        <f t="shared" si="57"/>
        <v>149</v>
      </c>
      <c r="W310" s="148" t="s">
        <v>179</v>
      </c>
      <c r="X310" s="145">
        <f t="shared" si="58"/>
        <v>226</v>
      </c>
      <c r="Y310">
        <f ca="1" t="shared" si="59"/>
        <v>0.668911605245961</v>
      </c>
      <c r="Z310" s="199"/>
      <c r="AA310" s="199"/>
      <c r="AB310" s="199"/>
      <c r="AC310" s="199"/>
      <c r="AD310" s="199"/>
      <c r="AE310" s="199"/>
      <c r="AF310" s="199"/>
      <c r="AG310" s="199"/>
      <c r="AH310" s="199"/>
      <c r="AI310" s="199"/>
      <c r="AJ310" s="199"/>
      <c r="AK310" s="199"/>
      <c r="AL310" s="199"/>
    </row>
    <row r="311" spans="1:38">
      <c r="A311" s="198"/>
      <c r="B311" s="153">
        <v>92</v>
      </c>
      <c r="C311" s="154" t="s">
        <v>430</v>
      </c>
      <c r="D311" s="144">
        <v>13</v>
      </c>
      <c r="E311" s="145">
        <v>71</v>
      </c>
      <c r="F311" s="145">
        <v>89</v>
      </c>
      <c r="G311" s="145">
        <v>61</v>
      </c>
      <c r="H311" s="145">
        <v>37</v>
      </c>
      <c r="I311" s="145">
        <v>73</v>
      </c>
      <c r="J311" s="145">
        <f t="shared" si="56"/>
        <v>331</v>
      </c>
      <c r="K311" s="145">
        <v>99</v>
      </c>
      <c r="L311" s="147" t="s">
        <v>124</v>
      </c>
      <c r="M311" s="147" t="s">
        <v>124</v>
      </c>
      <c r="N311" s="147" t="s">
        <v>115</v>
      </c>
      <c r="O311" s="147" t="s">
        <v>124</v>
      </c>
      <c r="P311" s="147" t="s">
        <v>124</v>
      </c>
      <c r="Q311" s="147" t="s">
        <v>114</v>
      </c>
      <c r="R311" s="158" t="s">
        <v>431</v>
      </c>
      <c r="S311" s="148" t="s">
        <v>132</v>
      </c>
      <c r="T311" s="148" t="s">
        <v>133</v>
      </c>
      <c r="U311" s="148" t="s">
        <v>250</v>
      </c>
      <c r="V311" s="145">
        <f t="shared" si="57"/>
        <v>160</v>
      </c>
      <c r="W311" s="148" t="s">
        <v>432</v>
      </c>
      <c r="X311" s="145">
        <f t="shared" si="58"/>
        <v>221</v>
      </c>
      <c r="Y311">
        <f ca="1" t="shared" si="59"/>
        <v>0.836571757312553</v>
      </c>
      <c r="Z311" s="199"/>
      <c r="AA311" s="199"/>
      <c r="AB311" s="199"/>
      <c r="AC311" s="199"/>
      <c r="AD311" s="199"/>
      <c r="AE311" s="199"/>
      <c r="AF311" s="199"/>
      <c r="AG311" s="199"/>
      <c r="AH311" s="199"/>
      <c r="AI311" s="199"/>
      <c r="AJ311" s="199"/>
      <c r="AK311" s="199"/>
      <c r="AL311" s="199"/>
    </row>
    <row r="312" spans="1:38">
      <c r="A312" s="198"/>
      <c r="B312" s="153">
        <v>578</v>
      </c>
      <c r="C312" s="156" t="s">
        <v>889</v>
      </c>
      <c r="D312" s="144">
        <v>12</v>
      </c>
      <c r="E312" s="145">
        <v>90</v>
      </c>
      <c r="F312" s="145">
        <v>57</v>
      </c>
      <c r="G312" s="145">
        <v>78</v>
      </c>
      <c r="H312" s="145">
        <v>93</v>
      </c>
      <c r="I312" s="145">
        <v>94</v>
      </c>
      <c r="J312" s="145">
        <f t="shared" si="56"/>
        <v>412</v>
      </c>
      <c r="K312" s="145">
        <v>137</v>
      </c>
      <c r="L312" s="147" t="s">
        <v>130</v>
      </c>
      <c r="M312" s="147" t="s">
        <v>115</v>
      </c>
      <c r="N312" s="147" t="s">
        <v>115</v>
      </c>
      <c r="O312" s="147" t="s">
        <v>124</v>
      </c>
      <c r="P312" s="147" t="s">
        <v>114</v>
      </c>
      <c r="Q312" s="147" t="s">
        <v>130</v>
      </c>
      <c r="R312" s="148" t="s">
        <v>624</v>
      </c>
      <c r="S312" s="148" t="s">
        <v>132</v>
      </c>
      <c r="T312" s="148" t="s">
        <v>119</v>
      </c>
      <c r="U312" s="148" t="s">
        <v>120</v>
      </c>
      <c r="V312" s="145">
        <f t="shared" si="57"/>
        <v>147</v>
      </c>
      <c r="W312" s="149"/>
      <c r="X312" s="145">
        <f t="shared" si="58"/>
        <v>225</v>
      </c>
      <c r="Y312">
        <f ca="1" t="shared" si="59"/>
        <v>0.967286202522978</v>
      </c>
      <c r="Z312" s="199"/>
      <c r="AA312" s="199"/>
      <c r="AB312" s="199"/>
      <c r="AC312" s="199"/>
      <c r="AD312" s="199"/>
      <c r="AE312" s="199"/>
      <c r="AF312" s="199"/>
      <c r="AG312" s="199"/>
      <c r="AH312" s="199"/>
      <c r="AI312" s="199"/>
      <c r="AJ312" s="199"/>
      <c r="AK312" s="199"/>
      <c r="AL312" s="199"/>
    </row>
    <row r="313" spans="1:38">
      <c r="A313" s="198"/>
      <c r="B313" s="153">
        <v>457</v>
      </c>
      <c r="C313" s="154" t="s">
        <v>497</v>
      </c>
      <c r="D313" s="144">
        <v>1</v>
      </c>
      <c r="E313" s="145">
        <v>25</v>
      </c>
      <c r="F313" s="145">
        <v>16</v>
      </c>
      <c r="G313" s="145">
        <v>84</v>
      </c>
      <c r="H313" s="145">
        <v>79</v>
      </c>
      <c r="I313" s="145">
        <v>64</v>
      </c>
      <c r="J313" s="145">
        <f t="shared" si="56"/>
        <v>268</v>
      </c>
      <c r="K313" s="145">
        <v>13</v>
      </c>
      <c r="L313" s="147" t="s">
        <v>124</v>
      </c>
      <c r="M313" s="147" t="s">
        <v>124</v>
      </c>
      <c r="N313" s="147" t="s">
        <v>124</v>
      </c>
      <c r="O313" s="147" t="s">
        <v>124</v>
      </c>
      <c r="P313" s="147" t="s">
        <v>124</v>
      </c>
      <c r="Q313" s="147" t="s">
        <v>124</v>
      </c>
      <c r="R313" s="148" t="s">
        <v>314</v>
      </c>
      <c r="S313" s="148" t="s">
        <v>119</v>
      </c>
      <c r="T313" s="148" t="s">
        <v>119</v>
      </c>
      <c r="U313" s="148" t="s">
        <v>148</v>
      </c>
      <c r="V313" s="145">
        <f t="shared" si="57"/>
        <v>41</v>
      </c>
      <c r="W313" s="149"/>
      <c r="X313" s="145">
        <f t="shared" si="58"/>
        <v>125</v>
      </c>
      <c r="Y313">
        <f ca="1" t="shared" si="59"/>
        <v>0.0320412303348574</v>
      </c>
      <c r="Z313" s="199"/>
      <c r="AA313" s="199"/>
      <c r="AB313" s="199"/>
      <c r="AC313" s="199"/>
      <c r="AD313" s="199"/>
      <c r="AE313" s="199"/>
      <c r="AF313" s="199"/>
      <c r="AG313" s="199"/>
      <c r="AH313" s="199"/>
      <c r="AI313" s="199"/>
      <c r="AJ313" s="199"/>
      <c r="AK313" s="199"/>
      <c r="AL313" s="199"/>
    </row>
    <row r="314" spans="1:38">
      <c r="A314" s="198"/>
      <c r="B314" s="153">
        <v>649</v>
      </c>
      <c r="C314" s="154" t="s">
        <v>622</v>
      </c>
      <c r="D314" s="144">
        <v>5</v>
      </c>
      <c r="E314" s="145">
        <v>64</v>
      </c>
      <c r="F314" s="145">
        <v>53</v>
      </c>
      <c r="G314" s="145">
        <v>74</v>
      </c>
      <c r="H314" s="145">
        <v>87</v>
      </c>
      <c r="I314" s="145">
        <v>94</v>
      </c>
      <c r="J314" s="145">
        <f t="shared" si="56"/>
        <v>372</v>
      </c>
      <c r="K314" s="145">
        <v>59</v>
      </c>
      <c r="L314" s="147" t="s">
        <v>130</v>
      </c>
      <c r="M314" s="147" t="s">
        <v>130</v>
      </c>
      <c r="N314" s="147" t="s">
        <v>114</v>
      </c>
      <c r="O314" s="147" t="s">
        <v>124</v>
      </c>
      <c r="P314" s="147" t="s">
        <v>130</v>
      </c>
      <c r="Q314" s="147" t="s">
        <v>130</v>
      </c>
      <c r="R314" s="148" t="s">
        <v>321</v>
      </c>
      <c r="S314" s="148" t="s">
        <v>118</v>
      </c>
      <c r="T314" s="148" t="s">
        <v>119</v>
      </c>
      <c r="U314" s="148" t="s">
        <v>126</v>
      </c>
      <c r="V314" s="145">
        <f t="shared" si="57"/>
        <v>117</v>
      </c>
      <c r="W314" s="149"/>
      <c r="X314" s="145">
        <f t="shared" si="58"/>
        <v>191</v>
      </c>
      <c r="Y314">
        <f ca="1" t="shared" si="59"/>
        <v>0.572751777371984</v>
      </c>
      <c r="Z314" s="199"/>
      <c r="AA314" s="199"/>
      <c r="AB314" s="199"/>
      <c r="AC314" s="199"/>
      <c r="AD314" s="199"/>
      <c r="AE314" s="199"/>
      <c r="AF314" s="199"/>
      <c r="AG314" s="199"/>
      <c r="AH314" s="199"/>
      <c r="AI314" s="199"/>
      <c r="AJ314" s="199"/>
      <c r="AK314" s="199"/>
      <c r="AL314" s="199"/>
    </row>
    <row r="315" spans="1:38">
      <c r="A315" s="198"/>
      <c r="B315" s="153">
        <v>44</v>
      </c>
      <c r="C315" s="154" t="s">
        <v>287</v>
      </c>
      <c r="D315" s="144">
        <v>9</v>
      </c>
      <c r="E315" s="145">
        <v>56</v>
      </c>
      <c r="F315" s="145">
        <v>51</v>
      </c>
      <c r="G315" s="145">
        <v>79</v>
      </c>
      <c r="H315" s="145">
        <v>92</v>
      </c>
      <c r="I315" s="145">
        <v>96</v>
      </c>
      <c r="J315" s="145">
        <f t="shared" si="56"/>
        <v>374</v>
      </c>
      <c r="K315" s="145">
        <v>18</v>
      </c>
      <c r="L315" s="147" t="s">
        <v>124</v>
      </c>
      <c r="M315" s="147" t="s">
        <v>124</v>
      </c>
      <c r="N315" s="147" t="s">
        <v>130</v>
      </c>
      <c r="O315" s="147" t="s">
        <v>124</v>
      </c>
      <c r="P315" s="147" t="s">
        <v>124</v>
      </c>
      <c r="Q315" s="147" t="s">
        <v>124</v>
      </c>
      <c r="R315" s="148" t="s">
        <v>281</v>
      </c>
      <c r="S315" s="148" t="s">
        <v>132</v>
      </c>
      <c r="T315" s="148" t="s">
        <v>136</v>
      </c>
      <c r="U315" s="148" t="s">
        <v>120</v>
      </c>
      <c r="V315" s="145">
        <f t="shared" si="57"/>
        <v>107</v>
      </c>
      <c r="W315" s="149"/>
      <c r="X315" s="145">
        <f t="shared" si="58"/>
        <v>186</v>
      </c>
      <c r="Y315">
        <f ca="1" t="shared" si="59"/>
        <v>0.870679024695019</v>
      </c>
      <c r="Z315" s="199"/>
      <c r="AA315" s="199"/>
      <c r="AB315" s="199"/>
      <c r="AC315" s="199"/>
      <c r="AD315" s="199"/>
      <c r="AE315" s="199"/>
      <c r="AF315" s="199"/>
      <c r="AG315" s="199"/>
      <c r="AH315" s="199"/>
      <c r="AI315" s="199"/>
      <c r="AJ315" s="199"/>
      <c r="AK315" s="199"/>
      <c r="AL315" s="199"/>
    </row>
    <row r="316" spans="1:38">
      <c r="A316" s="198"/>
      <c r="B316" s="153">
        <v>323</v>
      </c>
      <c r="C316" s="154" t="s">
        <v>668</v>
      </c>
      <c r="D316" s="144">
        <v>7</v>
      </c>
      <c r="E316" s="145">
        <v>84</v>
      </c>
      <c r="F316" s="145">
        <v>68</v>
      </c>
      <c r="G316" s="145">
        <v>80</v>
      </c>
      <c r="H316" s="145">
        <v>75</v>
      </c>
      <c r="I316" s="145">
        <v>84</v>
      </c>
      <c r="J316" s="145">
        <f t="shared" si="56"/>
        <v>391</v>
      </c>
      <c r="K316" s="145">
        <v>65</v>
      </c>
      <c r="L316" s="147" t="s">
        <v>114</v>
      </c>
      <c r="M316" s="147" t="s">
        <v>114</v>
      </c>
      <c r="N316" s="147" t="s">
        <v>114</v>
      </c>
      <c r="O316" s="147" t="s">
        <v>130</v>
      </c>
      <c r="P316" s="147" t="s">
        <v>130</v>
      </c>
      <c r="Q316" s="147" t="s">
        <v>115</v>
      </c>
      <c r="R316" s="148" t="s">
        <v>198</v>
      </c>
      <c r="S316" s="148" t="s">
        <v>118</v>
      </c>
      <c r="T316" s="148" t="s">
        <v>119</v>
      </c>
      <c r="U316" s="148" t="s">
        <v>120</v>
      </c>
      <c r="V316" s="145">
        <f t="shared" si="57"/>
        <v>152</v>
      </c>
      <c r="W316" s="149"/>
      <c r="X316" s="145">
        <f t="shared" si="58"/>
        <v>232</v>
      </c>
      <c r="Y316">
        <f ca="1" t="shared" si="59"/>
        <v>0.586174761350353</v>
      </c>
      <c r="Z316" s="199"/>
      <c r="AA316" s="199"/>
      <c r="AB316" s="199"/>
      <c r="AC316" s="199"/>
      <c r="AD316" s="199"/>
      <c r="AE316" s="199"/>
      <c r="AF316" s="199"/>
      <c r="AG316" s="199"/>
      <c r="AH316" s="199"/>
      <c r="AI316" s="199"/>
      <c r="AJ316" s="199"/>
      <c r="AK316" s="199"/>
      <c r="AL316" s="199"/>
    </row>
    <row r="317" spans="1:38">
      <c r="A317" s="198"/>
      <c r="B317" s="153">
        <v>509</v>
      </c>
      <c r="C317" s="154" t="s">
        <v>813</v>
      </c>
      <c r="D317" s="144">
        <v>10</v>
      </c>
      <c r="E317" s="145">
        <v>74</v>
      </c>
      <c r="F317" s="145">
        <v>93</v>
      </c>
      <c r="G317" s="145">
        <v>42</v>
      </c>
      <c r="H317" s="145">
        <v>49</v>
      </c>
      <c r="I317" s="145">
        <v>60</v>
      </c>
      <c r="J317" s="145">
        <f t="shared" si="56"/>
        <v>318</v>
      </c>
      <c r="K317" s="145">
        <v>41</v>
      </c>
      <c r="L317" s="147" t="s">
        <v>114</v>
      </c>
      <c r="M317" s="147" t="s">
        <v>114</v>
      </c>
      <c r="N317" s="147" t="s">
        <v>130</v>
      </c>
      <c r="O317" s="147" t="s">
        <v>130</v>
      </c>
      <c r="P317" s="147" t="s">
        <v>130</v>
      </c>
      <c r="Q317" s="147" t="s">
        <v>124</v>
      </c>
      <c r="R317" s="148" t="s">
        <v>592</v>
      </c>
      <c r="S317" s="148" t="s">
        <v>118</v>
      </c>
      <c r="T317" s="148" t="s">
        <v>119</v>
      </c>
      <c r="U317" s="148" t="s">
        <v>250</v>
      </c>
      <c r="V317" s="145">
        <f t="shared" si="57"/>
        <v>167</v>
      </c>
      <c r="W317" s="149"/>
      <c r="X317" s="145">
        <f t="shared" si="58"/>
        <v>209</v>
      </c>
      <c r="Y317">
        <f ca="1" t="shared" si="59"/>
        <v>0.548381617863696</v>
      </c>
      <c r="Z317" s="199"/>
      <c r="AA317" s="199"/>
      <c r="AB317" s="199"/>
      <c r="AC317" s="199"/>
      <c r="AD317" s="199"/>
      <c r="AE317" s="199"/>
      <c r="AF317" s="199"/>
      <c r="AG317" s="199"/>
      <c r="AH317" s="199"/>
      <c r="AI317" s="199"/>
      <c r="AJ317" s="199"/>
      <c r="AK317" s="199"/>
      <c r="AL317" s="199"/>
    </row>
    <row r="318" spans="1:38">
      <c r="A318" s="198"/>
      <c r="B318" s="153">
        <v>37</v>
      </c>
      <c r="C318" s="154" t="s">
        <v>244</v>
      </c>
      <c r="D318" s="144">
        <v>6</v>
      </c>
      <c r="E318" s="145">
        <v>80</v>
      </c>
      <c r="F318" s="145">
        <v>74</v>
      </c>
      <c r="G318" s="145">
        <v>73</v>
      </c>
      <c r="H318" s="145">
        <v>74</v>
      </c>
      <c r="I318" s="145">
        <v>61</v>
      </c>
      <c r="J318" s="145">
        <f t="shared" si="56"/>
        <v>362</v>
      </c>
      <c r="K318" s="145">
        <v>28</v>
      </c>
      <c r="L318" s="147" t="s">
        <v>130</v>
      </c>
      <c r="M318" s="147" t="s">
        <v>130</v>
      </c>
      <c r="N318" s="147" t="s">
        <v>114</v>
      </c>
      <c r="O318" s="147" t="s">
        <v>124</v>
      </c>
      <c r="P318" s="147" t="s">
        <v>115</v>
      </c>
      <c r="Q318" s="147" t="s">
        <v>115</v>
      </c>
      <c r="R318" s="148" t="s">
        <v>245</v>
      </c>
      <c r="S318" s="148" t="s">
        <v>119</v>
      </c>
      <c r="T318" s="148" t="s">
        <v>136</v>
      </c>
      <c r="U318" s="148" t="s">
        <v>126</v>
      </c>
      <c r="V318" s="145">
        <f t="shared" si="57"/>
        <v>154</v>
      </c>
      <c r="W318" s="149"/>
      <c r="X318" s="145">
        <f t="shared" si="58"/>
        <v>227</v>
      </c>
      <c r="Y318">
        <f ca="1" t="shared" si="59"/>
        <v>0.31484052214301</v>
      </c>
      <c r="Z318" s="199"/>
      <c r="AA318" s="199"/>
      <c r="AB318" s="199"/>
      <c r="AC318" s="199"/>
      <c r="AD318" s="199"/>
      <c r="AE318" s="199"/>
      <c r="AF318" s="199"/>
      <c r="AG318" s="199"/>
      <c r="AH318" s="199"/>
      <c r="AI318" s="199"/>
      <c r="AJ318" s="199"/>
      <c r="AK318" s="199"/>
      <c r="AL318" s="199"/>
    </row>
    <row r="319" spans="1:38">
      <c r="A319" s="198"/>
      <c r="B319" s="153">
        <v>631</v>
      </c>
      <c r="C319" s="154" t="s">
        <v>343</v>
      </c>
      <c r="D319" s="144">
        <v>2</v>
      </c>
      <c r="E319" s="145">
        <v>33</v>
      </c>
      <c r="F319" s="145">
        <v>40</v>
      </c>
      <c r="G319" s="145">
        <v>74</v>
      </c>
      <c r="H319" s="145">
        <v>80</v>
      </c>
      <c r="I319" s="145">
        <v>85</v>
      </c>
      <c r="J319" s="145">
        <f t="shared" ref="J319:J336" si="60">SUM(E319:I319)</f>
        <v>312</v>
      </c>
      <c r="K319" s="145">
        <v>61</v>
      </c>
      <c r="L319" s="147" t="s">
        <v>124</v>
      </c>
      <c r="M319" s="147" t="s">
        <v>124</v>
      </c>
      <c r="N319" s="147" t="s">
        <v>124</v>
      </c>
      <c r="O319" s="147" t="s">
        <v>124</v>
      </c>
      <c r="P319" s="147" t="s">
        <v>124</v>
      </c>
      <c r="Q319" s="147" t="s">
        <v>124</v>
      </c>
      <c r="R319" s="148" t="s">
        <v>344</v>
      </c>
      <c r="S319" s="148" t="s">
        <v>132</v>
      </c>
      <c r="T319" s="148" t="s">
        <v>133</v>
      </c>
      <c r="U319" s="148" t="s">
        <v>126</v>
      </c>
      <c r="V319" s="145">
        <f t="shared" ref="V319:V336" si="61">E319+F319</f>
        <v>73</v>
      </c>
      <c r="W319" s="149"/>
      <c r="X319" s="145">
        <f t="shared" ref="X319:X336" si="62">E319+F319+G319</f>
        <v>147</v>
      </c>
      <c r="Y319">
        <f ca="1" t="shared" ref="Y319:Y336" si="63">RAND()</f>
        <v>0.702404730866338</v>
      </c>
      <c r="Z319" s="199"/>
      <c r="AA319" s="199"/>
      <c r="AB319" s="199"/>
      <c r="AC319" s="199"/>
      <c r="AD319" s="199"/>
      <c r="AE319" s="199"/>
      <c r="AF319" s="199"/>
      <c r="AG319" s="199"/>
      <c r="AH319" s="199"/>
      <c r="AI319" s="199"/>
      <c r="AJ319" s="199"/>
      <c r="AK319" s="199"/>
      <c r="AL319" s="199"/>
    </row>
    <row r="320" spans="1:38">
      <c r="A320" s="198"/>
      <c r="B320" s="153">
        <v>93</v>
      </c>
      <c r="C320" s="154" t="s">
        <v>660</v>
      </c>
      <c r="D320" s="144">
        <v>2</v>
      </c>
      <c r="E320" s="145">
        <v>58</v>
      </c>
      <c r="F320" s="145">
        <v>64</v>
      </c>
      <c r="G320" s="145">
        <v>71</v>
      </c>
      <c r="H320" s="145">
        <v>73</v>
      </c>
      <c r="I320" s="145">
        <v>85</v>
      </c>
      <c r="J320" s="145">
        <f t="shared" si="60"/>
        <v>351</v>
      </c>
      <c r="K320" s="145">
        <v>102</v>
      </c>
      <c r="L320" s="147" t="s">
        <v>124</v>
      </c>
      <c r="M320" s="147" t="s">
        <v>124</v>
      </c>
      <c r="N320" s="147" t="s">
        <v>124</v>
      </c>
      <c r="O320" s="147" t="s">
        <v>124</v>
      </c>
      <c r="P320" s="147" t="s">
        <v>130</v>
      </c>
      <c r="Q320" s="147" t="s">
        <v>130</v>
      </c>
      <c r="R320" s="148" t="s">
        <v>321</v>
      </c>
      <c r="S320" s="148" t="s">
        <v>118</v>
      </c>
      <c r="T320" s="148" t="s">
        <v>133</v>
      </c>
      <c r="U320" s="148" t="s">
        <v>120</v>
      </c>
      <c r="V320" s="145">
        <f t="shared" si="61"/>
        <v>122</v>
      </c>
      <c r="W320" s="149"/>
      <c r="X320" s="145">
        <f t="shared" si="62"/>
        <v>193</v>
      </c>
      <c r="Y320">
        <f ca="1" t="shared" si="63"/>
        <v>0.34557020735124</v>
      </c>
      <c r="Z320" s="199"/>
      <c r="AA320" s="199"/>
      <c r="AB320" s="199"/>
      <c r="AC320" s="199"/>
      <c r="AD320" s="199"/>
      <c r="AE320" s="199"/>
      <c r="AF320" s="199"/>
      <c r="AG320" s="199"/>
      <c r="AH320" s="199"/>
      <c r="AI320" s="199"/>
      <c r="AJ320" s="199"/>
      <c r="AK320" s="199"/>
      <c r="AL320" s="199"/>
    </row>
    <row r="321" spans="1:38">
      <c r="A321" s="198"/>
      <c r="B321" s="153">
        <v>333</v>
      </c>
      <c r="C321" s="154" t="s">
        <v>350</v>
      </c>
      <c r="D321" s="144">
        <v>1</v>
      </c>
      <c r="E321" s="145">
        <v>34</v>
      </c>
      <c r="F321" s="145">
        <v>23</v>
      </c>
      <c r="G321" s="145">
        <v>84</v>
      </c>
      <c r="H321" s="145">
        <v>78</v>
      </c>
      <c r="I321" s="145">
        <v>83</v>
      </c>
      <c r="J321" s="145">
        <f t="shared" si="60"/>
        <v>302</v>
      </c>
      <c r="K321" s="145">
        <v>67</v>
      </c>
      <c r="L321" s="147" t="s">
        <v>124</v>
      </c>
      <c r="M321" s="147" t="s">
        <v>124</v>
      </c>
      <c r="N321" s="147" t="s">
        <v>124</v>
      </c>
      <c r="O321" s="147" t="s">
        <v>124</v>
      </c>
      <c r="P321" s="147" t="s">
        <v>124</v>
      </c>
      <c r="Q321" s="147" t="s">
        <v>124</v>
      </c>
      <c r="R321" s="148" t="s">
        <v>342</v>
      </c>
      <c r="S321" s="148" t="s">
        <v>118</v>
      </c>
      <c r="T321" s="148" t="s">
        <v>119</v>
      </c>
      <c r="U321" s="148" t="s">
        <v>120</v>
      </c>
      <c r="V321" s="145">
        <f t="shared" si="61"/>
        <v>57</v>
      </c>
      <c r="W321" s="149"/>
      <c r="X321" s="145">
        <f t="shared" si="62"/>
        <v>141</v>
      </c>
      <c r="Y321">
        <f ca="1" t="shared" si="63"/>
        <v>0.0842541061161457</v>
      </c>
      <c r="Z321" s="199"/>
      <c r="AA321" s="199"/>
      <c r="AB321" s="199"/>
      <c r="AC321" s="199"/>
      <c r="AD321" s="199"/>
      <c r="AE321" s="199"/>
      <c r="AF321" s="199"/>
      <c r="AG321" s="199"/>
      <c r="AH321" s="199"/>
      <c r="AI321" s="199"/>
      <c r="AJ321" s="199"/>
      <c r="AK321" s="199"/>
      <c r="AL321" s="199"/>
    </row>
    <row r="322" spans="1:38">
      <c r="A322" s="198"/>
      <c r="B322" s="153">
        <v>297</v>
      </c>
      <c r="C322" s="154" t="s">
        <v>857</v>
      </c>
      <c r="D322" s="144">
        <v>9</v>
      </c>
      <c r="E322" s="145">
        <v>47</v>
      </c>
      <c r="F322" s="145">
        <v>39</v>
      </c>
      <c r="G322" s="145">
        <v>93</v>
      </c>
      <c r="H322" s="145">
        <v>78</v>
      </c>
      <c r="I322" s="145">
        <v>47</v>
      </c>
      <c r="J322" s="145">
        <f t="shared" si="60"/>
        <v>304</v>
      </c>
      <c r="K322" s="145">
        <v>137</v>
      </c>
      <c r="L322" s="147" t="s">
        <v>124</v>
      </c>
      <c r="M322" s="147" t="s">
        <v>130</v>
      </c>
      <c r="N322" s="147" t="s">
        <v>124</v>
      </c>
      <c r="O322" s="147" t="s">
        <v>130</v>
      </c>
      <c r="P322" s="147" t="s">
        <v>130</v>
      </c>
      <c r="Q322" s="147" t="s">
        <v>124</v>
      </c>
      <c r="R322" s="158" t="s">
        <v>296</v>
      </c>
      <c r="S322" s="148" t="s">
        <v>119</v>
      </c>
      <c r="T322" s="148" t="s">
        <v>119</v>
      </c>
      <c r="U322" s="148" t="s">
        <v>120</v>
      </c>
      <c r="V322" s="145">
        <f t="shared" si="61"/>
        <v>86</v>
      </c>
      <c r="W322" s="148" t="s">
        <v>297</v>
      </c>
      <c r="X322" s="145">
        <f t="shared" si="62"/>
        <v>179</v>
      </c>
      <c r="Y322">
        <f ca="1" t="shared" si="63"/>
        <v>0.414174297426212</v>
      </c>
      <c r="Z322" s="199"/>
      <c r="AA322" s="199"/>
      <c r="AB322" s="199"/>
      <c r="AC322" s="199"/>
      <c r="AD322" s="199"/>
      <c r="AE322" s="199"/>
      <c r="AF322" s="199"/>
      <c r="AG322" s="199"/>
      <c r="AH322" s="199"/>
      <c r="AI322" s="199"/>
      <c r="AJ322" s="199"/>
      <c r="AK322" s="199"/>
      <c r="AL322" s="199"/>
    </row>
    <row r="323" spans="1:38">
      <c r="A323" s="197" t="s">
        <v>1407</v>
      </c>
      <c r="B323" s="153">
        <v>314</v>
      </c>
      <c r="C323" s="154" t="s">
        <v>681</v>
      </c>
      <c r="D323" s="144">
        <v>13</v>
      </c>
      <c r="E323" s="145">
        <v>71</v>
      </c>
      <c r="F323" s="145">
        <v>78</v>
      </c>
      <c r="G323" s="145">
        <v>65</v>
      </c>
      <c r="H323" s="145">
        <v>57</v>
      </c>
      <c r="I323" s="145">
        <v>82</v>
      </c>
      <c r="J323" s="145">
        <f t="shared" si="60"/>
        <v>353</v>
      </c>
      <c r="K323" s="145">
        <v>85</v>
      </c>
      <c r="L323" s="147" t="s">
        <v>114</v>
      </c>
      <c r="M323" s="147" t="s">
        <v>114</v>
      </c>
      <c r="N323" s="147" t="s">
        <v>130</v>
      </c>
      <c r="O323" s="147" t="s">
        <v>124</v>
      </c>
      <c r="P323" s="147" t="s">
        <v>130</v>
      </c>
      <c r="Q323" s="147" t="s">
        <v>124</v>
      </c>
      <c r="R323" s="148" t="s">
        <v>483</v>
      </c>
      <c r="S323" s="148" t="s">
        <v>119</v>
      </c>
      <c r="T323" s="148" t="s">
        <v>136</v>
      </c>
      <c r="U323" s="148" t="s">
        <v>126</v>
      </c>
      <c r="V323" s="145">
        <f t="shared" si="61"/>
        <v>149</v>
      </c>
      <c r="W323" s="149"/>
      <c r="X323" s="145">
        <f t="shared" si="62"/>
        <v>214</v>
      </c>
      <c r="Y323">
        <f ca="1" t="shared" si="63"/>
        <v>0.85898621170525</v>
      </c>
      <c r="Z323" s="199"/>
      <c r="AA323" s="199"/>
      <c r="AB323" s="199"/>
      <c r="AC323" s="199"/>
      <c r="AD323" s="199"/>
      <c r="AE323" s="199"/>
      <c r="AF323" s="199"/>
      <c r="AG323" s="199"/>
      <c r="AH323" s="199"/>
      <c r="AI323" s="199"/>
      <c r="AJ323" s="199"/>
      <c r="AK323" s="199"/>
      <c r="AL323" s="199"/>
    </row>
    <row r="324" spans="1:38">
      <c r="A324" s="198"/>
      <c r="B324" s="153">
        <v>322</v>
      </c>
      <c r="C324" s="154" t="s">
        <v>229</v>
      </c>
      <c r="D324" s="144">
        <v>13</v>
      </c>
      <c r="E324" s="145">
        <v>88</v>
      </c>
      <c r="F324" s="145">
        <v>82</v>
      </c>
      <c r="G324" s="145">
        <v>80</v>
      </c>
      <c r="H324" s="145">
        <v>50</v>
      </c>
      <c r="I324" s="145">
        <v>65</v>
      </c>
      <c r="J324" s="145">
        <f t="shared" si="60"/>
        <v>365</v>
      </c>
      <c r="K324" s="145">
        <v>62</v>
      </c>
      <c r="L324" s="147" t="s">
        <v>114</v>
      </c>
      <c r="M324" s="147" t="s">
        <v>115</v>
      </c>
      <c r="N324" s="147" t="s">
        <v>130</v>
      </c>
      <c r="O324" s="147" t="s">
        <v>130</v>
      </c>
      <c r="P324" s="147" t="s">
        <v>115</v>
      </c>
      <c r="Q324" s="147" t="s">
        <v>114</v>
      </c>
      <c r="R324" s="148" t="s">
        <v>230</v>
      </c>
      <c r="S324" s="148" t="s">
        <v>132</v>
      </c>
      <c r="T324" s="148" t="s">
        <v>119</v>
      </c>
      <c r="U324" s="148" t="s">
        <v>120</v>
      </c>
      <c r="V324" s="145">
        <f t="shared" si="61"/>
        <v>170</v>
      </c>
      <c r="W324" s="149"/>
      <c r="X324" s="145">
        <f t="shared" si="62"/>
        <v>250</v>
      </c>
      <c r="Y324">
        <f ca="1" t="shared" si="63"/>
        <v>0.444671803932478</v>
      </c>
      <c r="Z324" s="199"/>
      <c r="AA324" s="199"/>
      <c r="AB324" s="199"/>
      <c r="AC324" s="199"/>
      <c r="AD324" s="199"/>
      <c r="AE324" s="199"/>
      <c r="AF324" s="199"/>
      <c r="AG324" s="199"/>
      <c r="AH324" s="199"/>
      <c r="AI324" s="199"/>
      <c r="AJ324" s="199"/>
      <c r="AK324" s="199"/>
      <c r="AL324" s="199"/>
    </row>
    <row r="325" spans="1:38">
      <c r="A325" s="198"/>
      <c r="B325" s="153">
        <v>664</v>
      </c>
      <c r="C325" s="154" t="s">
        <v>777</v>
      </c>
      <c r="D325" s="144">
        <v>11</v>
      </c>
      <c r="E325" s="145">
        <v>73</v>
      </c>
      <c r="F325" s="145">
        <v>93</v>
      </c>
      <c r="G325" s="145">
        <v>51</v>
      </c>
      <c r="H325" s="145">
        <v>47</v>
      </c>
      <c r="I325" s="145">
        <v>68</v>
      </c>
      <c r="J325" s="145">
        <f t="shared" si="60"/>
        <v>332</v>
      </c>
      <c r="K325" s="145">
        <v>58</v>
      </c>
      <c r="L325" s="147" t="s">
        <v>130</v>
      </c>
      <c r="M325" s="147" t="s">
        <v>115</v>
      </c>
      <c r="N325" s="147" t="s">
        <v>114</v>
      </c>
      <c r="O325" s="147" t="s">
        <v>130</v>
      </c>
      <c r="P325" s="147" t="s">
        <v>130</v>
      </c>
      <c r="Q325" s="147" t="s">
        <v>114</v>
      </c>
      <c r="R325" s="148" t="s">
        <v>309</v>
      </c>
      <c r="S325" s="148" t="s">
        <v>132</v>
      </c>
      <c r="T325" s="148" t="s">
        <v>136</v>
      </c>
      <c r="U325" s="148" t="s">
        <v>250</v>
      </c>
      <c r="V325" s="145">
        <f t="shared" si="61"/>
        <v>166</v>
      </c>
      <c r="W325" s="149"/>
      <c r="X325" s="145">
        <f t="shared" si="62"/>
        <v>217</v>
      </c>
      <c r="Y325">
        <f ca="1" t="shared" si="63"/>
        <v>0.276465378253838</v>
      </c>
      <c r="Z325" s="199"/>
      <c r="AA325" s="199"/>
      <c r="AB325" s="199"/>
      <c r="AC325" s="199"/>
      <c r="AD325" s="199"/>
      <c r="AE325" s="199"/>
      <c r="AF325" s="199"/>
      <c r="AG325" s="199"/>
      <c r="AH325" s="199"/>
      <c r="AI325" s="199"/>
      <c r="AJ325" s="199"/>
      <c r="AK325" s="199"/>
      <c r="AL325" s="199"/>
    </row>
    <row r="326" spans="1:38">
      <c r="A326" s="198"/>
      <c r="B326" s="153">
        <v>413</v>
      </c>
      <c r="C326" s="154" t="s">
        <v>728</v>
      </c>
      <c r="D326" s="144">
        <v>9</v>
      </c>
      <c r="E326" s="145">
        <v>80</v>
      </c>
      <c r="F326" s="145">
        <v>86</v>
      </c>
      <c r="G326" s="145">
        <v>57</v>
      </c>
      <c r="H326" s="145">
        <v>68</v>
      </c>
      <c r="I326" s="145">
        <v>75</v>
      </c>
      <c r="J326" s="145">
        <f t="shared" si="60"/>
        <v>366</v>
      </c>
      <c r="K326" s="145">
        <v>148</v>
      </c>
      <c r="L326" s="147" t="s">
        <v>130</v>
      </c>
      <c r="M326" s="147" t="s">
        <v>130</v>
      </c>
      <c r="N326" s="147" t="s">
        <v>114</v>
      </c>
      <c r="O326" s="147" t="s">
        <v>115</v>
      </c>
      <c r="P326" s="147" t="s">
        <v>130</v>
      </c>
      <c r="Q326" s="147" t="s">
        <v>124</v>
      </c>
      <c r="R326" s="148" t="s">
        <v>393</v>
      </c>
      <c r="S326" s="148" t="s">
        <v>132</v>
      </c>
      <c r="T326" s="148" t="s">
        <v>119</v>
      </c>
      <c r="U326" s="148" t="s">
        <v>250</v>
      </c>
      <c r="V326" s="145">
        <f t="shared" si="61"/>
        <v>166</v>
      </c>
      <c r="W326" s="149"/>
      <c r="X326" s="145">
        <f t="shared" si="62"/>
        <v>223</v>
      </c>
      <c r="Y326">
        <f ca="1" t="shared" si="63"/>
        <v>0.474919970433887</v>
      </c>
      <c r="Z326" s="199"/>
      <c r="AA326" s="199"/>
      <c r="AB326" s="199"/>
      <c r="AC326" s="199"/>
      <c r="AD326" s="199"/>
      <c r="AE326" s="199"/>
      <c r="AF326" s="199"/>
      <c r="AG326" s="199"/>
      <c r="AH326" s="199"/>
      <c r="AI326" s="199"/>
      <c r="AJ326" s="199"/>
      <c r="AK326" s="199"/>
      <c r="AL326" s="199"/>
    </row>
    <row r="327" spans="1:38">
      <c r="A327" s="198"/>
      <c r="B327" s="153">
        <v>424</v>
      </c>
      <c r="C327" s="154" t="s">
        <v>473</v>
      </c>
      <c r="D327" s="144">
        <v>6</v>
      </c>
      <c r="E327" s="145">
        <v>44</v>
      </c>
      <c r="F327" s="145">
        <v>28</v>
      </c>
      <c r="G327" s="145">
        <v>83</v>
      </c>
      <c r="H327" s="145">
        <v>94</v>
      </c>
      <c r="I327" s="145">
        <v>67</v>
      </c>
      <c r="J327" s="145">
        <f t="shared" si="60"/>
        <v>316</v>
      </c>
      <c r="K327" s="145">
        <v>45</v>
      </c>
      <c r="L327" s="147" t="s">
        <v>124</v>
      </c>
      <c r="M327" s="147" t="s">
        <v>124</v>
      </c>
      <c r="N327" s="147" t="s">
        <v>124</v>
      </c>
      <c r="O327" s="147" t="s">
        <v>124</v>
      </c>
      <c r="P327" s="147" t="s">
        <v>124</v>
      </c>
      <c r="Q327" s="147" t="s">
        <v>124</v>
      </c>
      <c r="R327" s="148" t="s">
        <v>474</v>
      </c>
      <c r="S327" s="148" t="s">
        <v>119</v>
      </c>
      <c r="T327" s="148" t="s">
        <v>145</v>
      </c>
      <c r="U327" s="148" t="s">
        <v>126</v>
      </c>
      <c r="V327" s="145">
        <f t="shared" si="61"/>
        <v>72</v>
      </c>
      <c r="W327" s="149"/>
      <c r="X327" s="145">
        <f t="shared" si="62"/>
        <v>155</v>
      </c>
      <c r="Y327">
        <f ca="1" t="shared" si="63"/>
        <v>0.0883611011420213</v>
      </c>
      <c r="Z327" s="199"/>
      <c r="AA327" s="199"/>
      <c r="AB327" s="199"/>
      <c r="AC327" s="199"/>
      <c r="AD327" s="199"/>
      <c r="AE327" s="199"/>
      <c r="AF327" s="199"/>
      <c r="AG327" s="199"/>
      <c r="AH327" s="199"/>
      <c r="AI327" s="199"/>
      <c r="AJ327" s="199"/>
      <c r="AK327" s="199"/>
      <c r="AL327" s="199"/>
    </row>
    <row r="328" spans="1:38">
      <c r="A328" s="198"/>
      <c r="B328" s="153">
        <v>679</v>
      </c>
      <c r="C328" s="154" t="s">
        <v>971</v>
      </c>
      <c r="D328" s="144">
        <v>7</v>
      </c>
      <c r="E328" s="145">
        <v>82</v>
      </c>
      <c r="F328" s="145">
        <v>72</v>
      </c>
      <c r="G328" s="145">
        <v>72</v>
      </c>
      <c r="H328" s="145">
        <v>69</v>
      </c>
      <c r="I328" s="145">
        <v>71</v>
      </c>
      <c r="J328" s="145">
        <f t="shared" si="60"/>
        <v>366</v>
      </c>
      <c r="K328" s="145">
        <v>90</v>
      </c>
      <c r="L328" s="147" t="s">
        <v>130</v>
      </c>
      <c r="M328" s="147" t="s">
        <v>114</v>
      </c>
      <c r="N328" s="147" t="s">
        <v>114</v>
      </c>
      <c r="O328" s="147" t="s">
        <v>130</v>
      </c>
      <c r="P328" s="147" t="s">
        <v>114</v>
      </c>
      <c r="Q328" s="147" t="s">
        <v>115</v>
      </c>
      <c r="R328" s="148" t="s">
        <v>260</v>
      </c>
      <c r="S328" s="148" t="s">
        <v>132</v>
      </c>
      <c r="T328" s="148" t="s">
        <v>119</v>
      </c>
      <c r="U328" s="148" t="s">
        <v>120</v>
      </c>
      <c r="V328" s="145">
        <f t="shared" si="61"/>
        <v>154</v>
      </c>
      <c r="W328" s="149"/>
      <c r="X328" s="145">
        <f t="shared" si="62"/>
        <v>226</v>
      </c>
      <c r="Y328">
        <f ca="1" t="shared" si="63"/>
        <v>0.299552241263187</v>
      </c>
      <c r="Z328" s="199"/>
      <c r="AA328" s="199"/>
      <c r="AB328" s="199"/>
      <c r="AC328" s="199"/>
      <c r="AD328" s="199"/>
      <c r="AE328" s="199"/>
      <c r="AF328" s="199"/>
      <c r="AG328" s="199"/>
      <c r="AH328" s="199"/>
      <c r="AI328" s="199"/>
      <c r="AJ328" s="199"/>
      <c r="AK328" s="199"/>
      <c r="AL328" s="199"/>
    </row>
    <row r="329" spans="1:38">
      <c r="A329" s="198"/>
      <c r="B329" s="153">
        <v>221</v>
      </c>
      <c r="C329" s="154" t="s">
        <v>258</v>
      </c>
      <c r="D329" s="144">
        <v>9</v>
      </c>
      <c r="E329" s="145">
        <v>81</v>
      </c>
      <c r="F329" s="145">
        <v>79</v>
      </c>
      <c r="G329" s="145">
        <v>76</v>
      </c>
      <c r="H329" s="145">
        <v>44</v>
      </c>
      <c r="I329" s="145">
        <v>55</v>
      </c>
      <c r="J329" s="145">
        <f t="shared" si="60"/>
        <v>335</v>
      </c>
      <c r="K329" s="145">
        <v>28</v>
      </c>
      <c r="L329" s="147" t="s">
        <v>130</v>
      </c>
      <c r="M329" s="147" t="s">
        <v>130</v>
      </c>
      <c r="N329" s="147" t="s">
        <v>115</v>
      </c>
      <c r="O329" s="147" t="s">
        <v>130</v>
      </c>
      <c r="P329" s="147" t="s">
        <v>115</v>
      </c>
      <c r="Q329" s="147" t="s">
        <v>124</v>
      </c>
      <c r="R329" s="148" t="s">
        <v>200</v>
      </c>
      <c r="S329" s="148" t="s">
        <v>132</v>
      </c>
      <c r="T329" s="148" t="s">
        <v>119</v>
      </c>
      <c r="U329" s="148" t="s">
        <v>126</v>
      </c>
      <c r="V329" s="145">
        <f t="shared" si="61"/>
        <v>160</v>
      </c>
      <c r="W329" s="149"/>
      <c r="X329" s="145">
        <f t="shared" si="62"/>
        <v>236</v>
      </c>
      <c r="Y329">
        <f ca="1" t="shared" si="63"/>
        <v>0.455167570199593</v>
      </c>
      <c r="Z329" s="199"/>
      <c r="AA329" s="199"/>
      <c r="AB329" s="199"/>
      <c r="AC329" s="199"/>
      <c r="AD329" s="199"/>
      <c r="AE329" s="199"/>
      <c r="AF329" s="199"/>
      <c r="AG329" s="199"/>
      <c r="AH329" s="199"/>
      <c r="AI329" s="199"/>
      <c r="AJ329" s="199"/>
      <c r="AK329" s="199"/>
      <c r="AL329" s="199"/>
    </row>
    <row r="330" spans="1:38">
      <c r="A330" s="198"/>
      <c r="B330" s="153">
        <v>789</v>
      </c>
      <c r="C330" s="154" t="s">
        <v>759</v>
      </c>
      <c r="D330" s="144">
        <v>5</v>
      </c>
      <c r="E330" s="145">
        <v>78</v>
      </c>
      <c r="F330" s="145">
        <v>77</v>
      </c>
      <c r="G330" s="145">
        <v>48</v>
      </c>
      <c r="H330" s="145">
        <v>48</v>
      </c>
      <c r="I330" s="145">
        <v>70</v>
      </c>
      <c r="J330" s="145">
        <f t="shared" si="60"/>
        <v>321</v>
      </c>
      <c r="K330" s="145">
        <v>54</v>
      </c>
      <c r="L330" s="147" t="s">
        <v>114</v>
      </c>
      <c r="M330" s="147" t="s">
        <v>114</v>
      </c>
      <c r="N330" s="147" t="s">
        <v>130</v>
      </c>
      <c r="O330" s="147" t="s">
        <v>130</v>
      </c>
      <c r="P330" s="147" t="s">
        <v>130</v>
      </c>
      <c r="Q330" s="147" t="s">
        <v>130</v>
      </c>
      <c r="R330" s="148" t="s">
        <v>550</v>
      </c>
      <c r="S330" s="148" t="s">
        <v>119</v>
      </c>
      <c r="T330" s="148" t="s">
        <v>119</v>
      </c>
      <c r="U330" s="148" t="s">
        <v>250</v>
      </c>
      <c r="V330" s="145">
        <f t="shared" si="61"/>
        <v>155</v>
      </c>
      <c r="W330" s="149"/>
      <c r="X330" s="145">
        <f t="shared" si="62"/>
        <v>203</v>
      </c>
      <c r="Y330">
        <f ca="1" t="shared" si="63"/>
        <v>0.482064397136468</v>
      </c>
      <c r="Z330" s="199"/>
      <c r="AA330" s="199"/>
      <c r="AB330" s="199"/>
      <c r="AC330" s="199"/>
      <c r="AD330" s="199"/>
      <c r="AE330" s="199"/>
      <c r="AF330" s="199"/>
      <c r="AG330" s="199"/>
      <c r="AH330" s="199"/>
      <c r="AI330" s="199"/>
      <c r="AJ330" s="199"/>
      <c r="AK330" s="199"/>
      <c r="AL330" s="199"/>
    </row>
    <row r="331" spans="1:38">
      <c r="A331" s="198"/>
      <c r="B331" s="153">
        <v>774</v>
      </c>
      <c r="C331" s="154" t="s">
        <v>670</v>
      </c>
      <c r="D331" s="144">
        <v>2</v>
      </c>
      <c r="E331" s="145">
        <v>75</v>
      </c>
      <c r="F331" s="145">
        <v>84</v>
      </c>
      <c r="G331" s="145">
        <v>77</v>
      </c>
      <c r="H331" s="145">
        <v>78</v>
      </c>
      <c r="I331" s="145">
        <v>84</v>
      </c>
      <c r="J331" s="145">
        <f t="shared" si="60"/>
        <v>398</v>
      </c>
      <c r="K331" s="145">
        <v>140</v>
      </c>
      <c r="L331" s="147" t="s">
        <v>130</v>
      </c>
      <c r="M331" s="147" t="s">
        <v>124</v>
      </c>
      <c r="N331" s="147" t="s">
        <v>114</v>
      </c>
      <c r="O331" s="147" t="s">
        <v>114</v>
      </c>
      <c r="P331" s="147" t="s">
        <v>130</v>
      </c>
      <c r="Q331" s="147" t="s">
        <v>124</v>
      </c>
      <c r="R331" s="149"/>
      <c r="S331" s="148" t="s">
        <v>132</v>
      </c>
      <c r="T331" s="148" t="s">
        <v>119</v>
      </c>
      <c r="U331" s="148" t="s">
        <v>126</v>
      </c>
      <c r="V331" s="145">
        <f t="shared" si="61"/>
        <v>159</v>
      </c>
      <c r="W331" s="149"/>
      <c r="X331" s="145">
        <f t="shared" si="62"/>
        <v>236</v>
      </c>
      <c r="Y331">
        <f ca="1" t="shared" si="63"/>
        <v>0.506544318595914</v>
      </c>
      <c r="Z331" s="199"/>
      <c r="AA331" s="199"/>
      <c r="AB331" s="199"/>
      <c r="AC331" s="199"/>
      <c r="AD331" s="199"/>
      <c r="AE331" s="199"/>
      <c r="AF331" s="199"/>
      <c r="AG331" s="199"/>
      <c r="AH331" s="199"/>
      <c r="AI331" s="199"/>
      <c r="AJ331" s="199"/>
      <c r="AK331" s="199"/>
      <c r="AL331" s="199"/>
    </row>
    <row r="332" spans="1:38">
      <c r="A332" s="198"/>
      <c r="B332" s="153">
        <v>618</v>
      </c>
      <c r="C332" s="154" t="s">
        <v>849</v>
      </c>
      <c r="D332" s="144">
        <v>2</v>
      </c>
      <c r="E332" s="145">
        <v>71</v>
      </c>
      <c r="F332" s="145">
        <v>63</v>
      </c>
      <c r="G332" s="145">
        <v>73</v>
      </c>
      <c r="H332" s="145">
        <v>52</v>
      </c>
      <c r="I332" s="145">
        <v>50</v>
      </c>
      <c r="J332" s="145">
        <f t="shared" si="60"/>
        <v>309</v>
      </c>
      <c r="K332" s="145">
        <v>125</v>
      </c>
      <c r="L332" s="147" t="s">
        <v>130</v>
      </c>
      <c r="M332" s="147" t="s">
        <v>130</v>
      </c>
      <c r="N332" s="147" t="s">
        <v>124</v>
      </c>
      <c r="O332" s="147" t="s">
        <v>124</v>
      </c>
      <c r="P332" s="147" t="s">
        <v>130</v>
      </c>
      <c r="Q332" s="147" t="s">
        <v>114</v>
      </c>
      <c r="R332" s="148" t="s">
        <v>452</v>
      </c>
      <c r="S332" s="148" t="s">
        <v>275</v>
      </c>
      <c r="T332" s="148" t="s">
        <v>145</v>
      </c>
      <c r="U332" s="148" t="s">
        <v>148</v>
      </c>
      <c r="V332" s="145">
        <f t="shared" si="61"/>
        <v>134</v>
      </c>
      <c r="W332" s="149"/>
      <c r="X332" s="145">
        <f t="shared" si="62"/>
        <v>207</v>
      </c>
      <c r="Y332">
        <f ca="1" t="shared" si="63"/>
        <v>0.475232461002838</v>
      </c>
      <c r="Z332" s="199"/>
      <c r="AA332" s="199"/>
      <c r="AB332" s="199"/>
      <c r="AC332" s="199"/>
      <c r="AD332" s="199"/>
      <c r="AE332" s="199"/>
      <c r="AF332" s="199"/>
      <c r="AG332" s="199"/>
      <c r="AH332" s="199"/>
      <c r="AI332" s="199"/>
      <c r="AJ332" s="199"/>
      <c r="AK332" s="199"/>
      <c r="AL332" s="199"/>
    </row>
    <row r="333" spans="1:38">
      <c r="A333" s="197" t="s">
        <v>1408</v>
      </c>
      <c r="B333" s="153">
        <v>680</v>
      </c>
      <c r="C333" s="154" t="s">
        <v>183</v>
      </c>
      <c r="D333" s="144">
        <v>15</v>
      </c>
      <c r="E333" s="145">
        <v>85</v>
      </c>
      <c r="F333" s="145">
        <v>86</v>
      </c>
      <c r="G333" s="145">
        <v>67</v>
      </c>
      <c r="H333" s="145">
        <v>67</v>
      </c>
      <c r="I333" s="145">
        <v>79</v>
      </c>
      <c r="J333" s="145">
        <f t="shared" si="60"/>
        <v>384</v>
      </c>
      <c r="K333" s="145">
        <v>89</v>
      </c>
      <c r="L333" s="147" t="s">
        <v>114</v>
      </c>
      <c r="M333" s="147" t="s">
        <v>114</v>
      </c>
      <c r="N333" s="147" t="s">
        <v>114</v>
      </c>
      <c r="O333" s="147" t="s">
        <v>130</v>
      </c>
      <c r="P333" s="147" t="s">
        <v>115</v>
      </c>
      <c r="Q333" s="147" t="s">
        <v>115</v>
      </c>
      <c r="R333" s="148" t="s">
        <v>184</v>
      </c>
      <c r="S333" s="148" t="s">
        <v>118</v>
      </c>
      <c r="T333" s="148" t="s">
        <v>133</v>
      </c>
      <c r="U333" s="148" t="s">
        <v>120</v>
      </c>
      <c r="V333" s="145">
        <f t="shared" si="61"/>
        <v>171</v>
      </c>
      <c r="W333" s="149"/>
      <c r="X333" s="145">
        <f t="shared" si="62"/>
        <v>238</v>
      </c>
      <c r="Y333">
        <f ca="1" t="shared" si="63"/>
        <v>0.498756416014469</v>
      </c>
      <c r="Z333" s="199"/>
      <c r="AA333" s="199"/>
      <c r="AB333" s="199"/>
      <c r="AC333" s="199"/>
      <c r="AD333" s="199"/>
      <c r="AE333" s="199"/>
      <c r="AF333" s="199"/>
      <c r="AG333" s="199"/>
      <c r="AH333" s="199"/>
      <c r="AI333" s="199"/>
      <c r="AJ333" s="199"/>
      <c r="AK333" s="199"/>
      <c r="AL333" s="199"/>
    </row>
    <row r="334" spans="1:38">
      <c r="A334" s="197"/>
      <c r="B334" s="153">
        <v>532</v>
      </c>
      <c r="C334" s="154" t="s">
        <v>740</v>
      </c>
      <c r="D334" s="144">
        <v>13</v>
      </c>
      <c r="E334" s="145">
        <v>88</v>
      </c>
      <c r="F334" s="145">
        <v>82</v>
      </c>
      <c r="G334" s="145">
        <v>62</v>
      </c>
      <c r="H334" s="145">
        <v>66</v>
      </c>
      <c r="I334" s="145">
        <v>73</v>
      </c>
      <c r="J334" s="145">
        <f t="shared" si="60"/>
        <v>371</v>
      </c>
      <c r="K334" s="145">
        <v>41</v>
      </c>
      <c r="L334" s="147" t="s">
        <v>115</v>
      </c>
      <c r="M334" s="147" t="s">
        <v>114</v>
      </c>
      <c r="N334" s="147" t="s">
        <v>130</v>
      </c>
      <c r="O334" s="147" t="s">
        <v>115</v>
      </c>
      <c r="P334" s="147" t="s">
        <v>130</v>
      </c>
      <c r="Q334" s="147" t="s">
        <v>130</v>
      </c>
      <c r="R334" s="148" t="s">
        <v>472</v>
      </c>
      <c r="S334" s="148" t="s">
        <v>132</v>
      </c>
      <c r="T334" s="148" t="s">
        <v>119</v>
      </c>
      <c r="U334" s="148" t="s">
        <v>126</v>
      </c>
      <c r="V334" s="145">
        <f t="shared" si="61"/>
        <v>170</v>
      </c>
      <c r="W334" s="149"/>
      <c r="X334" s="145">
        <f t="shared" si="62"/>
        <v>232</v>
      </c>
      <c r="Y334">
        <f ca="1" t="shared" si="63"/>
        <v>0.311395047742925</v>
      </c>
      <c r="Z334" s="199"/>
      <c r="AA334" s="199"/>
      <c r="AB334" s="199"/>
      <c r="AC334" s="199"/>
      <c r="AD334" s="199"/>
      <c r="AE334" s="199"/>
      <c r="AF334" s="199"/>
      <c r="AG334" s="199"/>
      <c r="AH334" s="199"/>
      <c r="AI334" s="199"/>
      <c r="AJ334" s="199"/>
      <c r="AK334" s="199"/>
      <c r="AL334" s="199"/>
    </row>
    <row r="335" spans="1:38">
      <c r="A335" s="197"/>
      <c r="B335" s="153">
        <v>541</v>
      </c>
      <c r="C335" s="154" t="s">
        <v>868</v>
      </c>
      <c r="D335" s="144">
        <v>11</v>
      </c>
      <c r="E335" s="145">
        <v>80</v>
      </c>
      <c r="F335" s="145">
        <v>84</v>
      </c>
      <c r="G335" s="145">
        <v>46</v>
      </c>
      <c r="H335" s="145">
        <v>28</v>
      </c>
      <c r="I335" s="145">
        <v>37</v>
      </c>
      <c r="J335" s="145">
        <f t="shared" si="60"/>
        <v>275</v>
      </c>
      <c r="K335" s="145">
        <v>135</v>
      </c>
      <c r="L335" s="147" t="s">
        <v>114</v>
      </c>
      <c r="M335" s="147" t="s">
        <v>130</v>
      </c>
      <c r="N335" s="147" t="s">
        <v>124</v>
      </c>
      <c r="O335" s="147" t="s">
        <v>130</v>
      </c>
      <c r="P335" s="147" t="s">
        <v>130</v>
      </c>
      <c r="Q335" s="147" t="s">
        <v>130</v>
      </c>
      <c r="R335" s="148" t="s">
        <v>220</v>
      </c>
      <c r="S335" s="148" t="s">
        <v>132</v>
      </c>
      <c r="T335" s="148" t="s">
        <v>119</v>
      </c>
      <c r="U335" s="148" t="s">
        <v>250</v>
      </c>
      <c r="V335" s="145">
        <f t="shared" si="61"/>
        <v>164</v>
      </c>
      <c r="W335" s="149"/>
      <c r="X335" s="145">
        <f t="shared" si="62"/>
        <v>210</v>
      </c>
      <c r="Y335">
        <f ca="1" t="shared" si="63"/>
        <v>0.695653503983856</v>
      </c>
      <c r="Z335" s="199"/>
      <c r="AA335" s="199"/>
      <c r="AB335" s="199"/>
      <c r="AC335" s="199"/>
      <c r="AD335" s="199"/>
      <c r="AE335" s="199"/>
      <c r="AF335" s="199"/>
      <c r="AG335" s="199"/>
      <c r="AH335" s="199"/>
      <c r="AI335" s="199"/>
      <c r="AJ335" s="199"/>
      <c r="AK335" s="199"/>
      <c r="AL335" s="199"/>
    </row>
    <row r="336" spans="1:38">
      <c r="A336" s="197"/>
      <c r="B336" s="153">
        <v>191</v>
      </c>
      <c r="C336" s="154" t="s">
        <v>946</v>
      </c>
      <c r="D336" s="144">
        <v>12</v>
      </c>
      <c r="E336" s="145">
        <v>88</v>
      </c>
      <c r="F336" s="145">
        <v>78</v>
      </c>
      <c r="G336" s="145">
        <v>76</v>
      </c>
      <c r="H336" s="145">
        <v>56</v>
      </c>
      <c r="I336" s="145">
        <v>77</v>
      </c>
      <c r="J336" s="145">
        <f t="shared" si="60"/>
        <v>375</v>
      </c>
      <c r="K336" s="145">
        <v>71</v>
      </c>
      <c r="L336" s="147" t="s">
        <v>130</v>
      </c>
      <c r="M336" s="147" t="s">
        <v>114</v>
      </c>
      <c r="N336" s="147" t="s">
        <v>115</v>
      </c>
      <c r="O336" s="147" t="s">
        <v>130</v>
      </c>
      <c r="P336" s="147" t="s">
        <v>114</v>
      </c>
      <c r="Q336" s="147" t="s">
        <v>115</v>
      </c>
      <c r="R336" s="148" t="s">
        <v>198</v>
      </c>
      <c r="S336" s="148" t="s">
        <v>132</v>
      </c>
      <c r="T336" s="148" t="s">
        <v>119</v>
      </c>
      <c r="U336" s="148" t="s">
        <v>126</v>
      </c>
      <c r="V336" s="145">
        <f t="shared" si="61"/>
        <v>166</v>
      </c>
      <c r="W336" s="149"/>
      <c r="X336" s="145">
        <f t="shared" si="62"/>
        <v>242</v>
      </c>
      <c r="Y336">
        <f ca="1" t="shared" si="63"/>
        <v>0.398539206524646</v>
      </c>
      <c r="Z336" s="199"/>
      <c r="AA336" s="199"/>
      <c r="AB336" s="199"/>
      <c r="AC336" s="199"/>
      <c r="AD336" s="199"/>
      <c r="AE336" s="199"/>
      <c r="AF336" s="199"/>
      <c r="AG336" s="199"/>
      <c r="AH336" s="199"/>
      <c r="AI336" s="199"/>
      <c r="AJ336" s="199"/>
      <c r="AK336" s="199"/>
      <c r="AL336" s="199"/>
    </row>
    <row r="337" ht="17.6" spans="1:38">
      <c r="A337" s="197"/>
      <c r="B337" s="122">
        <v>24</v>
      </c>
      <c r="C337" s="121" t="s">
        <v>1409</v>
      </c>
      <c r="D337" s="124">
        <v>6</v>
      </c>
      <c r="E337" s="121" t="s">
        <v>1369</v>
      </c>
      <c r="F337" s="121" t="s">
        <v>503</v>
      </c>
      <c r="G337" s="121" t="s">
        <v>1410</v>
      </c>
      <c r="H337" s="145"/>
      <c r="I337" s="145"/>
      <c r="J337" s="145"/>
      <c r="K337" s="145"/>
      <c r="L337" s="147"/>
      <c r="M337" s="147"/>
      <c r="N337" s="147"/>
      <c r="O337" s="147"/>
      <c r="P337" s="147"/>
      <c r="Q337" s="147"/>
      <c r="R337" s="148"/>
      <c r="S337" s="148"/>
      <c r="T337" s="148"/>
      <c r="U337" s="148"/>
      <c r="V337" s="145"/>
      <c r="W337" s="149"/>
      <c r="X337" s="145"/>
      <c r="Z337" s="199"/>
      <c r="AA337" s="199"/>
      <c r="AB337" s="199"/>
      <c r="AC337" s="199"/>
      <c r="AD337" s="199"/>
      <c r="AE337" s="199"/>
      <c r="AF337" s="199"/>
      <c r="AG337" s="199"/>
      <c r="AH337" s="199"/>
      <c r="AI337" s="199"/>
      <c r="AJ337" s="199"/>
      <c r="AK337" s="199"/>
      <c r="AL337" s="199"/>
    </row>
    <row r="338" spans="1:38">
      <c r="A338" s="197"/>
      <c r="B338" s="153">
        <v>367</v>
      </c>
      <c r="C338" s="154" t="s">
        <v>396</v>
      </c>
      <c r="D338" s="144">
        <v>2</v>
      </c>
      <c r="E338" s="145">
        <v>65</v>
      </c>
      <c r="F338" s="145">
        <v>82</v>
      </c>
      <c r="G338" s="145">
        <v>81</v>
      </c>
      <c r="H338" s="145">
        <v>87</v>
      </c>
      <c r="I338" s="145">
        <v>78</v>
      </c>
      <c r="J338" s="145">
        <f t="shared" ref="J338:J355" si="64">SUM(E338:I338)</f>
        <v>393</v>
      </c>
      <c r="K338" s="145">
        <v>125</v>
      </c>
      <c r="L338" s="147" t="s">
        <v>130</v>
      </c>
      <c r="M338" s="147" t="s">
        <v>130</v>
      </c>
      <c r="N338" s="147" t="s">
        <v>124</v>
      </c>
      <c r="O338" s="147" t="s">
        <v>124</v>
      </c>
      <c r="P338" s="147" t="s">
        <v>124</v>
      </c>
      <c r="Q338" s="147" t="s">
        <v>114</v>
      </c>
      <c r="R338" s="148" t="s">
        <v>168</v>
      </c>
      <c r="S338" s="148" t="s">
        <v>119</v>
      </c>
      <c r="T338" s="148" t="s">
        <v>145</v>
      </c>
      <c r="U338" s="148" t="s">
        <v>126</v>
      </c>
      <c r="V338" s="145">
        <f t="shared" ref="V338:V355" si="65">E338+F338</f>
        <v>147</v>
      </c>
      <c r="W338" s="149"/>
      <c r="X338" s="145">
        <f t="shared" ref="X338:X355" si="66">E338+F338+G338</f>
        <v>228</v>
      </c>
      <c r="Y338">
        <f ca="1" t="shared" ref="Y338:Y355" si="67">RAND()</f>
        <v>0.678048458965939</v>
      </c>
      <c r="Z338" s="199"/>
      <c r="AA338" s="199"/>
      <c r="AB338" s="199"/>
      <c r="AC338" s="199"/>
      <c r="AD338" s="199"/>
      <c r="AE338" s="199"/>
      <c r="AF338" s="199"/>
      <c r="AG338" s="199"/>
      <c r="AH338" s="199"/>
      <c r="AI338" s="199"/>
      <c r="AJ338" s="199"/>
      <c r="AK338" s="199"/>
      <c r="AL338" s="199"/>
    </row>
    <row r="339" spans="1:38">
      <c r="A339" s="197"/>
      <c r="B339" s="153">
        <v>525</v>
      </c>
      <c r="C339" s="154" t="s">
        <v>916</v>
      </c>
      <c r="D339" s="144">
        <v>2</v>
      </c>
      <c r="E339" s="145">
        <v>78</v>
      </c>
      <c r="F339" s="145">
        <v>62</v>
      </c>
      <c r="G339" s="145">
        <v>87</v>
      </c>
      <c r="H339" s="145">
        <v>76</v>
      </c>
      <c r="I339" s="145">
        <v>84</v>
      </c>
      <c r="J339" s="145">
        <f t="shared" si="64"/>
        <v>387</v>
      </c>
      <c r="K339" s="145">
        <v>43</v>
      </c>
      <c r="L339" s="147" t="s">
        <v>130</v>
      </c>
      <c r="M339" s="147" t="s">
        <v>114</v>
      </c>
      <c r="N339" s="147" t="s">
        <v>130</v>
      </c>
      <c r="O339" s="147" t="s">
        <v>124</v>
      </c>
      <c r="P339" s="147" t="s">
        <v>114</v>
      </c>
      <c r="Q339" s="147" t="s">
        <v>130</v>
      </c>
      <c r="R339" s="148" t="s">
        <v>203</v>
      </c>
      <c r="S339" s="148" t="s">
        <v>132</v>
      </c>
      <c r="T339" s="148" t="s">
        <v>119</v>
      </c>
      <c r="U339" s="148" t="s">
        <v>120</v>
      </c>
      <c r="V339" s="145">
        <f t="shared" si="65"/>
        <v>140</v>
      </c>
      <c r="W339" s="149"/>
      <c r="X339" s="145">
        <f t="shared" si="66"/>
        <v>227</v>
      </c>
      <c r="Y339">
        <f ca="1" t="shared" si="67"/>
        <v>0.116765991778794</v>
      </c>
      <c r="Z339" s="199"/>
      <c r="AA339" s="199"/>
      <c r="AB339" s="199"/>
      <c r="AC339" s="199"/>
      <c r="AD339" s="199"/>
      <c r="AE339" s="199"/>
      <c r="AF339" s="199"/>
      <c r="AG339" s="199"/>
      <c r="AH339" s="199"/>
      <c r="AI339" s="199"/>
      <c r="AJ339" s="199"/>
      <c r="AK339" s="199"/>
      <c r="AL339" s="199"/>
    </row>
    <row r="340" spans="1:38">
      <c r="A340" s="197"/>
      <c r="B340" s="153">
        <v>371</v>
      </c>
      <c r="C340" s="154" t="s">
        <v>320</v>
      </c>
      <c r="D340" s="144">
        <v>2</v>
      </c>
      <c r="E340" s="145">
        <v>35</v>
      </c>
      <c r="F340" s="145">
        <v>35</v>
      </c>
      <c r="G340" s="145">
        <v>71</v>
      </c>
      <c r="H340" s="145">
        <v>77</v>
      </c>
      <c r="I340" s="145">
        <v>88</v>
      </c>
      <c r="J340" s="145">
        <f t="shared" si="64"/>
        <v>306</v>
      </c>
      <c r="K340" s="145">
        <v>85</v>
      </c>
      <c r="L340" s="147" t="s">
        <v>124</v>
      </c>
      <c r="M340" s="147" t="s">
        <v>124</v>
      </c>
      <c r="N340" s="147" t="s">
        <v>124</v>
      </c>
      <c r="O340" s="147" t="s">
        <v>124</v>
      </c>
      <c r="P340" s="147" t="s">
        <v>124</v>
      </c>
      <c r="Q340" s="147" t="s">
        <v>124</v>
      </c>
      <c r="R340" s="148" t="s">
        <v>321</v>
      </c>
      <c r="S340" s="148" t="s">
        <v>118</v>
      </c>
      <c r="T340" s="148" t="s">
        <v>133</v>
      </c>
      <c r="U340" s="148" t="s">
        <v>126</v>
      </c>
      <c r="V340" s="145">
        <f t="shared" si="65"/>
        <v>70</v>
      </c>
      <c r="W340" s="149"/>
      <c r="X340" s="145">
        <f t="shared" si="66"/>
        <v>141</v>
      </c>
      <c r="Y340">
        <f ca="1" t="shared" si="67"/>
        <v>0.378011775530022</v>
      </c>
      <c r="Z340" s="199"/>
      <c r="AA340" s="199"/>
      <c r="AB340" s="199"/>
      <c r="AC340" s="199"/>
      <c r="AD340" s="199"/>
      <c r="AE340" s="199"/>
      <c r="AF340" s="199"/>
      <c r="AG340" s="199"/>
      <c r="AH340" s="199"/>
      <c r="AI340" s="199"/>
      <c r="AJ340" s="199"/>
      <c r="AK340" s="199"/>
      <c r="AL340" s="199"/>
    </row>
    <row r="341" spans="1:38">
      <c r="A341" s="197"/>
      <c r="B341" s="153">
        <v>594</v>
      </c>
      <c r="C341" s="154" t="s">
        <v>565</v>
      </c>
      <c r="D341" s="144">
        <v>7</v>
      </c>
      <c r="E341" s="145">
        <v>75</v>
      </c>
      <c r="F341" s="145">
        <v>89</v>
      </c>
      <c r="G341" s="145">
        <v>42</v>
      </c>
      <c r="H341" s="145">
        <v>44</v>
      </c>
      <c r="I341" s="145">
        <v>49</v>
      </c>
      <c r="J341" s="145">
        <f t="shared" si="64"/>
        <v>299</v>
      </c>
      <c r="K341" s="145">
        <v>115</v>
      </c>
      <c r="L341" s="147" t="s">
        <v>114</v>
      </c>
      <c r="M341" s="147" t="s">
        <v>130</v>
      </c>
      <c r="N341" s="147" t="s">
        <v>124</v>
      </c>
      <c r="O341" s="147" t="s">
        <v>130</v>
      </c>
      <c r="P341" s="147" t="s">
        <v>124</v>
      </c>
      <c r="Q341" s="147" t="s">
        <v>130</v>
      </c>
      <c r="R341" s="148" t="s">
        <v>411</v>
      </c>
      <c r="S341" s="148" t="s">
        <v>175</v>
      </c>
      <c r="T341" s="148" t="s">
        <v>136</v>
      </c>
      <c r="U341" s="148" t="s">
        <v>250</v>
      </c>
      <c r="V341" s="145">
        <f t="shared" si="65"/>
        <v>164</v>
      </c>
      <c r="W341" s="149"/>
      <c r="X341" s="145">
        <f t="shared" si="66"/>
        <v>206</v>
      </c>
      <c r="Y341">
        <f ca="1" t="shared" si="67"/>
        <v>0.176240835020511</v>
      </c>
      <c r="Z341" s="199"/>
      <c r="AA341" s="199"/>
      <c r="AB341" s="199"/>
      <c r="AC341" s="199"/>
      <c r="AD341" s="199"/>
      <c r="AE341" s="199"/>
      <c r="AF341" s="199"/>
      <c r="AG341" s="199"/>
      <c r="AH341" s="199"/>
      <c r="AI341" s="199"/>
      <c r="AJ341" s="199"/>
      <c r="AK341" s="199"/>
      <c r="AL341" s="199"/>
    </row>
    <row r="342" spans="1:38">
      <c r="A342" s="197"/>
      <c r="B342" s="153">
        <v>150</v>
      </c>
      <c r="C342" s="154" t="s">
        <v>456</v>
      </c>
      <c r="D342" s="144">
        <v>10</v>
      </c>
      <c r="E342" s="145">
        <v>83</v>
      </c>
      <c r="F342" s="145">
        <v>85</v>
      </c>
      <c r="G342" s="145">
        <v>59</v>
      </c>
      <c r="H342" s="145">
        <v>64</v>
      </c>
      <c r="I342" s="145">
        <v>70</v>
      </c>
      <c r="J342" s="145">
        <f t="shared" si="64"/>
        <v>361</v>
      </c>
      <c r="K342" s="145">
        <v>125</v>
      </c>
      <c r="L342" s="147" t="s">
        <v>115</v>
      </c>
      <c r="M342" s="147" t="s">
        <v>114</v>
      </c>
      <c r="N342" s="147" t="s">
        <v>124</v>
      </c>
      <c r="O342" s="147" t="s">
        <v>114</v>
      </c>
      <c r="P342" s="147" t="s">
        <v>124</v>
      </c>
      <c r="Q342" s="147" t="s">
        <v>115</v>
      </c>
      <c r="R342" s="148" t="s">
        <v>186</v>
      </c>
      <c r="S342" s="148" t="s">
        <v>132</v>
      </c>
      <c r="T342" s="148" t="s">
        <v>136</v>
      </c>
      <c r="U342" s="148" t="s">
        <v>126</v>
      </c>
      <c r="V342" s="145">
        <f t="shared" si="65"/>
        <v>168</v>
      </c>
      <c r="W342" s="149"/>
      <c r="X342" s="145">
        <f t="shared" si="66"/>
        <v>227</v>
      </c>
      <c r="Y342">
        <f ca="1" t="shared" si="67"/>
        <v>0.499120839994286</v>
      </c>
      <c r="Z342" s="199"/>
      <c r="AA342" s="199"/>
      <c r="AB342" s="199"/>
      <c r="AC342" s="199"/>
      <c r="AD342" s="199"/>
      <c r="AE342" s="199"/>
      <c r="AF342" s="199"/>
      <c r="AG342" s="199"/>
      <c r="AH342" s="199"/>
      <c r="AI342" s="199"/>
      <c r="AJ342" s="199"/>
      <c r="AK342" s="199"/>
      <c r="AL342" s="199"/>
    </row>
    <row r="343" spans="1:38">
      <c r="A343" s="197"/>
      <c r="B343" s="153">
        <v>222</v>
      </c>
      <c r="C343" s="154" t="s">
        <v>1005</v>
      </c>
      <c r="D343" s="144">
        <v>3</v>
      </c>
      <c r="E343" s="145">
        <v>69</v>
      </c>
      <c r="F343" s="145">
        <v>84</v>
      </c>
      <c r="G343" s="145">
        <v>65</v>
      </c>
      <c r="H343" s="145">
        <v>73</v>
      </c>
      <c r="I343" s="145">
        <v>62</v>
      </c>
      <c r="J343" s="145">
        <f t="shared" si="64"/>
        <v>353</v>
      </c>
      <c r="K343" s="145">
        <v>35</v>
      </c>
      <c r="L343" s="147" t="s">
        <v>124</v>
      </c>
      <c r="M343" s="147" t="s">
        <v>130</v>
      </c>
      <c r="N343" s="147" t="s">
        <v>124</v>
      </c>
      <c r="O343" s="147" t="s">
        <v>130</v>
      </c>
      <c r="P343" s="147" t="s">
        <v>114</v>
      </c>
      <c r="Q343" s="147" t="s">
        <v>115</v>
      </c>
      <c r="R343" s="148" t="s">
        <v>587</v>
      </c>
      <c r="S343" s="148" t="s">
        <v>132</v>
      </c>
      <c r="T343" s="148" t="s">
        <v>119</v>
      </c>
      <c r="U343" s="148" t="s">
        <v>126</v>
      </c>
      <c r="V343" s="145">
        <f t="shared" si="65"/>
        <v>153</v>
      </c>
      <c r="W343" s="149"/>
      <c r="X343" s="145">
        <f t="shared" si="66"/>
        <v>218</v>
      </c>
      <c r="Y343">
        <f ca="1" t="shared" si="67"/>
        <v>0.534986345875521</v>
      </c>
      <c r="Z343" s="199"/>
      <c r="AA343" s="199"/>
      <c r="AB343" s="199"/>
      <c r="AC343" s="199"/>
      <c r="AD343" s="199"/>
      <c r="AE343" s="199"/>
      <c r="AF343" s="199"/>
      <c r="AG343" s="199"/>
      <c r="AH343" s="199"/>
      <c r="AI343" s="199"/>
      <c r="AJ343" s="199"/>
      <c r="AK343" s="199"/>
      <c r="AL343" s="199"/>
    </row>
    <row r="344" spans="1:38">
      <c r="A344" s="197"/>
      <c r="B344" s="153">
        <v>647</v>
      </c>
      <c r="C344" s="154" t="s">
        <v>952</v>
      </c>
      <c r="D344" s="144">
        <v>7</v>
      </c>
      <c r="E344" s="145">
        <v>79</v>
      </c>
      <c r="F344" s="145">
        <v>74</v>
      </c>
      <c r="G344" s="145">
        <v>91</v>
      </c>
      <c r="H344" s="145">
        <v>63</v>
      </c>
      <c r="I344" s="145">
        <v>76</v>
      </c>
      <c r="J344" s="145">
        <f t="shared" si="64"/>
        <v>383</v>
      </c>
      <c r="K344" s="145">
        <v>57</v>
      </c>
      <c r="L344" s="147" t="s">
        <v>130</v>
      </c>
      <c r="M344" s="147" t="s">
        <v>130</v>
      </c>
      <c r="N344" s="147" t="s">
        <v>115</v>
      </c>
      <c r="O344" s="147" t="s">
        <v>114</v>
      </c>
      <c r="P344" s="147" t="s">
        <v>114</v>
      </c>
      <c r="Q344" s="147" t="s">
        <v>130</v>
      </c>
      <c r="R344" s="148" t="s">
        <v>499</v>
      </c>
      <c r="S344" s="148" t="s">
        <v>132</v>
      </c>
      <c r="T344" s="148" t="s">
        <v>119</v>
      </c>
      <c r="U344" s="148" t="s">
        <v>120</v>
      </c>
      <c r="V344" s="145">
        <f t="shared" si="65"/>
        <v>153</v>
      </c>
      <c r="W344" s="149"/>
      <c r="X344" s="145">
        <f t="shared" si="66"/>
        <v>244</v>
      </c>
      <c r="Y344">
        <f ca="1" t="shared" si="67"/>
        <v>0.354260042950624</v>
      </c>
      <c r="Z344" s="199"/>
      <c r="AA344" s="199"/>
      <c r="AB344" s="199"/>
      <c r="AC344" s="199"/>
      <c r="AD344" s="199"/>
      <c r="AE344" s="199"/>
      <c r="AF344" s="199"/>
      <c r="AG344" s="199"/>
      <c r="AH344" s="199"/>
      <c r="AI344" s="199"/>
      <c r="AJ344" s="199"/>
      <c r="AK344" s="199"/>
      <c r="AL344" s="199"/>
    </row>
    <row r="345" spans="1:38">
      <c r="A345" s="197" t="s">
        <v>1411</v>
      </c>
      <c r="B345" s="153">
        <v>390</v>
      </c>
      <c r="C345" s="154" t="s">
        <v>546</v>
      </c>
      <c r="D345" s="144">
        <v>14</v>
      </c>
      <c r="E345" s="145">
        <v>49</v>
      </c>
      <c r="F345" s="145">
        <v>36</v>
      </c>
      <c r="G345" s="145">
        <v>99</v>
      </c>
      <c r="H345" s="145">
        <v>87</v>
      </c>
      <c r="I345" s="145">
        <v>55</v>
      </c>
      <c r="J345" s="145">
        <f t="shared" si="64"/>
        <v>326</v>
      </c>
      <c r="K345" s="145">
        <v>146</v>
      </c>
      <c r="L345" s="147" t="s">
        <v>124</v>
      </c>
      <c r="M345" s="147" t="s">
        <v>130</v>
      </c>
      <c r="N345" s="147" t="s">
        <v>124</v>
      </c>
      <c r="O345" s="147" t="s">
        <v>124</v>
      </c>
      <c r="P345" s="147" t="s">
        <v>124</v>
      </c>
      <c r="Q345" s="147" t="s">
        <v>124</v>
      </c>
      <c r="R345" s="170" t="s">
        <v>150</v>
      </c>
      <c r="S345" s="148" t="s">
        <v>119</v>
      </c>
      <c r="T345" s="148" t="s">
        <v>119</v>
      </c>
      <c r="U345" s="148" t="s">
        <v>126</v>
      </c>
      <c r="V345" s="145">
        <f t="shared" si="65"/>
        <v>85</v>
      </c>
      <c r="W345" s="193" t="s">
        <v>151</v>
      </c>
      <c r="X345" s="145">
        <f t="shared" si="66"/>
        <v>184</v>
      </c>
      <c r="Y345">
        <f ca="1" t="shared" si="67"/>
        <v>0.456446641971292</v>
      </c>
      <c r="Z345" s="199"/>
      <c r="AA345" s="199"/>
      <c r="AB345" s="199"/>
      <c r="AC345" s="199"/>
      <c r="AD345" s="199"/>
      <c r="AE345" s="199"/>
      <c r="AF345" s="199"/>
      <c r="AG345" s="199"/>
      <c r="AH345" s="199"/>
      <c r="AI345" s="199"/>
      <c r="AJ345" s="199"/>
      <c r="AK345" s="199"/>
      <c r="AL345" s="199"/>
    </row>
    <row r="346" spans="1:38">
      <c r="A346" s="198"/>
      <c r="B346" s="153">
        <v>205</v>
      </c>
      <c r="C346" s="154" t="s">
        <v>933</v>
      </c>
      <c r="D346" s="144">
        <v>15</v>
      </c>
      <c r="E346" s="145">
        <v>89</v>
      </c>
      <c r="F346" s="145">
        <v>88</v>
      </c>
      <c r="G346" s="145">
        <v>67</v>
      </c>
      <c r="H346" s="145">
        <v>61</v>
      </c>
      <c r="I346" s="145">
        <v>80</v>
      </c>
      <c r="J346" s="145">
        <f t="shared" si="64"/>
        <v>385</v>
      </c>
      <c r="K346" s="145">
        <v>90</v>
      </c>
      <c r="L346" s="147" t="s">
        <v>115</v>
      </c>
      <c r="M346" s="147" t="s">
        <v>114</v>
      </c>
      <c r="N346" s="147" t="s">
        <v>130</v>
      </c>
      <c r="O346" s="147" t="s">
        <v>115</v>
      </c>
      <c r="P346" s="147" t="s">
        <v>114</v>
      </c>
      <c r="Q346" s="147" t="s">
        <v>114</v>
      </c>
      <c r="R346" s="148" t="s">
        <v>472</v>
      </c>
      <c r="S346" s="148" t="s">
        <v>132</v>
      </c>
      <c r="T346" s="148" t="s">
        <v>119</v>
      </c>
      <c r="U346" s="148" t="s">
        <v>126</v>
      </c>
      <c r="V346" s="145">
        <f t="shared" si="65"/>
        <v>177</v>
      </c>
      <c r="W346" s="149"/>
      <c r="X346" s="145">
        <f t="shared" si="66"/>
        <v>244</v>
      </c>
      <c r="Y346">
        <f ca="1" t="shared" si="67"/>
        <v>0.118916184486926</v>
      </c>
      <c r="Z346" s="199"/>
      <c r="AA346" s="199"/>
      <c r="AB346" s="199"/>
      <c r="AC346" s="199"/>
      <c r="AD346" s="199"/>
      <c r="AE346" s="199"/>
      <c r="AF346" s="199"/>
      <c r="AG346" s="199"/>
      <c r="AH346" s="199"/>
      <c r="AI346" s="199"/>
      <c r="AJ346" s="199"/>
      <c r="AK346" s="199"/>
      <c r="AL346" s="199"/>
    </row>
    <row r="347" spans="1:38">
      <c r="A347" s="198"/>
      <c r="B347" s="153">
        <v>127</v>
      </c>
      <c r="C347" s="154" t="s">
        <v>303</v>
      </c>
      <c r="D347" s="144">
        <v>6</v>
      </c>
      <c r="E347" s="145">
        <v>52</v>
      </c>
      <c r="F347" s="145">
        <v>58</v>
      </c>
      <c r="G347" s="145">
        <v>81</v>
      </c>
      <c r="H347" s="145">
        <v>84</v>
      </c>
      <c r="I347" s="145">
        <v>91</v>
      </c>
      <c r="J347" s="145">
        <f t="shared" si="64"/>
        <v>366</v>
      </c>
      <c r="K347" s="145">
        <v>25</v>
      </c>
      <c r="L347" s="147" t="s">
        <v>124</v>
      </c>
      <c r="M347" s="147" t="s">
        <v>124</v>
      </c>
      <c r="N347" s="147" t="s">
        <v>124</v>
      </c>
      <c r="O347" s="147" t="s">
        <v>124</v>
      </c>
      <c r="P347" s="147" t="s">
        <v>124</v>
      </c>
      <c r="Q347" s="147" t="s">
        <v>124</v>
      </c>
      <c r="R347" s="148" t="s">
        <v>290</v>
      </c>
      <c r="S347" s="148" t="s">
        <v>118</v>
      </c>
      <c r="T347" s="148" t="s">
        <v>119</v>
      </c>
      <c r="U347" s="148" t="s">
        <v>120</v>
      </c>
      <c r="V347" s="145">
        <f t="shared" si="65"/>
        <v>110</v>
      </c>
      <c r="W347" s="149"/>
      <c r="X347" s="145">
        <f t="shared" si="66"/>
        <v>191</v>
      </c>
      <c r="Y347">
        <f ca="1" t="shared" si="67"/>
        <v>0.946432206096899</v>
      </c>
      <c r="Z347" s="199"/>
      <c r="AA347" s="199"/>
      <c r="AB347" s="199"/>
      <c r="AC347" s="199"/>
      <c r="AD347" s="199"/>
      <c r="AE347" s="199"/>
      <c r="AF347" s="199"/>
      <c r="AG347" s="199"/>
      <c r="AH347" s="199"/>
      <c r="AI347" s="199"/>
      <c r="AJ347" s="199"/>
      <c r="AK347" s="199"/>
      <c r="AL347" s="199"/>
    </row>
    <row r="348" spans="1:38">
      <c r="A348" s="198"/>
      <c r="B348" s="153">
        <v>64</v>
      </c>
      <c r="C348" s="154" t="s">
        <v>214</v>
      </c>
      <c r="D348" s="144">
        <v>10</v>
      </c>
      <c r="E348" s="145">
        <v>88</v>
      </c>
      <c r="F348" s="145">
        <v>69</v>
      </c>
      <c r="G348" s="145">
        <v>86</v>
      </c>
      <c r="H348" s="145">
        <v>72</v>
      </c>
      <c r="I348" s="145">
        <v>69</v>
      </c>
      <c r="J348" s="145">
        <f t="shared" si="64"/>
        <v>384</v>
      </c>
      <c r="K348" s="145">
        <v>0</v>
      </c>
      <c r="L348" s="147" t="s">
        <v>130</v>
      </c>
      <c r="M348" s="147" t="s">
        <v>114</v>
      </c>
      <c r="N348" s="147" t="s">
        <v>115</v>
      </c>
      <c r="O348" s="147" t="s">
        <v>114</v>
      </c>
      <c r="P348" s="147" t="s">
        <v>115</v>
      </c>
      <c r="Q348" s="147" t="s">
        <v>130</v>
      </c>
      <c r="R348" s="148" t="s">
        <v>215</v>
      </c>
      <c r="S348" s="148" t="s">
        <v>132</v>
      </c>
      <c r="T348" s="148" t="s">
        <v>119</v>
      </c>
      <c r="U348" s="148" t="s">
        <v>120</v>
      </c>
      <c r="V348" s="145">
        <f t="shared" si="65"/>
        <v>157</v>
      </c>
      <c r="W348" s="149"/>
      <c r="X348" s="145">
        <f t="shared" si="66"/>
        <v>243</v>
      </c>
      <c r="Y348">
        <f ca="1" t="shared" si="67"/>
        <v>0.91942660629863</v>
      </c>
      <c r="Z348" s="199"/>
      <c r="AA348" s="199"/>
      <c r="AB348" s="199"/>
      <c r="AC348" s="199"/>
      <c r="AD348" s="199"/>
      <c r="AE348" s="199"/>
      <c r="AF348" s="199"/>
      <c r="AG348" s="199"/>
      <c r="AH348" s="199"/>
      <c r="AI348" s="199"/>
      <c r="AJ348" s="199"/>
      <c r="AK348" s="199"/>
      <c r="AL348" s="199"/>
    </row>
    <row r="349" spans="1:38">
      <c r="A349" s="198"/>
      <c r="B349" s="153">
        <v>603</v>
      </c>
      <c r="C349" s="154" t="s">
        <v>694</v>
      </c>
      <c r="D349" s="144">
        <v>10</v>
      </c>
      <c r="E349" s="145">
        <v>79</v>
      </c>
      <c r="F349" s="145">
        <v>70</v>
      </c>
      <c r="G349" s="145">
        <v>58</v>
      </c>
      <c r="H349" s="145">
        <v>60</v>
      </c>
      <c r="I349" s="145">
        <v>80</v>
      </c>
      <c r="J349" s="145">
        <f t="shared" si="64"/>
        <v>347</v>
      </c>
      <c r="K349" s="145">
        <v>107</v>
      </c>
      <c r="L349" s="147" t="s">
        <v>130</v>
      </c>
      <c r="M349" s="147" t="s">
        <v>115</v>
      </c>
      <c r="N349" s="147" t="s">
        <v>114</v>
      </c>
      <c r="O349" s="147" t="s">
        <v>124</v>
      </c>
      <c r="P349" s="147" t="s">
        <v>130</v>
      </c>
      <c r="Q349" s="147" t="s">
        <v>114</v>
      </c>
      <c r="R349" s="148" t="s">
        <v>160</v>
      </c>
      <c r="S349" s="148" t="s">
        <v>118</v>
      </c>
      <c r="T349" s="148" t="s">
        <v>119</v>
      </c>
      <c r="U349" s="148" t="s">
        <v>126</v>
      </c>
      <c r="V349" s="145">
        <f t="shared" si="65"/>
        <v>149</v>
      </c>
      <c r="W349" s="149"/>
      <c r="X349" s="145">
        <f t="shared" si="66"/>
        <v>207</v>
      </c>
      <c r="Y349">
        <f ca="1" t="shared" si="67"/>
        <v>0.762836428982856</v>
      </c>
      <c r="Z349" s="199"/>
      <c r="AA349" s="199"/>
      <c r="AB349" s="199"/>
      <c r="AC349" s="199"/>
      <c r="AD349" s="199"/>
      <c r="AE349" s="199"/>
      <c r="AF349" s="199"/>
      <c r="AG349" s="199"/>
      <c r="AH349" s="199"/>
      <c r="AI349" s="199"/>
      <c r="AJ349" s="199"/>
      <c r="AK349" s="199"/>
      <c r="AL349" s="199"/>
    </row>
    <row r="350" spans="1:38">
      <c r="A350" s="198"/>
      <c r="B350" s="153">
        <v>229</v>
      </c>
      <c r="C350" s="154" t="s">
        <v>457</v>
      </c>
      <c r="D350" s="144">
        <v>1</v>
      </c>
      <c r="E350" s="145">
        <v>54</v>
      </c>
      <c r="F350" s="145">
        <v>39</v>
      </c>
      <c r="G350" s="145">
        <v>71</v>
      </c>
      <c r="H350" s="145">
        <v>77</v>
      </c>
      <c r="I350" s="145">
        <v>69</v>
      </c>
      <c r="J350" s="145">
        <f t="shared" si="64"/>
        <v>310</v>
      </c>
      <c r="K350" s="145">
        <v>31</v>
      </c>
      <c r="L350" s="147" t="s">
        <v>124</v>
      </c>
      <c r="M350" s="147" t="s">
        <v>130</v>
      </c>
      <c r="N350" s="147" t="s">
        <v>124</v>
      </c>
      <c r="O350" s="147" t="s">
        <v>124</v>
      </c>
      <c r="P350" s="147" t="s">
        <v>124</v>
      </c>
      <c r="Q350" s="147" t="s">
        <v>114</v>
      </c>
      <c r="R350" s="148" t="s">
        <v>365</v>
      </c>
      <c r="S350" s="148" t="s">
        <v>132</v>
      </c>
      <c r="T350" s="148" t="s">
        <v>119</v>
      </c>
      <c r="U350" s="148" t="s">
        <v>148</v>
      </c>
      <c r="V350" s="145">
        <f t="shared" si="65"/>
        <v>93</v>
      </c>
      <c r="W350" s="149"/>
      <c r="X350" s="145">
        <f t="shared" si="66"/>
        <v>164</v>
      </c>
      <c r="Y350">
        <f ca="1" t="shared" si="67"/>
        <v>0.502476971838535</v>
      </c>
      <c r="Z350" s="199"/>
      <c r="AA350" s="199"/>
      <c r="AB350" s="199"/>
      <c r="AC350" s="199"/>
      <c r="AD350" s="199"/>
      <c r="AE350" s="199"/>
      <c r="AF350" s="199"/>
      <c r="AG350" s="199"/>
      <c r="AH350" s="199"/>
      <c r="AI350" s="199"/>
      <c r="AJ350" s="199"/>
      <c r="AK350" s="199"/>
      <c r="AL350" s="199"/>
    </row>
    <row r="351" spans="1:38">
      <c r="A351" s="198"/>
      <c r="B351" s="153">
        <v>659</v>
      </c>
      <c r="C351" s="154" t="s">
        <v>1007</v>
      </c>
      <c r="D351" s="144">
        <v>10</v>
      </c>
      <c r="E351" s="145">
        <v>68</v>
      </c>
      <c r="F351" s="145">
        <v>97</v>
      </c>
      <c r="G351" s="145">
        <v>42</v>
      </c>
      <c r="H351" s="145">
        <v>53</v>
      </c>
      <c r="I351" s="145">
        <v>61</v>
      </c>
      <c r="J351" s="145">
        <f t="shared" si="64"/>
        <v>321</v>
      </c>
      <c r="K351" s="145">
        <v>60</v>
      </c>
      <c r="L351" s="147" t="s">
        <v>130</v>
      </c>
      <c r="M351" s="147" t="s">
        <v>130</v>
      </c>
      <c r="N351" s="147" t="s">
        <v>130</v>
      </c>
      <c r="O351" s="147" t="s">
        <v>114</v>
      </c>
      <c r="P351" s="147" t="s">
        <v>114</v>
      </c>
      <c r="Q351" s="147" t="s">
        <v>130</v>
      </c>
      <c r="R351" s="148" t="s">
        <v>228</v>
      </c>
      <c r="S351" s="148" t="s">
        <v>118</v>
      </c>
      <c r="T351" s="148" t="s">
        <v>133</v>
      </c>
      <c r="U351" s="148" t="s">
        <v>126</v>
      </c>
      <c r="V351" s="145">
        <f t="shared" si="65"/>
        <v>165</v>
      </c>
      <c r="W351" s="149"/>
      <c r="X351" s="145">
        <f t="shared" si="66"/>
        <v>207</v>
      </c>
      <c r="Y351">
        <f ca="1" t="shared" si="67"/>
        <v>0.518156223134238</v>
      </c>
      <c r="Z351" s="199"/>
      <c r="AA351" s="199"/>
      <c r="AB351" s="199"/>
      <c r="AC351" s="199"/>
      <c r="AD351" s="199"/>
      <c r="AE351" s="199"/>
      <c r="AF351" s="199"/>
      <c r="AG351" s="199"/>
      <c r="AH351" s="199"/>
      <c r="AI351" s="199"/>
      <c r="AJ351" s="199"/>
      <c r="AK351" s="199"/>
      <c r="AL351" s="199"/>
    </row>
    <row r="352" spans="1:38">
      <c r="A352" s="198"/>
      <c r="B352" s="153">
        <v>689</v>
      </c>
      <c r="C352" s="154" t="s">
        <v>267</v>
      </c>
      <c r="D352" s="144">
        <v>10</v>
      </c>
      <c r="E352" s="145">
        <v>79</v>
      </c>
      <c r="F352" s="145">
        <v>76</v>
      </c>
      <c r="G352" s="145">
        <v>78</v>
      </c>
      <c r="H352" s="145">
        <v>75</v>
      </c>
      <c r="I352" s="145">
        <v>46</v>
      </c>
      <c r="J352" s="145">
        <f t="shared" si="64"/>
        <v>354</v>
      </c>
      <c r="K352" s="145">
        <v>86</v>
      </c>
      <c r="L352" s="147" t="s">
        <v>130</v>
      </c>
      <c r="M352" s="147" t="s">
        <v>114</v>
      </c>
      <c r="N352" s="147" t="s">
        <v>130</v>
      </c>
      <c r="O352" s="147" t="s">
        <v>130</v>
      </c>
      <c r="P352" s="147" t="s">
        <v>115</v>
      </c>
      <c r="Q352" s="147" t="s">
        <v>124</v>
      </c>
      <c r="R352" s="148" t="s">
        <v>268</v>
      </c>
      <c r="S352" s="148" t="s">
        <v>132</v>
      </c>
      <c r="T352" s="148" t="s">
        <v>136</v>
      </c>
      <c r="U352" s="148" t="s">
        <v>126</v>
      </c>
      <c r="V352" s="145">
        <f t="shared" si="65"/>
        <v>155</v>
      </c>
      <c r="W352" s="149"/>
      <c r="X352" s="145">
        <f t="shared" si="66"/>
        <v>233</v>
      </c>
      <c r="Y352">
        <f ca="1" t="shared" si="67"/>
        <v>0.0683823094517764</v>
      </c>
      <c r="Z352" s="199"/>
      <c r="AA352" s="199"/>
      <c r="AB352" s="199"/>
      <c r="AC352" s="199"/>
      <c r="AD352" s="199"/>
      <c r="AE352" s="199"/>
      <c r="AF352" s="199"/>
      <c r="AG352" s="199"/>
      <c r="AH352" s="199"/>
      <c r="AI352" s="199"/>
      <c r="AJ352" s="199"/>
      <c r="AK352" s="199"/>
      <c r="AL352" s="199"/>
    </row>
    <row r="353" spans="1:38">
      <c r="A353" s="198"/>
      <c r="B353" s="153">
        <v>347</v>
      </c>
      <c r="C353" s="154" t="s">
        <v>488</v>
      </c>
      <c r="D353" s="144">
        <v>2</v>
      </c>
      <c r="E353" s="145">
        <v>61</v>
      </c>
      <c r="F353" s="145">
        <v>74</v>
      </c>
      <c r="G353" s="145">
        <v>77</v>
      </c>
      <c r="H353" s="145">
        <v>81</v>
      </c>
      <c r="I353" s="145">
        <v>66</v>
      </c>
      <c r="J353" s="145">
        <f t="shared" si="64"/>
        <v>359</v>
      </c>
      <c r="K353" s="145">
        <v>25</v>
      </c>
      <c r="L353" s="147" t="s">
        <v>130</v>
      </c>
      <c r="M353" s="147" t="s">
        <v>130</v>
      </c>
      <c r="N353" s="147" t="s">
        <v>130</v>
      </c>
      <c r="O353" s="147" t="s">
        <v>130</v>
      </c>
      <c r="P353" s="147" t="s">
        <v>124</v>
      </c>
      <c r="Q353" s="147" t="s">
        <v>130</v>
      </c>
      <c r="R353" s="148" t="s">
        <v>314</v>
      </c>
      <c r="S353" s="148" t="s">
        <v>119</v>
      </c>
      <c r="T353" s="148" t="s">
        <v>145</v>
      </c>
      <c r="U353" s="148" t="s">
        <v>120</v>
      </c>
      <c r="V353" s="145">
        <f t="shared" si="65"/>
        <v>135</v>
      </c>
      <c r="W353" s="149"/>
      <c r="X353" s="145">
        <f t="shared" si="66"/>
        <v>212</v>
      </c>
      <c r="Y353">
        <f ca="1" t="shared" si="67"/>
        <v>0.16788502501405</v>
      </c>
      <c r="Z353" s="199"/>
      <c r="AA353" s="199"/>
      <c r="AB353" s="199"/>
      <c r="AC353" s="199"/>
      <c r="AD353" s="199"/>
      <c r="AE353" s="199"/>
      <c r="AF353" s="199"/>
      <c r="AG353" s="199"/>
      <c r="AH353" s="199"/>
      <c r="AI353" s="199"/>
      <c r="AJ353" s="199"/>
      <c r="AK353" s="199"/>
      <c r="AL353" s="199"/>
    </row>
    <row r="354" spans="1:38">
      <c r="A354" s="198"/>
      <c r="B354" s="153">
        <v>544</v>
      </c>
      <c r="C354" s="156" t="s">
        <v>355</v>
      </c>
      <c r="D354" s="144">
        <v>9</v>
      </c>
      <c r="E354" s="145">
        <v>66</v>
      </c>
      <c r="F354" s="145">
        <v>27</v>
      </c>
      <c r="G354" s="145">
        <v>82</v>
      </c>
      <c r="H354" s="145">
        <v>89</v>
      </c>
      <c r="I354" s="145">
        <v>83</v>
      </c>
      <c r="J354" s="145">
        <f t="shared" si="64"/>
        <v>347</v>
      </c>
      <c r="K354" s="145">
        <v>140</v>
      </c>
      <c r="L354" s="147" t="s">
        <v>124</v>
      </c>
      <c r="M354" s="147" t="s">
        <v>124</v>
      </c>
      <c r="N354" s="147" t="s">
        <v>124</v>
      </c>
      <c r="O354" s="147" t="s">
        <v>124</v>
      </c>
      <c r="P354" s="147" t="s">
        <v>124</v>
      </c>
      <c r="Q354" s="147" t="s">
        <v>115</v>
      </c>
      <c r="R354" s="148" t="s">
        <v>268</v>
      </c>
      <c r="S354" s="148" t="s">
        <v>118</v>
      </c>
      <c r="T354" s="148" t="s">
        <v>119</v>
      </c>
      <c r="U354" s="148" t="s">
        <v>120</v>
      </c>
      <c r="V354" s="145">
        <f t="shared" si="65"/>
        <v>93</v>
      </c>
      <c r="W354" s="149"/>
      <c r="X354" s="145">
        <f t="shared" si="66"/>
        <v>175</v>
      </c>
      <c r="Y354">
        <f ca="1" t="shared" si="67"/>
        <v>0.747779739304382</v>
      </c>
      <c r="Z354" s="199"/>
      <c r="AA354" s="199"/>
      <c r="AB354" s="199"/>
      <c r="AC354" s="199"/>
      <c r="AD354" s="199"/>
      <c r="AE354" s="199"/>
      <c r="AF354" s="199"/>
      <c r="AG354" s="199"/>
      <c r="AH354" s="199"/>
      <c r="AI354" s="199"/>
      <c r="AJ354" s="199"/>
      <c r="AK354" s="199"/>
      <c r="AL354" s="199"/>
    </row>
    <row r="355" spans="1:38">
      <c r="A355" s="197" t="s">
        <v>1412</v>
      </c>
      <c r="B355" s="153">
        <v>266</v>
      </c>
      <c r="C355" s="154" t="s">
        <v>528</v>
      </c>
      <c r="D355" s="144">
        <v>15</v>
      </c>
      <c r="E355" s="145">
        <v>59</v>
      </c>
      <c r="F355" s="145">
        <v>48</v>
      </c>
      <c r="G355" s="145">
        <v>103</v>
      </c>
      <c r="H355" s="145">
        <v>84</v>
      </c>
      <c r="I355" s="145">
        <v>59</v>
      </c>
      <c r="J355" s="145">
        <f t="shared" si="64"/>
        <v>353</v>
      </c>
      <c r="K355" s="145">
        <v>94</v>
      </c>
      <c r="L355" s="147" t="s">
        <v>124</v>
      </c>
      <c r="M355" s="147" t="s">
        <v>124</v>
      </c>
      <c r="N355" s="147" t="s">
        <v>130</v>
      </c>
      <c r="O355" s="147" t="s">
        <v>124</v>
      </c>
      <c r="P355" s="147" t="s">
        <v>124</v>
      </c>
      <c r="Q355" s="147" t="s">
        <v>124</v>
      </c>
      <c r="R355" s="170" t="s">
        <v>150</v>
      </c>
      <c r="S355" s="148" t="s">
        <v>119</v>
      </c>
      <c r="T355" s="148" t="s">
        <v>119</v>
      </c>
      <c r="U355" s="148" t="s">
        <v>120</v>
      </c>
      <c r="V355" s="145">
        <f t="shared" si="65"/>
        <v>107</v>
      </c>
      <c r="W355" s="193" t="s">
        <v>151</v>
      </c>
      <c r="X355" s="145">
        <f t="shared" si="66"/>
        <v>210</v>
      </c>
      <c r="Y355">
        <f ca="1" t="shared" si="67"/>
        <v>0.862641519991222</v>
      </c>
      <c r="Z355" s="199"/>
      <c r="AA355" s="199"/>
      <c r="AB355" s="199"/>
      <c r="AC355" s="199"/>
      <c r="AD355" s="199"/>
      <c r="AE355" s="199"/>
      <c r="AF355" s="199"/>
      <c r="AG355" s="199"/>
      <c r="AH355" s="199"/>
      <c r="AI355" s="199"/>
      <c r="AJ355" s="199"/>
      <c r="AK355" s="199"/>
      <c r="AL355" s="199"/>
    </row>
    <row r="356" ht="17.6" spans="1:38">
      <c r="A356" s="197"/>
      <c r="B356" s="122">
        <v>22</v>
      </c>
      <c r="C356" s="121" t="s">
        <v>1413</v>
      </c>
      <c r="D356" s="124">
        <v>4</v>
      </c>
      <c r="E356" s="121" t="s">
        <v>1401</v>
      </c>
      <c r="F356" s="121" t="s">
        <v>266</v>
      </c>
      <c r="G356" s="145"/>
      <c r="H356" s="145"/>
      <c r="I356" s="145"/>
      <c r="J356" s="145"/>
      <c r="K356" s="145"/>
      <c r="L356" s="147"/>
      <c r="M356" s="147"/>
      <c r="N356" s="147"/>
      <c r="O356" s="147"/>
      <c r="P356" s="147"/>
      <c r="Q356" s="147"/>
      <c r="R356" s="170"/>
      <c r="S356" s="148"/>
      <c r="T356" s="148"/>
      <c r="U356" s="148"/>
      <c r="V356" s="145"/>
      <c r="W356" s="193"/>
      <c r="X356" s="145"/>
      <c r="Z356" s="199"/>
      <c r="AA356" s="199"/>
      <c r="AB356" s="199"/>
      <c r="AC356" s="199"/>
      <c r="AD356" s="199"/>
      <c r="AE356" s="199"/>
      <c r="AF356" s="199"/>
      <c r="AG356" s="199"/>
      <c r="AH356" s="199"/>
      <c r="AI356" s="199"/>
      <c r="AJ356" s="199"/>
      <c r="AK356" s="199"/>
      <c r="AL356" s="199"/>
    </row>
    <row r="357" spans="1:38">
      <c r="A357" s="197"/>
      <c r="B357" s="153">
        <v>241</v>
      </c>
      <c r="C357" s="154" t="s">
        <v>745</v>
      </c>
      <c r="D357" s="144">
        <v>14</v>
      </c>
      <c r="E357" s="145">
        <v>39</v>
      </c>
      <c r="F357" s="145">
        <v>27</v>
      </c>
      <c r="G357" s="145">
        <v>68</v>
      </c>
      <c r="H357" s="145">
        <v>83</v>
      </c>
      <c r="I357" s="145">
        <v>72</v>
      </c>
      <c r="J357" s="145">
        <f t="shared" ref="J357:J402" si="68">SUM(E357:I357)</f>
        <v>289</v>
      </c>
      <c r="K357" s="145">
        <v>28</v>
      </c>
      <c r="L357" s="147" t="s">
        <v>124</v>
      </c>
      <c r="M357" s="147" t="s">
        <v>124</v>
      </c>
      <c r="N357" s="147" t="s">
        <v>124</v>
      </c>
      <c r="O357" s="147" t="s">
        <v>124</v>
      </c>
      <c r="P357" s="147" t="s">
        <v>130</v>
      </c>
      <c r="Q357" s="147" t="s">
        <v>124</v>
      </c>
      <c r="R357" s="148" t="s">
        <v>292</v>
      </c>
      <c r="S357" s="148" t="s">
        <v>132</v>
      </c>
      <c r="T357" s="148" t="s">
        <v>119</v>
      </c>
      <c r="U357" s="148" t="s">
        <v>120</v>
      </c>
      <c r="V357" s="145">
        <f t="shared" ref="V357:V402" si="69">E357+F357</f>
        <v>66</v>
      </c>
      <c r="W357" s="149"/>
      <c r="X357" s="145">
        <f t="shared" ref="X357:X402" si="70">E357+F357+G357</f>
        <v>134</v>
      </c>
      <c r="Y357">
        <f ca="1" t="shared" ref="Y357:Y402" si="71">RAND()</f>
        <v>0.12586876534671</v>
      </c>
      <c r="Z357" s="199"/>
      <c r="AA357" s="199"/>
      <c r="AB357" s="199"/>
      <c r="AC357" s="199"/>
      <c r="AD357" s="199"/>
      <c r="AE357" s="199"/>
      <c r="AF357" s="199"/>
      <c r="AG357" s="199"/>
      <c r="AH357" s="199"/>
      <c r="AI357" s="199"/>
      <c r="AJ357" s="199"/>
      <c r="AK357" s="199"/>
      <c r="AL357" s="199"/>
    </row>
    <row r="358" spans="1:38">
      <c r="A358" s="197"/>
      <c r="B358" s="153">
        <v>521</v>
      </c>
      <c r="C358" s="154" t="s">
        <v>618</v>
      </c>
      <c r="D358" s="144">
        <v>7</v>
      </c>
      <c r="E358" s="145">
        <v>71</v>
      </c>
      <c r="F358" s="145">
        <v>50</v>
      </c>
      <c r="G358" s="145">
        <v>91</v>
      </c>
      <c r="H358" s="145">
        <v>85</v>
      </c>
      <c r="I358" s="145">
        <v>95</v>
      </c>
      <c r="J358" s="145">
        <f t="shared" si="68"/>
        <v>392</v>
      </c>
      <c r="K358" s="145">
        <v>46</v>
      </c>
      <c r="L358" s="147" t="s">
        <v>130</v>
      </c>
      <c r="M358" s="147" t="s">
        <v>130</v>
      </c>
      <c r="N358" s="147" t="s">
        <v>130</v>
      </c>
      <c r="O358" s="147" t="s">
        <v>130</v>
      </c>
      <c r="P358" s="147" t="s">
        <v>130</v>
      </c>
      <c r="Q358" s="147" t="s">
        <v>130</v>
      </c>
      <c r="R358" s="148" t="s">
        <v>230</v>
      </c>
      <c r="S358" s="148" t="s">
        <v>118</v>
      </c>
      <c r="T358" s="148" t="s">
        <v>119</v>
      </c>
      <c r="U358" s="148" t="s">
        <v>126</v>
      </c>
      <c r="V358" s="145">
        <f t="shared" si="69"/>
        <v>121</v>
      </c>
      <c r="W358" s="149"/>
      <c r="X358" s="145">
        <f t="shared" si="70"/>
        <v>212</v>
      </c>
      <c r="Y358">
        <f ca="1" t="shared" si="71"/>
        <v>0.711361916023509</v>
      </c>
      <c r="Z358" s="199"/>
      <c r="AA358" s="199"/>
      <c r="AB358" s="199"/>
      <c r="AC358" s="199"/>
      <c r="AD358" s="199"/>
      <c r="AE358" s="199"/>
      <c r="AF358" s="199"/>
      <c r="AG358" s="199"/>
      <c r="AH358" s="199"/>
      <c r="AI358" s="199"/>
      <c r="AJ358" s="199"/>
      <c r="AK358" s="199"/>
      <c r="AL358" s="199"/>
    </row>
    <row r="359" spans="1:38">
      <c r="A359" s="197"/>
      <c r="B359" s="153">
        <v>477</v>
      </c>
      <c r="C359" s="154" t="s">
        <v>420</v>
      </c>
      <c r="D359" s="144">
        <v>11</v>
      </c>
      <c r="E359" s="145">
        <v>82</v>
      </c>
      <c r="F359" s="145">
        <v>81</v>
      </c>
      <c r="G359" s="145">
        <v>60</v>
      </c>
      <c r="H359" s="145">
        <v>56</v>
      </c>
      <c r="I359" s="145">
        <v>75</v>
      </c>
      <c r="J359" s="145">
        <f t="shared" si="68"/>
        <v>354</v>
      </c>
      <c r="K359" s="145">
        <v>45</v>
      </c>
      <c r="L359" s="147" t="s">
        <v>114</v>
      </c>
      <c r="M359" s="147" t="s">
        <v>130</v>
      </c>
      <c r="N359" s="147" t="s">
        <v>114</v>
      </c>
      <c r="O359" s="147" t="s">
        <v>115</v>
      </c>
      <c r="P359" s="147" t="s">
        <v>124</v>
      </c>
      <c r="Q359" s="147" t="s">
        <v>130</v>
      </c>
      <c r="R359" s="148" t="s">
        <v>198</v>
      </c>
      <c r="S359" s="148" t="s">
        <v>132</v>
      </c>
      <c r="T359" s="148" t="s">
        <v>119</v>
      </c>
      <c r="U359" s="148" t="s">
        <v>126</v>
      </c>
      <c r="V359" s="145">
        <f t="shared" si="69"/>
        <v>163</v>
      </c>
      <c r="W359" s="149"/>
      <c r="X359" s="145">
        <f t="shared" si="70"/>
        <v>223</v>
      </c>
      <c r="Y359">
        <f ca="1" t="shared" si="71"/>
        <v>0.958334390453134</v>
      </c>
      <c r="Z359" s="199"/>
      <c r="AA359" s="199"/>
      <c r="AB359" s="199"/>
      <c r="AC359" s="199"/>
      <c r="AD359" s="199"/>
      <c r="AE359" s="199"/>
      <c r="AF359" s="199"/>
      <c r="AG359" s="199"/>
      <c r="AH359" s="199"/>
      <c r="AI359" s="199"/>
      <c r="AJ359" s="199"/>
      <c r="AK359" s="199"/>
      <c r="AL359" s="199"/>
    </row>
    <row r="360" spans="1:38">
      <c r="A360" s="197"/>
      <c r="B360" s="153">
        <v>310</v>
      </c>
      <c r="C360" s="154" t="s">
        <v>936</v>
      </c>
      <c r="D360" s="144">
        <v>2</v>
      </c>
      <c r="E360" s="145">
        <v>70</v>
      </c>
      <c r="F360" s="145">
        <v>54</v>
      </c>
      <c r="G360" s="145">
        <v>66</v>
      </c>
      <c r="H360" s="145">
        <v>76</v>
      </c>
      <c r="I360" s="145">
        <v>79</v>
      </c>
      <c r="J360" s="145">
        <f t="shared" si="68"/>
        <v>345</v>
      </c>
      <c r="K360" s="145">
        <v>94</v>
      </c>
      <c r="L360" s="147" t="s">
        <v>130</v>
      </c>
      <c r="M360" s="147" t="s">
        <v>130</v>
      </c>
      <c r="N360" s="147" t="s">
        <v>130</v>
      </c>
      <c r="O360" s="147" t="s">
        <v>124</v>
      </c>
      <c r="P360" s="147" t="s">
        <v>114</v>
      </c>
      <c r="Q360" s="147" t="s">
        <v>115</v>
      </c>
      <c r="R360" s="148" t="s">
        <v>587</v>
      </c>
      <c r="S360" s="148" t="s">
        <v>118</v>
      </c>
      <c r="T360" s="148" t="s">
        <v>133</v>
      </c>
      <c r="U360" s="148" t="s">
        <v>120</v>
      </c>
      <c r="V360" s="145">
        <f t="shared" si="69"/>
        <v>124</v>
      </c>
      <c r="W360" s="149"/>
      <c r="X360" s="145">
        <f t="shared" si="70"/>
        <v>190</v>
      </c>
      <c r="Y360">
        <f ca="1" t="shared" si="71"/>
        <v>0.472176004589747</v>
      </c>
      <c r="Z360" s="199"/>
      <c r="AA360" s="199"/>
      <c r="AB360" s="199"/>
      <c r="AC360" s="199"/>
      <c r="AD360" s="199"/>
      <c r="AE360" s="199"/>
      <c r="AF360" s="199"/>
      <c r="AG360" s="199"/>
      <c r="AH360" s="199"/>
      <c r="AI360" s="199"/>
      <c r="AJ360" s="199"/>
      <c r="AK360" s="199"/>
      <c r="AL360" s="199"/>
    </row>
    <row r="361" spans="1:38">
      <c r="A361" s="197"/>
      <c r="B361" s="153">
        <v>277</v>
      </c>
      <c r="C361" s="154" t="s">
        <v>615</v>
      </c>
      <c r="D361" s="144">
        <v>4</v>
      </c>
      <c r="E361" s="145">
        <v>67</v>
      </c>
      <c r="F361" s="145">
        <v>65</v>
      </c>
      <c r="G361" s="145">
        <v>79</v>
      </c>
      <c r="H361" s="145">
        <v>82</v>
      </c>
      <c r="I361" s="145">
        <v>96</v>
      </c>
      <c r="J361" s="145">
        <f t="shared" si="68"/>
        <v>389</v>
      </c>
      <c r="K361" s="145">
        <v>115</v>
      </c>
      <c r="L361" s="147" t="s">
        <v>114</v>
      </c>
      <c r="M361" s="147" t="s">
        <v>130</v>
      </c>
      <c r="N361" s="147" t="s">
        <v>130</v>
      </c>
      <c r="O361" s="147" t="s">
        <v>124</v>
      </c>
      <c r="P361" s="147" t="s">
        <v>130</v>
      </c>
      <c r="Q361" s="147" t="s">
        <v>114</v>
      </c>
      <c r="R361" s="148" t="s">
        <v>299</v>
      </c>
      <c r="S361" s="148" t="s">
        <v>132</v>
      </c>
      <c r="T361" s="148" t="s">
        <v>119</v>
      </c>
      <c r="U361" s="148" t="s">
        <v>120</v>
      </c>
      <c r="V361" s="145">
        <f t="shared" si="69"/>
        <v>132</v>
      </c>
      <c r="W361" s="149"/>
      <c r="X361" s="145">
        <f t="shared" si="70"/>
        <v>211</v>
      </c>
      <c r="Y361">
        <f ca="1" t="shared" si="71"/>
        <v>0.67212050719908</v>
      </c>
      <c r="Z361" s="199"/>
      <c r="AA361" s="199"/>
      <c r="AB361" s="199"/>
      <c r="AC361" s="199"/>
      <c r="AD361" s="199"/>
      <c r="AE361" s="199"/>
      <c r="AF361" s="199"/>
      <c r="AG361" s="199"/>
      <c r="AH361" s="199"/>
      <c r="AI361" s="199"/>
      <c r="AJ361" s="199"/>
      <c r="AK361" s="199"/>
      <c r="AL361" s="199"/>
    </row>
    <row r="362" spans="1:38">
      <c r="A362" s="197"/>
      <c r="B362" s="153">
        <v>166</v>
      </c>
      <c r="C362" s="154" t="s">
        <v>352</v>
      </c>
      <c r="D362" s="144">
        <v>5</v>
      </c>
      <c r="E362" s="145">
        <v>48</v>
      </c>
      <c r="F362" s="145">
        <v>39</v>
      </c>
      <c r="G362" s="145">
        <v>72</v>
      </c>
      <c r="H362" s="145">
        <v>90</v>
      </c>
      <c r="I362" s="145">
        <v>83</v>
      </c>
      <c r="J362" s="145">
        <f t="shared" si="68"/>
        <v>332</v>
      </c>
      <c r="K362" s="145">
        <v>75</v>
      </c>
      <c r="L362" s="147" t="s">
        <v>124</v>
      </c>
      <c r="M362" s="147" t="s">
        <v>130</v>
      </c>
      <c r="N362" s="147" t="s">
        <v>124</v>
      </c>
      <c r="O362" s="147" t="s">
        <v>124</v>
      </c>
      <c r="P362" s="147" t="s">
        <v>124</v>
      </c>
      <c r="Q362" s="147" t="s">
        <v>124</v>
      </c>
      <c r="R362" s="148" t="s">
        <v>353</v>
      </c>
      <c r="S362" s="148" t="s">
        <v>132</v>
      </c>
      <c r="T362" s="148" t="s">
        <v>133</v>
      </c>
      <c r="U362" s="148" t="s">
        <v>148</v>
      </c>
      <c r="V362" s="145">
        <f t="shared" si="69"/>
        <v>87</v>
      </c>
      <c r="W362" s="149"/>
      <c r="X362" s="145">
        <f t="shared" si="70"/>
        <v>159</v>
      </c>
      <c r="Y362">
        <f ca="1" t="shared" si="71"/>
        <v>0.699553651925841</v>
      </c>
      <c r="Z362" s="199"/>
      <c r="AA362" s="199"/>
      <c r="AB362" s="199"/>
      <c r="AC362" s="199"/>
      <c r="AD362" s="199"/>
      <c r="AE362" s="199"/>
      <c r="AF362" s="199"/>
      <c r="AG362" s="199"/>
      <c r="AH362" s="199"/>
      <c r="AI362" s="199"/>
      <c r="AJ362" s="199"/>
      <c r="AK362" s="199"/>
      <c r="AL362" s="199"/>
    </row>
    <row r="363" spans="1:38">
      <c r="A363" s="197"/>
      <c r="B363" s="153">
        <v>276</v>
      </c>
      <c r="C363" s="154" t="s">
        <v>539</v>
      </c>
      <c r="D363" s="144">
        <v>1</v>
      </c>
      <c r="E363" s="145">
        <v>11</v>
      </c>
      <c r="F363" s="145">
        <v>55</v>
      </c>
      <c r="G363" s="145">
        <v>83</v>
      </c>
      <c r="H363" s="145">
        <v>68</v>
      </c>
      <c r="I363" s="145">
        <v>56</v>
      </c>
      <c r="J363" s="145">
        <f t="shared" si="68"/>
        <v>273</v>
      </c>
      <c r="K363" s="145">
        <v>73</v>
      </c>
      <c r="L363" s="147" t="s">
        <v>124</v>
      </c>
      <c r="M363" s="147" t="s">
        <v>124</v>
      </c>
      <c r="N363" s="147" t="s">
        <v>124</v>
      </c>
      <c r="O363" s="147" t="s">
        <v>124</v>
      </c>
      <c r="P363" s="147" t="s">
        <v>124</v>
      </c>
      <c r="Q363" s="147" t="s">
        <v>124</v>
      </c>
      <c r="R363" s="148" t="s">
        <v>333</v>
      </c>
      <c r="S363" s="148" t="s">
        <v>119</v>
      </c>
      <c r="T363" s="148" t="s">
        <v>119</v>
      </c>
      <c r="U363" s="148" t="s">
        <v>120</v>
      </c>
      <c r="V363" s="145">
        <f t="shared" si="69"/>
        <v>66</v>
      </c>
      <c r="W363" s="149"/>
      <c r="X363" s="145">
        <f t="shared" si="70"/>
        <v>149</v>
      </c>
      <c r="Y363">
        <f ca="1" t="shared" si="71"/>
        <v>0.838326533460299</v>
      </c>
      <c r="Z363" s="199"/>
      <c r="AA363" s="199"/>
      <c r="AB363" s="199"/>
      <c r="AC363" s="199"/>
      <c r="AD363" s="199"/>
      <c r="AE363" s="199"/>
      <c r="AF363" s="199"/>
      <c r="AG363" s="199"/>
      <c r="AH363" s="199"/>
      <c r="AI363" s="199"/>
      <c r="AJ363" s="199"/>
      <c r="AK363" s="199"/>
      <c r="AL363" s="199"/>
    </row>
    <row r="364" spans="1:38">
      <c r="A364" s="197"/>
      <c r="B364" s="153">
        <v>385</v>
      </c>
      <c r="C364" s="154" t="s">
        <v>737</v>
      </c>
      <c r="D364" s="144">
        <v>5</v>
      </c>
      <c r="E364" s="145">
        <v>70</v>
      </c>
      <c r="F364" s="145">
        <v>73</v>
      </c>
      <c r="G364" s="145">
        <v>60</v>
      </c>
      <c r="H364" s="145">
        <v>74</v>
      </c>
      <c r="I364" s="145">
        <v>73</v>
      </c>
      <c r="J364" s="145">
        <f t="shared" si="68"/>
        <v>350</v>
      </c>
      <c r="K364" s="145">
        <v>143</v>
      </c>
      <c r="L364" s="147" t="s">
        <v>114</v>
      </c>
      <c r="M364" s="147" t="s">
        <v>130</v>
      </c>
      <c r="N364" s="147" t="s">
        <v>114</v>
      </c>
      <c r="O364" s="147" t="s">
        <v>114</v>
      </c>
      <c r="P364" s="147" t="s">
        <v>130</v>
      </c>
      <c r="Q364" s="147" t="s">
        <v>124</v>
      </c>
      <c r="R364" s="148" t="s">
        <v>402</v>
      </c>
      <c r="S364" s="148" t="s">
        <v>132</v>
      </c>
      <c r="T364" s="148" t="s">
        <v>119</v>
      </c>
      <c r="U364" s="148" t="s">
        <v>250</v>
      </c>
      <c r="V364" s="145">
        <f t="shared" si="69"/>
        <v>143</v>
      </c>
      <c r="W364" s="149"/>
      <c r="X364" s="145">
        <f t="shared" si="70"/>
        <v>203</v>
      </c>
      <c r="Y364">
        <f ca="1" t="shared" si="71"/>
        <v>0.154241548809447</v>
      </c>
      <c r="Z364" s="199"/>
      <c r="AA364" s="199"/>
      <c r="AB364" s="199"/>
      <c r="AC364" s="199"/>
      <c r="AD364" s="199"/>
      <c r="AE364" s="199"/>
      <c r="AF364" s="199"/>
      <c r="AG364" s="199"/>
      <c r="AH364" s="199"/>
      <c r="AI364" s="199"/>
      <c r="AJ364" s="199"/>
      <c r="AK364" s="199"/>
      <c r="AL364" s="199"/>
    </row>
    <row r="365" spans="1:38">
      <c r="A365" s="197"/>
      <c r="B365" s="153">
        <v>407</v>
      </c>
      <c r="C365" s="154" t="s">
        <v>604</v>
      </c>
      <c r="D365" s="157">
        <v>8</v>
      </c>
      <c r="E365" s="145">
        <v>66</v>
      </c>
      <c r="F365" s="145">
        <v>91</v>
      </c>
      <c r="G365" s="145">
        <v>18</v>
      </c>
      <c r="H365" s="145">
        <v>10</v>
      </c>
      <c r="I365" s="145">
        <v>23</v>
      </c>
      <c r="J365" s="145">
        <f t="shared" si="68"/>
        <v>208</v>
      </c>
      <c r="K365" s="145">
        <v>0</v>
      </c>
      <c r="L365" s="147" t="s">
        <v>130</v>
      </c>
      <c r="M365" s="147" t="s">
        <v>130</v>
      </c>
      <c r="N365" s="147" t="s">
        <v>130</v>
      </c>
      <c r="O365" s="147" t="s">
        <v>114</v>
      </c>
      <c r="P365" s="147" t="s">
        <v>124</v>
      </c>
      <c r="Q365" s="147" t="s">
        <v>124</v>
      </c>
      <c r="R365" s="158" t="s">
        <v>381</v>
      </c>
      <c r="S365" s="148" t="s">
        <v>175</v>
      </c>
      <c r="T365" s="148" t="s">
        <v>136</v>
      </c>
      <c r="U365" s="148" t="s">
        <v>250</v>
      </c>
      <c r="V365" s="145">
        <f t="shared" si="69"/>
        <v>157</v>
      </c>
      <c r="W365" s="148" t="s">
        <v>382</v>
      </c>
      <c r="X365" s="145">
        <f t="shared" si="70"/>
        <v>175</v>
      </c>
      <c r="Y365">
        <f ca="1" t="shared" si="71"/>
        <v>0.416262271701693</v>
      </c>
      <c r="Z365" s="199"/>
      <c r="AA365" s="199"/>
      <c r="AB365" s="199"/>
      <c r="AC365" s="199"/>
      <c r="AD365" s="199"/>
      <c r="AE365" s="199"/>
      <c r="AF365" s="199"/>
      <c r="AG365" s="199"/>
      <c r="AH365" s="199"/>
      <c r="AI365" s="199"/>
      <c r="AJ365" s="199"/>
      <c r="AK365" s="199"/>
      <c r="AL365" s="199"/>
    </row>
    <row r="366" spans="1:38">
      <c r="A366" s="197"/>
      <c r="B366" s="153">
        <v>793</v>
      </c>
      <c r="C366" s="154" t="s">
        <v>581</v>
      </c>
      <c r="D366" s="144">
        <v>13</v>
      </c>
      <c r="E366" s="145">
        <v>29</v>
      </c>
      <c r="F366" s="145">
        <v>31</v>
      </c>
      <c r="G366" s="145">
        <v>74</v>
      </c>
      <c r="H366" s="145">
        <v>85</v>
      </c>
      <c r="I366" s="145">
        <v>41</v>
      </c>
      <c r="J366" s="145">
        <f t="shared" si="68"/>
        <v>260</v>
      </c>
      <c r="K366" s="145">
        <v>41</v>
      </c>
      <c r="L366" s="147" t="s">
        <v>124</v>
      </c>
      <c r="M366" s="147" t="s">
        <v>124</v>
      </c>
      <c r="N366" s="147" t="s">
        <v>124</v>
      </c>
      <c r="O366" s="147" t="s">
        <v>124</v>
      </c>
      <c r="P366" s="147" t="s">
        <v>124</v>
      </c>
      <c r="Q366" s="147" t="s">
        <v>124</v>
      </c>
      <c r="R366" s="148" t="s">
        <v>446</v>
      </c>
      <c r="S366" s="148" t="s">
        <v>119</v>
      </c>
      <c r="T366" s="148" t="s">
        <v>119</v>
      </c>
      <c r="U366" s="148" t="s">
        <v>126</v>
      </c>
      <c r="V366" s="145">
        <f t="shared" si="69"/>
        <v>60</v>
      </c>
      <c r="W366" s="149"/>
      <c r="X366" s="145">
        <f t="shared" si="70"/>
        <v>134</v>
      </c>
      <c r="Y366">
        <f ca="1" t="shared" si="71"/>
        <v>0.721592642461795</v>
      </c>
      <c r="Z366" s="199"/>
      <c r="AA366" s="199"/>
      <c r="AB366" s="199"/>
      <c r="AC366" s="199"/>
      <c r="AD366" s="199"/>
      <c r="AE366" s="199"/>
      <c r="AF366" s="199"/>
      <c r="AG366" s="199"/>
      <c r="AH366" s="199"/>
      <c r="AI366" s="199"/>
      <c r="AJ366" s="199"/>
      <c r="AK366" s="199"/>
      <c r="AL366" s="199"/>
    </row>
    <row r="367" spans="1:38">
      <c r="A367" s="197" t="s">
        <v>1414</v>
      </c>
      <c r="B367" s="153">
        <v>548</v>
      </c>
      <c r="C367" s="154" t="s">
        <v>480</v>
      </c>
      <c r="D367" s="144">
        <v>14</v>
      </c>
      <c r="E367" s="145">
        <v>41</v>
      </c>
      <c r="F367" s="145">
        <v>41</v>
      </c>
      <c r="G367" s="145">
        <v>74</v>
      </c>
      <c r="H367" s="145">
        <v>87</v>
      </c>
      <c r="I367" s="145">
        <v>66</v>
      </c>
      <c r="J367" s="145">
        <f t="shared" si="68"/>
        <v>309</v>
      </c>
      <c r="K367" s="145">
        <v>92</v>
      </c>
      <c r="L367" s="147" t="s">
        <v>124</v>
      </c>
      <c r="M367" s="147" t="s">
        <v>124</v>
      </c>
      <c r="N367" s="147" t="s">
        <v>124</v>
      </c>
      <c r="O367" s="147" t="s">
        <v>124</v>
      </c>
      <c r="P367" s="147" t="s">
        <v>124</v>
      </c>
      <c r="Q367" s="147" t="s">
        <v>124</v>
      </c>
      <c r="R367" s="148" t="s">
        <v>292</v>
      </c>
      <c r="S367" s="148" t="s">
        <v>132</v>
      </c>
      <c r="T367" s="148" t="s">
        <v>119</v>
      </c>
      <c r="U367" s="148" t="s">
        <v>120</v>
      </c>
      <c r="V367" s="145">
        <f t="shared" si="69"/>
        <v>82</v>
      </c>
      <c r="W367" s="149"/>
      <c r="X367" s="145">
        <f t="shared" si="70"/>
        <v>156</v>
      </c>
      <c r="Y367">
        <f ca="1" t="shared" si="71"/>
        <v>0.569380381338842</v>
      </c>
      <c r="Z367" s="199"/>
      <c r="AA367" s="199"/>
      <c r="AB367" s="199"/>
      <c r="AC367" s="199"/>
      <c r="AD367" s="199"/>
      <c r="AE367" s="199"/>
      <c r="AF367" s="199"/>
      <c r="AG367" s="199"/>
      <c r="AH367" s="199"/>
      <c r="AI367" s="199"/>
      <c r="AJ367" s="199"/>
      <c r="AK367" s="199"/>
      <c r="AL367" s="199"/>
    </row>
    <row r="368" spans="1:38">
      <c r="A368" s="198"/>
      <c r="B368" s="153">
        <v>436</v>
      </c>
      <c r="C368" s="154" t="s">
        <v>707</v>
      </c>
      <c r="D368" s="144">
        <v>13</v>
      </c>
      <c r="E368" s="145">
        <v>88</v>
      </c>
      <c r="F368" s="145">
        <v>79</v>
      </c>
      <c r="G368" s="145">
        <v>84</v>
      </c>
      <c r="H368" s="145">
        <v>72</v>
      </c>
      <c r="I368" s="145">
        <v>78</v>
      </c>
      <c r="J368" s="145">
        <f t="shared" si="68"/>
        <v>401</v>
      </c>
      <c r="K368" s="145">
        <v>10</v>
      </c>
      <c r="L368" s="147" t="s">
        <v>114</v>
      </c>
      <c r="M368" s="147" t="s">
        <v>114</v>
      </c>
      <c r="N368" s="147" t="s">
        <v>114</v>
      </c>
      <c r="O368" s="147" t="s">
        <v>115</v>
      </c>
      <c r="P368" s="147" t="s">
        <v>130</v>
      </c>
      <c r="Q368" s="147" t="s">
        <v>124</v>
      </c>
      <c r="R368" s="148" t="s">
        <v>402</v>
      </c>
      <c r="S368" s="148" t="s">
        <v>118</v>
      </c>
      <c r="T368" s="148" t="s">
        <v>119</v>
      </c>
      <c r="U368" s="148" t="s">
        <v>126</v>
      </c>
      <c r="V368" s="145">
        <f t="shared" si="69"/>
        <v>167</v>
      </c>
      <c r="W368" s="149"/>
      <c r="X368" s="145">
        <f t="shared" si="70"/>
        <v>251</v>
      </c>
      <c r="Y368">
        <f ca="1" t="shared" si="71"/>
        <v>0.140730629194175</v>
      </c>
      <c r="Z368" s="199"/>
      <c r="AA368" s="199"/>
      <c r="AB368" s="199"/>
      <c r="AC368" s="199"/>
      <c r="AD368" s="199"/>
      <c r="AE368" s="199"/>
      <c r="AF368" s="199"/>
      <c r="AG368" s="199"/>
      <c r="AH368" s="199"/>
      <c r="AI368" s="199"/>
      <c r="AJ368" s="199"/>
      <c r="AK368" s="199"/>
      <c r="AL368" s="199"/>
    </row>
    <row r="369" spans="1:38">
      <c r="A369" s="198"/>
      <c r="B369" s="153">
        <v>694</v>
      </c>
      <c r="C369" s="154" t="s">
        <v>912</v>
      </c>
      <c r="D369" s="144">
        <v>2</v>
      </c>
      <c r="E369" s="145">
        <v>64</v>
      </c>
      <c r="F369" s="145">
        <v>63</v>
      </c>
      <c r="G369" s="145">
        <v>70</v>
      </c>
      <c r="H369" s="145">
        <v>75</v>
      </c>
      <c r="I369" s="145">
        <v>85</v>
      </c>
      <c r="J369" s="145">
        <f t="shared" si="68"/>
        <v>357</v>
      </c>
      <c r="K369" s="145">
        <v>89</v>
      </c>
      <c r="L369" s="147" t="s">
        <v>130</v>
      </c>
      <c r="M369" s="147" t="s">
        <v>130</v>
      </c>
      <c r="N369" s="147" t="s">
        <v>114</v>
      </c>
      <c r="O369" s="147" t="s">
        <v>124</v>
      </c>
      <c r="P369" s="147" t="s">
        <v>114</v>
      </c>
      <c r="Q369" s="147" t="s">
        <v>130</v>
      </c>
      <c r="R369" s="148" t="s">
        <v>321</v>
      </c>
      <c r="S369" s="148" t="s">
        <v>118</v>
      </c>
      <c r="T369" s="148" t="s">
        <v>119</v>
      </c>
      <c r="U369" s="148" t="s">
        <v>126</v>
      </c>
      <c r="V369" s="145">
        <f t="shared" si="69"/>
        <v>127</v>
      </c>
      <c r="W369" s="149"/>
      <c r="X369" s="145">
        <f t="shared" si="70"/>
        <v>197</v>
      </c>
      <c r="Y369">
        <f ca="1" t="shared" si="71"/>
        <v>0.831255651558654</v>
      </c>
      <c r="Z369" s="199"/>
      <c r="AA369" s="199"/>
      <c r="AB369" s="199"/>
      <c r="AC369" s="199"/>
      <c r="AD369" s="199"/>
      <c r="AE369" s="199"/>
      <c r="AF369" s="199"/>
      <c r="AG369" s="199"/>
      <c r="AH369" s="199"/>
      <c r="AI369" s="199"/>
      <c r="AJ369" s="199"/>
      <c r="AK369" s="199"/>
      <c r="AL369" s="199"/>
    </row>
    <row r="370" spans="1:38">
      <c r="A370" s="198"/>
      <c r="B370" s="153">
        <v>483</v>
      </c>
      <c r="C370" s="154" t="s">
        <v>444</v>
      </c>
      <c r="D370" s="144">
        <v>1</v>
      </c>
      <c r="E370" s="145">
        <v>53</v>
      </c>
      <c r="F370" s="145">
        <v>58</v>
      </c>
      <c r="G370" s="145">
        <v>77</v>
      </c>
      <c r="H370" s="145">
        <v>83</v>
      </c>
      <c r="I370" s="145">
        <v>72</v>
      </c>
      <c r="J370" s="145">
        <f t="shared" si="68"/>
        <v>343</v>
      </c>
      <c r="K370" s="145">
        <v>44</v>
      </c>
      <c r="L370" s="147" t="s">
        <v>130</v>
      </c>
      <c r="M370" s="147" t="s">
        <v>130</v>
      </c>
      <c r="N370" s="147" t="s">
        <v>130</v>
      </c>
      <c r="O370" s="147" t="s">
        <v>124</v>
      </c>
      <c r="P370" s="147" t="s">
        <v>124</v>
      </c>
      <c r="Q370" s="147" t="s">
        <v>130</v>
      </c>
      <c r="R370" s="148" t="s">
        <v>205</v>
      </c>
      <c r="S370" s="148" t="s">
        <v>132</v>
      </c>
      <c r="T370" s="148" t="s">
        <v>119</v>
      </c>
      <c r="U370" s="148" t="s">
        <v>148</v>
      </c>
      <c r="V370" s="145">
        <f t="shared" si="69"/>
        <v>111</v>
      </c>
      <c r="W370" s="149"/>
      <c r="X370" s="145">
        <f t="shared" si="70"/>
        <v>188</v>
      </c>
      <c r="Y370">
        <f ca="1" t="shared" si="71"/>
        <v>0.332244888467505</v>
      </c>
      <c r="Z370" s="199"/>
      <c r="AA370" s="199"/>
      <c r="AB370" s="199"/>
      <c r="AC370" s="199"/>
      <c r="AD370" s="199"/>
      <c r="AE370" s="199"/>
      <c r="AF370" s="199"/>
      <c r="AG370" s="199"/>
      <c r="AH370" s="199"/>
      <c r="AI370" s="199"/>
      <c r="AJ370" s="199"/>
      <c r="AK370" s="199"/>
      <c r="AL370" s="199"/>
    </row>
    <row r="371" spans="1:38">
      <c r="A371" s="198"/>
      <c r="B371" s="153">
        <v>344</v>
      </c>
      <c r="C371" s="154" t="s">
        <v>585</v>
      </c>
      <c r="D371" s="144">
        <v>5</v>
      </c>
      <c r="E371" s="145">
        <v>64</v>
      </c>
      <c r="F371" s="145">
        <v>91</v>
      </c>
      <c r="G371" s="145">
        <v>34</v>
      </c>
      <c r="H371" s="145">
        <v>34</v>
      </c>
      <c r="I371" s="145">
        <v>40</v>
      </c>
      <c r="J371" s="145">
        <f t="shared" si="68"/>
        <v>263</v>
      </c>
      <c r="K371" s="145">
        <v>86</v>
      </c>
      <c r="L371" s="147" t="s">
        <v>124</v>
      </c>
      <c r="M371" s="147" t="s">
        <v>130</v>
      </c>
      <c r="N371" s="147" t="s">
        <v>130</v>
      </c>
      <c r="O371" s="147" t="s">
        <v>114</v>
      </c>
      <c r="P371" s="147" t="s">
        <v>124</v>
      </c>
      <c r="Q371" s="147" t="s">
        <v>130</v>
      </c>
      <c r="R371" s="148" t="s">
        <v>311</v>
      </c>
      <c r="S371" s="148" t="s">
        <v>132</v>
      </c>
      <c r="T371" s="148" t="s">
        <v>119</v>
      </c>
      <c r="U371" s="148" t="s">
        <v>250</v>
      </c>
      <c r="V371" s="145">
        <f t="shared" si="69"/>
        <v>155</v>
      </c>
      <c r="W371" s="149"/>
      <c r="X371" s="145">
        <f t="shared" si="70"/>
        <v>189</v>
      </c>
      <c r="Y371">
        <f ca="1" t="shared" si="71"/>
        <v>0.610737828813847</v>
      </c>
      <c r="Z371" s="199"/>
      <c r="AA371" s="199"/>
      <c r="AB371" s="199"/>
      <c r="AC371" s="199"/>
      <c r="AD371" s="199"/>
      <c r="AE371" s="199"/>
      <c r="AF371" s="199"/>
      <c r="AG371" s="199"/>
      <c r="AH371" s="199"/>
      <c r="AI371" s="199"/>
      <c r="AJ371" s="199"/>
      <c r="AK371" s="199"/>
      <c r="AL371" s="199"/>
    </row>
    <row r="372" spans="1:38">
      <c r="A372" s="198"/>
      <c r="B372" s="153">
        <v>480</v>
      </c>
      <c r="C372" s="154" t="s">
        <v>356</v>
      </c>
      <c r="D372" s="144">
        <v>7</v>
      </c>
      <c r="E372" s="145">
        <v>45</v>
      </c>
      <c r="F372" s="145">
        <v>35</v>
      </c>
      <c r="G372" s="145">
        <v>97</v>
      </c>
      <c r="H372" s="145">
        <v>93</v>
      </c>
      <c r="I372" s="145">
        <v>83</v>
      </c>
      <c r="J372" s="145">
        <f t="shared" si="68"/>
        <v>353</v>
      </c>
      <c r="K372" s="145">
        <v>46</v>
      </c>
      <c r="L372" s="147" t="s">
        <v>124</v>
      </c>
      <c r="M372" s="147" t="s">
        <v>124</v>
      </c>
      <c r="N372" s="147" t="s">
        <v>124</v>
      </c>
      <c r="O372" s="147" t="s">
        <v>124</v>
      </c>
      <c r="P372" s="147" t="s">
        <v>124</v>
      </c>
      <c r="Q372" s="147" t="s">
        <v>124</v>
      </c>
      <c r="R372" s="148" t="s">
        <v>215</v>
      </c>
      <c r="S372" s="148" t="s">
        <v>132</v>
      </c>
      <c r="T372" s="148" t="s">
        <v>119</v>
      </c>
      <c r="U372" s="148" t="s">
        <v>148</v>
      </c>
      <c r="V372" s="145">
        <f t="shared" si="69"/>
        <v>80</v>
      </c>
      <c r="W372" s="149"/>
      <c r="X372" s="145">
        <f t="shared" si="70"/>
        <v>177</v>
      </c>
      <c r="Y372">
        <f ca="1" t="shared" si="71"/>
        <v>0.370942883935945</v>
      </c>
      <c r="Z372" s="199"/>
      <c r="AA372" s="199"/>
      <c r="AB372" s="199"/>
      <c r="AC372" s="199"/>
      <c r="AD372" s="199"/>
      <c r="AE372" s="199"/>
      <c r="AF372" s="199"/>
      <c r="AG372" s="199"/>
      <c r="AH372" s="199"/>
      <c r="AI372" s="199"/>
      <c r="AJ372" s="199"/>
      <c r="AK372" s="199"/>
      <c r="AL372" s="199"/>
    </row>
    <row r="373" spans="1:38">
      <c r="A373" s="198"/>
      <c r="B373" s="153">
        <v>401</v>
      </c>
      <c r="C373" s="154" t="s">
        <v>724</v>
      </c>
      <c r="D373" s="144">
        <v>3</v>
      </c>
      <c r="E373" s="145">
        <v>41</v>
      </c>
      <c r="F373" s="145">
        <v>32</v>
      </c>
      <c r="G373" s="145">
        <v>80</v>
      </c>
      <c r="H373" s="145">
        <v>75</v>
      </c>
      <c r="I373" s="145">
        <v>75</v>
      </c>
      <c r="J373" s="145">
        <f t="shared" si="68"/>
        <v>303</v>
      </c>
      <c r="K373" s="145">
        <v>31</v>
      </c>
      <c r="L373" s="147" t="s">
        <v>124</v>
      </c>
      <c r="M373" s="147" t="s">
        <v>124</v>
      </c>
      <c r="N373" s="147" t="s">
        <v>124</v>
      </c>
      <c r="O373" s="147" t="s">
        <v>124</v>
      </c>
      <c r="P373" s="147" t="s">
        <v>130</v>
      </c>
      <c r="Q373" s="147" t="s">
        <v>124</v>
      </c>
      <c r="R373" s="148" t="s">
        <v>316</v>
      </c>
      <c r="S373" s="148" t="s">
        <v>132</v>
      </c>
      <c r="T373" s="148" t="s">
        <v>119</v>
      </c>
      <c r="U373" s="148" t="s">
        <v>120</v>
      </c>
      <c r="V373" s="145">
        <f t="shared" si="69"/>
        <v>73</v>
      </c>
      <c r="W373" s="149"/>
      <c r="X373" s="145">
        <f t="shared" si="70"/>
        <v>153</v>
      </c>
      <c r="Y373">
        <f ca="1" t="shared" si="71"/>
        <v>0.429885390912106</v>
      </c>
      <c r="Z373" s="199"/>
      <c r="AA373" s="199"/>
      <c r="AB373" s="199"/>
      <c r="AC373" s="199"/>
      <c r="AD373" s="199"/>
      <c r="AE373" s="199"/>
      <c r="AF373" s="199"/>
      <c r="AG373" s="199"/>
      <c r="AH373" s="199"/>
      <c r="AI373" s="199"/>
      <c r="AJ373" s="199"/>
      <c r="AK373" s="199"/>
      <c r="AL373" s="199"/>
    </row>
    <row r="374" spans="1:38">
      <c r="A374" s="198"/>
      <c r="B374" s="153">
        <v>581</v>
      </c>
      <c r="C374" s="154" t="s">
        <v>182</v>
      </c>
      <c r="D374" s="144">
        <v>11</v>
      </c>
      <c r="E374" s="145">
        <v>82</v>
      </c>
      <c r="F374" s="145">
        <v>83</v>
      </c>
      <c r="G374" s="145">
        <v>77</v>
      </c>
      <c r="H374" s="145">
        <v>79</v>
      </c>
      <c r="I374" s="145">
        <v>80</v>
      </c>
      <c r="J374" s="145">
        <f t="shared" si="68"/>
        <v>401</v>
      </c>
      <c r="K374" s="145">
        <v>55</v>
      </c>
      <c r="L374" s="147" t="s">
        <v>114</v>
      </c>
      <c r="M374" s="147" t="s">
        <v>130</v>
      </c>
      <c r="N374" s="147" t="s">
        <v>114</v>
      </c>
      <c r="O374" s="147" t="s">
        <v>130</v>
      </c>
      <c r="P374" s="147" t="s">
        <v>115</v>
      </c>
      <c r="Q374" s="147" t="s">
        <v>130</v>
      </c>
      <c r="R374" s="148" t="s">
        <v>172</v>
      </c>
      <c r="S374" s="148" t="s">
        <v>119</v>
      </c>
      <c r="T374" s="148" t="s">
        <v>136</v>
      </c>
      <c r="U374" s="148" t="s">
        <v>120</v>
      </c>
      <c r="V374" s="145">
        <f t="shared" si="69"/>
        <v>165</v>
      </c>
      <c r="W374" s="149"/>
      <c r="X374" s="145">
        <f t="shared" si="70"/>
        <v>242</v>
      </c>
      <c r="Y374">
        <f ca="1" t="shared" si="71"/>
        <v>0.100761220212502</v>
      </c>
      <c r="Z374" s="199"/>
      <c r="AA374" s="199"/>
      <c r="AB374" s="199"/>
      <c r="AC374" s="199"/>
      <c r="AD374" s="199"/>
      <c r="AE374" s="199"/>
      <c r="AF374" s="199"/>
      <c r="AG374" s="199"/>
      <c r="AH374" s="199"/>
      <c r="AI374" s="199"/>
      <c r="AJ374" s="199"/>
      <c r="AK374" s="199"/>
      <c r="AL374" s="199"/>
    </row>
    <row r="375" spans="1:38">
      <c r="A375" s="198"/>
      <c r="B375" s="153">
        <v>488</v>
      </c>
      <c r="C375" s="154" t="s">
        <v>842</v>
      </c>
      <c r="D375" s="144">
        <v>10</v>
      </c>
      <c r="E375" s="145">
        <v>72</v>
      </c>
      <c r="F375" s="145">
        <v>96</v>
      </c>
      <c r="G375" s="145">
        <v>45</v>
      </c>
      <c r="H375" s="145">
        <v>46</v>
      </c>
      <c r="I375" s="145">
        <v>52</v>
      </c>
      <c r="J375" s="145">
        <f t="shared" si="68"/>
        <v>311</v>
      </c>
      <c r="K375" s="145">
        <v>47</v>
      </c>
      <c r="L375" s="147" t="s">
        <v>114</v>
      </c>
      <c r="M375" s="147" t="s">
        <v>130</v>
      </c>
      <c r="N375" s="147" t="s">
        <v>130</v>
      </c>
      <c r="O375" s="147" t="s">
        <v>114</v>
      </c>
      <c r="P375" s="147" t="s">
        <v>130</v>
      </c>
      <c r="Q375" s="147" t="s">
        <v>124</v>
      </c>
      <c r="R375" s="148" t="s">
        <v>459</v>
      </c>
      <c r="S375" s="148" t="s">
        <v>132</v>
      </c>
      <c r="T375" s="148" t="s">
        <v>119</v>
      </c>
      <c r="U375" s="148" t="s">
        <v>126</v>
      </c>
      <c r="V375" s="145">
        <f t="shared" si="69"/>
        <v>168</v>
      </c>
      <c r="W375" s="149"/>
      <c r="X375" s="145">
        <f t="shared" si="70"/>
        <v>213</v>
      </c>
      <c r="Y375">
        <f ca="1" t="shared" si="71"/>
        <v>0.946637542721535</v>
      </c>
      <c r="Z375" s="199"/>
      <c r="AA375" s="199"/>
      <c r="AB375" s="199"/>
      <c r="AC375" s="199"/>
      <c r="AD375" s="199"/>
      <c r="AE375" s="199"/>
      <c r="AF375" s="199"/>
      <c r="AG375" s="199"/>
      <c r="AH375" s="199"/>
      <c r="AI375" s="199"/>
      <c r="AJ375" s="199"/>
      <c r="AK375" s="199"/>
      <c r="AL375" s="199"/>
    </row>
    <row r="376" spans="1:38">
      <c r="A376" s="198"/>
      <c r="B376" s="153">
        <v>107</v>
      </c>
      <c r="C376" s="154" t="s">
        <v>502</v>
      </c>
      <c r="D376" s="144">
        <v>6</v>
      </c>
      <c r="E376" s="145">
        <v>31</v>
      </c>
      <c r="F376" s="145">
        <v>36</v>
      </c>
      <c r="G376" s="145">
        <v>97</v>
      </c>
      <c r="H376" s="145">
        <v>91</v>
      </c>
      <c r="I376" s="145">
        <v>63</v>
      </c>
      <c r="J376" s="145">
        <f t="shared" si="68"/>
        <v>318</v>
      </c>
      <c r="K376" s="145">
        <v>117</v>
      </c>
      <c r="L376" s="147" t="s">
        <v>124</v>
      </c>
      <c r="M376" s="147" t="s">
        <v>124</v>
      </c>
      <c r="N376" s="147" t="s">
        <v>124</v>
      </c>
      <c r="O376" s="147" t="s">
        <v>124</v>
      </c>
      <c r="P376" s="147" t="s">
        <v>124</v>
      </c>
      <c r="Q376" s="147" t="s">
        <v>124</v>
      </c>
      <c r="R376" s="148" t="s">
        <v>503</v>
      </c>
      <c r="S376" s="148" t="s">
        <v>132</v>
      </c>
      <c r="T376" s="148" t="s">
        <v>119</v>
      </c>
      <c r="U376" s="148" t="s">
        <v>120</v>
      </c>
      <c r="V376" s="145">
        <f t="shared" si="69"/>
        <v>67</v>
      </c>
      <c r="W376" s="149"/>
      <c r="X376" s="145">
        <f t="shared" si="70"/>
        <v>164</v>
      </c>
      <c r="Y376">
        <f ca="1" t="shared" si="71"/>
        <v>0.91753887560076</v>
      </c>
      <c r="Z376" s="199"/>
      <c r="AA376" s="199"/>
      <c r="AB376" s="199"/>
      <c r="AC376" s="199"/>
      <c r="AD376" s="199"/>
      <c r="AE376" s="199"/>
      <c r="AF376" s="199"/>
      <c r="AG376" s="199"/>
      <c r="AH376" s="199"/>
      <c r="AI376" s="199"/>
      <c r="AJ376" s="199"/>
      <c r="AK376" s="199"/>
      <c r="AL376" s="199"/>
    </row>
    <row r="377" spans="1:38">
      <c r="A377" s="198"/>
      <c r="B377" s="153">
        <v>422</v>
      </c>
      <c r="C377" s="154" t="s">
        <v>602</v>
      </c>
      <c r="D377" s="157">
        <v>8</v>
      </c>
      <c r="E377" s="145">
        <v>66</v>
      </c>
      <c r="F377" s="145">
        <v>93</v>
      </c>
      <c r="G377" s="145">
        <v>15</v>
      </c>
      <c r="H377" s="145">
        <v>18</v>
      </c>
      <c r="I377" s="145">
        <v>27</v>
      </c>
      <c r="J377" s="145">
        <f t="shared" si="68"/>
        <v>219</v>
      </c>
      <c r="K377" s="145">
        <v>5</v>
      </c>
      <c r="L377" s="147" t="s">
        <v>130</v>
      </c>
      <c r="M377" s="147" t="s">
        <v>124</v>
      </c>
      <c r="N377" s="147" t="s">
        <v>130</v>
      </c>
      <c r="O377" s="147" t="s">
        <v>114</v>
      </c>
      <c r="P377" s="147" t="s">
        <v>124</v>
      </c>
      <c r="Q377" s="147" t="s">
        <v>124</v>
      </c>
      <c r="R377" s="158" t="s">
        <v>381</v>
      </c>
      <c r="S377" s="148" t="s">
        <v>275</v>
      </c>
      <c r="T377" s="148" t="s">
        <v>119</v>
      </c>
      <c r="U377" s="148" t="s">
        <v>250</v>
      </c>
      <c r="V377" s="145">
        <f t="shared" si="69"/>
        <v>159</v>
      </c>
      <c r="W377" s="148" t="s">
        <v>382</v>
      </c>
      <c r="X377" s="145">
        <f t="shared" si="70"/>
        <v>174</v>
      </c>
      <c r="Y377">
        <f ca="1" t="shared" si="71"/>
        <v>0.930795500608562</v>
      </c>
      <c r="Z377" s="199"/>
      <c r="AA377" s="199"/>
      <c r="AB377" s="199"/>
      <c r="AC377" s="199"/>
      <c r="AD377" s="199"/>
      <c r="AE377" s="199"/>
      <c r="AF377" s="199"/>
      <c r="AG377" s="199"/>
      <c r="AH377" s="199"/>
      <c r="AI377" s="199"/>
      <c r="AJ377" s="199"/>
      <c r="AK377" s="199"/>
      <c r="AL377" s="199"/>
    </row>
    <row r="378" spans="1:38">
      <c r="A378" s="197" t="s">
        <v>1415</v>
      </c>
      <c r="B378" s="153">
        <v>552</v>
      </c>
      <c r="C378" s="154" t="s">
        <v>822</v>
      </c>
      <c r="D378" s="144">
        <v>16</v>
      </c>
      <c r="E378" s="145">
        <v>79</v>
      </c>
      <c r="F378" s="145">
        <v>93</v>
      </c>
      <c r="G378" s="145">
        <v>42</v>
      </c>
      <c r="H378" s="145">
        <v>36</v>
      </c>
      <c r="I378" s="145">
        <v>58</v>
      </c>
      <c r="J378" s="145">
        <f t="shared" si="68"/>
        <v>308</v>
      </c>
      <c r="K378" s="145">
        <v>35</v>
      </c>
      <c r="L378" s="147" t="s">
        <v>130</v>
      </c>
      <c r="M378" s="147" t="s">
        <v>130</v>
      </c>
      <c r="N378" s="147" t="s">
        <v>114</v>
      </c>
      <c r="O378" s="147" t="s">
        <v>115</v>
      </c>
      <c r="P378" s="147" t="s">
        <v>130</v>
      </c>
      <c r="Q378" s="147" t="s">
        <v>124</v>
      </c>
      <c r="R378" s="148" t="s">
        <v>562</v>
      </c>
      <c r="S378" s="148" t="s">
        <v>119</v>
      </c>
      <c r="T378" s="148" t="s">
        <v>145</v>
      </c>
      <c r="U378" s="148" t="s">
        <v>126</v>
      </c>
      <c r="V378" s="145">
        <f t="shared" si="69"/>
        <v>172</v>
      </c>
      <c r="W378" s="149"/>
      <c r="X378" s="145">
        <f t="shared" si="70"/>
        <v>214</v>
      </c>
      <c r="Y378">
        <f ca="1" t="shared" si="71"/>
        <v>0.630204603035314</v>
      </c>
      <c r="Z378" s="199"/>
      <c r="AA378" s="199"/>
      <c r="AB378" s="199"/>
      <c r="AC378" s="199"/>
      <c r="AD378" s="199"/>
      <c r="AE378" s="199"/>
      <c r="AF378" s="199"/>
      <c r="AG378" s="199"/>
      <c r="AH378" s="199"/>
      <c r="AI378" s="199"/>
      <c r="AJ378" s="199"/>
      <c r="AK378" s="199"/>
      <c r="AL378" s="199"/>
    </row>
    <row r="379" spans="1:38">
      <c r="A379" s="197"/>
      <c r="B379" s="153">
        <v>105</v>
      </c>
      <c r="C379" s="154" t="s">
        <v>460</v>
      </c>
      <c r="D379" s="144">
        <v>14</v>
      </c>
      <c r="E379" s="145">
        <v>81</v>
      </c>
      <c r="F379" s="145">
        <v>75</v>
      </c>
      <c r="G379" s="145">
        <v>67</v>
      </c>
      <c r="H379" s="145">
        <v>63</v>
      </c>
      <c r="I379" s="145">
        <v>69</v>
      </c>
      <c r="J379" s="145">
        <f t="shared" si="68"/>
        <v>355</v>
      </c>
      <c r="K379" s="145">
        <v>120</v>
      </c>
      <c r="L379" s="147" t="s">
        <v>115</v>
      </c>
      <c r="M379" s="147" t="s">
        <v>115</v>
      </c>
      <c r="N379" s="147" t="s">
        <v>114</v>
      </c>
      <c r="O379" s="147" t="s">
        <v>124</v>
      </c>
      <c r="P379" s="147" t="s">
        <v>124</v>
      </c>
      <c r="Q379" s="147" t="s">
        <v>130</v>
      </c>
      <c r="R379" s="148" t="s">
        <v>461</v>
      </c>
      <c r="S379" s="148" t="s">
        <v>119</v>
      </c>
      <c r="T379" s="148" t="s">
        <v>145</v>
      </c>
      <c r="U379" s="148" t="s">
        <v>126</v>
      </c>
      <c r="V379" s="145">
        <f t="shared" si="69"/>
        <v>156</v>
      </c>
      <c r="W379" s="149"/>
      <c r="X379" s="145">
        <f t="shared" si="70"/>
        <v>223</v>
      </c>
      <c r="Y379">
        <f ca="1" t="shared" si="71"/>
        <v>0.310695516665705</v>
      </c>
      <c r="Z379" s="199"/>
      <c r="AA379" s="199"/>
      <c r="AB379" s="199"/>
      <c r="AC379" s="199"/>
      <c r="AD379" s="199"/>
      <c r="AE379" s="199"/>
      <c r="AF379" s="199"/>
      <c r="AG379" s="199"/>
      <c r="AH379" s="199"/>
      <c r="AI379" s="199"/>
      <c r="AJ379" s="199"/>
      <c r="AK379" s="199"/>
      <c r="AL379" s="199"/>
    </row>
    <row r="380" spans="1:38">
      <c r="A380" s="197"/>
      <c r="B380" s="153">
        <v>423</v>
      </c>
      <c r="C380" s="154" t="s">
        <v>1002</v>
      </c>
      <c r="D380" s="144">
        <v>11</v>
      </c>
      <c r="E380" s="145">
        <v>86</v>
      </c>
      <c r="F380" s="145">
        <v>68</v>
      </c>
      <c r="G380" s="145">
        <v>83</v>
      </c>
      <c r="H380" s="145">
        <v>71</v>
      </c>
      <c r="I380" s="145">
        <v>64</v>
      </c>
      <c r="J380" s="145">
        <f t="shared" si="68"/>
        <v>372</v>
      </c>
      <c r="K380" s="145">
        <v>3</v>
      </c>
      <c r="L380" s="147" t="s">
        <v>114</v>
      </c>
      <c r="M380" s="147" t="s">
        <v>114</v>
      </c>
      <c r="N380" s="147" t="s">
        <v>115</v>
      </c>
      <c r="O380" s="147" t="s">
        <v>114</v>
      </c>
      <c r="P380" s="147" t="s">
        <v>114</v>
      </c>
      <c r="Q380" s="147" t="s">
        <v>114</v>
      </c>
      <c r="R380" s="158" t="s">
        <v>232</v>
      </c>
      <c r="S380" s="148" t="s">
        <v>132</v>
      </c>
      <c r="T380" s="148" t="s">
        <v>119</v>
      </c>
      <c r="U380" s="148" t="s">
        <v>126</v>
      </c>
      <c r="V380" s="145">
        <f t="shared" si="69"/>
        <v>154</v>
      </c>
      <c r="W380" s="148" t="s">
        <v>233</v>
      </c>
      <c r="X380" s="145">
        <f t="shared" si="70"/>
        <v>237</v>
      </c>
      <c r="Y380">
        <f ca="1" t="shared" si="71"/>
        <v>0.993394534685329</v>
      </c>
      <c r="Z380" s="199"/>
      <c r="AA380" s="199"/>
      <c r="AB380" s="199"/>
      <c r="AC380" s="199"/>
      <c r="AD380" s="199"/>
      <c r="AE380" s="199"/>
      <c r="AF380" s="199"/>
      <c r="AG380" s="199"/>
      <c r="AH380" s="199"/>
      <c r="AI380" s="199"/>
      <c r="AJ380" s="199"/>
      <c r="AK380" s="199"/>
      <c r="AL380" s="199"/>
    </row>
    <row r="381" spans="1:38">
      <c r="A381" s="197"/>
      <c r="B381" s="153">
        <v>74</v>
      </c>
      <c r="C381" s="154" t="s">
        <v>329</v>
      </c>
      <c r="D381" s="144">
        <v>1</v>
      </c>
      <c r="E381" s="145">
        <v>25</v>
      </c>
      <c r="F381" s="145">
        <v>40</v>
      </c>
      <c r="G381" s="145">
        <v>80</v>
      </c>
      <c r="H381" s="145">
        <v>76</v>
      </c>
      <c r="I381" s="145">
        <v>86</v>
      </c>
      <c r="J381" s="145">
        <f t="shared" si="68"/>
        <v>307</v>
      </c>
      <c r="K381" s="145">
        <v>2</v>
      </c>
      <c r="L381" s="147" t="s">
        <v>124</v>
      </c>
      <c r="M381" s="147" t="s">
        <v>124</v>
      </c>
      <c r="N381" s="147" t="s">
        <v>124</v>
      </c>
      <c r="O381" s="147" t="s">
        <v>124</v>
      </c>
      <c r="P381" s="147" t="s">
        <v>124</v>
      </c>
      <c r="Q381" s="147" t="s">
        <v>124</v>
      </c>
      <c r="R381" s="148" t="s">
        <v>330</v>
      </c>
      <c r="S381" s="148" t="s">
        <v>119</v>
      </c>
      <c r="T381" s="148" t="s">
        <v>145</v>
      </c>
      <c r="U381" s="148" t="s">
        <v>120</v>
      </c>
      <c r="V381" s="145">
        <f t="shared" si="69"/>
        <v>65</v>
      </c>
      <c r="W381" s="149"/>
      <c r="X381" s="145">
        <f t="shared" si="70"/>
        <v>145</v>
      </c>
      <c r="Y381">
        <f ca="1" t="shared" si="71"/>
        <v>0.804050143707938</v>
      </c>
      <c r="Z381" s="199"/>
      <c r="AA381" s="199"/>
      <c r="AB381" s="199"/>
      <c r="AC381" s="199"/>
      <c r="AD381" s="199"/>
      <c r="AE381" s="199"/>
      <c r="AF381" s="199"/>
      <c r="AG381" s="199"/>
      <c r="AH381" s="199"/>
      <c r="AI381" s="199"/>
      <c r="AJ381" s="199"/>
      <c r="AK381" s="199"/>
      <c r="AL381" s="199"/>
    </row>
    <row r="382" spans="1:38">
      <c r="A382" s="197"/>
      <c r="B382" s="153">
        <v>53</v>
      </c>
      <c r="C382" s="154" t="s">
        <v>662</v>
      </c>
      <c r="D382" s="144">
        <v>1</v>
      </c>
      <c r="E382" s="145">
        <v>59</v>
      </c>
      <c r="F382" s="145">
        <v>69</v>
      </c>
      <c r="G382" s="145">
        <v>74</v>
      </c>
      <c r="H382" s="145">
        <v>76</v>
      </c>
      <c r="I382" s="145">
        <v>85</v>
      </c>
      <c r="J382" s="145">
        <f t="shared" si="68"/>
        <v>363</v>
      </c>
      <c r="K382" s="145">
        <v>19</v>
      </c>
      <c r="L382" s="147" t="s">
        <v>124</v>
      </c>
      <c r="M382" s="147" t="s">
        <v>114</v>
      </c>
      <c r="N382" s="147" t="s">
        <v>130</v>
      </c>
      <c r="O382" s="147" t="s">
        <v>130</v>
      </c>
      <c r="P382" s="147" t="s">
        <v>130</v>
      </c>
      <c r="Q382" s="147" t="s">
        <v>130</v>
      </c>
      <c r="R382" s="148" t="s">
        <v>342</v>
      </c>
      <c r="S382" s="148" t="s">
        <v>132</v>
      </c>
      <c r="T382" s="148" t="s">
        <v>119</v>
      </c>
      <c r="U382" s="148" t="s">
        <v>148</v>
      </c>
      <c r="V382" s="145">
        <f t="shared" si="69"/>
        <v>128</v>
      </c>
      <c r="W382" s="149"/>
      <c r="X382" s="145">
        <f t="shared" si="70"/>
        <v>202</v>
      </c>
      <c r="Y382">
        <f ca="1" t="shared" si="71"/>
        <v>0.729928979874596</v>
      </c>
      <c r="Z382" s="199"/>
      <c r="AA382" s="199"/>
      <c r="AB382" s="199"/>
      <c r="AC382" s="199"/>
      <c r="AD382" s="199"/>
      <c r="AE382" s="199"/>
      <c r="AF382" s="199"/>
      <c r="AG382" s="199"/>
      <c r="AH382" s="199"/>
      <c r="AI382" s="199"/>
      <c r="AJ382" s="199"/>
      <c r="AK382" s="199"/>
      <c r="AL382" s="199"/>
    </row>
    <row r="383" spans="1:38">
      <c r="A383" s="197"/>
      <c r="B383" s="153">
        <v>288</v>
      </c>
      <c r="C383" s="154" t="s">
        <v>779</v>
      </c>
      <c r="D383" s="144">
        <v>5</v>
      </c>
      <c r="E383" s="145">
        <v>73</v>
      </c>
      <c r="F383" s="145">
        <v>67</v>
      </c>
      <c r="G383" s="145">
        <v>87</v>
      </c>
      <c r="H383" s="145">
        <v>79</v>
      </c>
      <c r="I383" s="145">
        <v>68</v>
      </c>
      <c r="J383" s="145">
        <f t="shared" si="68"/>
        <v>374</v>
      </c>
      <c r="K383" s="145">
        <v>132</v>
      </c>
      <c r="L383" s="147" t="s">
        <v>114</v>
      </c>
      <c r="M383" s="147" t="s">
        <v>114</v>
      </c>
      <c r="N383" s="147" t="s">
        <v>130</v>
      </c>
      <c r="O383" s="147" t="s">
        <v>130</v>
      </c>
      <c r="P383" s="147" t="s">
        <v>130</v>
      </c>
      <c r="Q383" s="147" t="s">
        <v>124</v>
      </c>
      <c r="R383" s="148" t="s">
        <v>353</v>
      </c>
      <c r="S383" s="148" t="s">
        <v>119</v>
      </c>
      <c r="T383" s="148" t="s">
        <v>119</v>
      </c>
      <c r="U383" s="148" t="s">
        <v>126</v>
      </c>
      <c r="V383" s="145">
        <f t="shared" si="69"/>
        <v>140</v>
      </c>
      <c r="W383" s="149"/>
      <c r="X383" s="145">
        <f t="shared" si="70"/>
        <v>227</v>
      </c>
      <c r="Y383">
        <f ca="1" t="shared" si="71"/>
        <v>0.470246589583369</v>
      </c>
      <c r="Z383" s="199"/>
      <c r="AA383" s="199"/>
      <c r="AB383" s="199"/>
      <c r="AC383" s="199"/>
      <c r="AD383" s="199"/>
      <c r="AE383" s="199"/>
      <c r="AF383" s="199"/>
      <c r="AG383" s="199"/>
      <c r="AH383" s="199"/>
      <c r="AI383" s="199"/>
      <c r="AJ383" s="199"/>
      <c r="AK383" s="199"/>
      <c r="AL383" s="199"/>
    </row>
    <row r="384" spans="1:38">
      <c r="A384" s="197"/>
      <c r="B384" s="153">
        <v>110</v>
      </c>
      <c r="C384" s="154" t="s">
        <v>767</v>
      </c>
      <c r="D384" s="144">
        <v>2</v>
      </c>
      <c r="E384" s="145">
        <v>73</v>
      </c>
      <c r="F384" s="145">
        <v>81</v>
      </c>
      <c r="G384" s="145">
        <v>50</v>
      </c>
      <c r="H384" s="145">
        <v>48</v>
      </c>
      <c r="I384" s="145">
        <v>69</v>
      </c>
      <c r="J384" s="145">
        <f t="shared" si="68"/>
        <v>321</v>
      </c>
      <c r="K384" s="145">
        <v>18</v>
      </c>
      <c r="L384" s="147" t="s">
        <v>124</v>
      </c>
      <c r="M384" s="147" t="s">
        <v>130</v>
      </c>
      <c r="N384" s="147" t="s">
        <v>130</v>
      </c>
      <c r="O384" s="147" t="s">
        <v>124</v>
      </c>
      <c r="P384" s="147" t="s">
        <v>130</v>
      </c>
      <c r="Q384" s="147" t="s">
        <v>115</v>
      </c>
      <c r="R384" s="149"/>
      <c r="S384" s="148" t="s">
        <v>119</v>
      </c>
      <c r="T384" s="148" t="s">
        <v>145</v>
      </c>
      <c r="U384" s="148" t="s">
        <v>250</v>
      </c>
      <c r="V384" s="145">
        <f t="shared" si="69"/>
        <v>154</v>
      </c>
      <c r="W384" s="149"/>
      <c r="X384" s="145">
        <f t="shared" si="70"/>
        <v>204</v>
      </c>
      <c r="Y384">
        <f ca="1" t="shared" si="71"/>
        <v>0.734995685641349</v>
      </c>
      <c r="Z384" s="199"/>
      <c r="AA384" s="199"/>
      <c r="AB384" s="199"/>
      <c r="AC384" s="199"/>
      <c r="AD384" s="199"/>
      <c r="AE384" s="199"/>
      <c r="AF384" s="199"/>
      <c r="AG384" s="199"/>
      <c r="AH384" s="199"/>
      <c r="AI384" s="199"/>
      <c r="AJ384" s="199"/>
      <c r="AK384" s="199"/>
      <c r="AL384" s="199"/>
    </row>
    <row r="385" spans="1:38">
      <c r="A385" s="197"/>
      <c r="B385" s="153">
        <v>6</v>
      </c>
      <c r="C385" s="154" t="s">
        <v>855</v>
      </c>
      <c r="D385" s="144">
        <v>6</v>
      </c>
      <c r="E385" s="145">
        <v>79</v>
      </c>
      <c r="F385" s="145">
        <v>78</v>
      </c>
      <c r="G385" s="145">
        <v>53</v>
      </c>
      <c r="H385" s="145">
        <v>57</v>
      </c>
      <c r="I385" s="145">
        <v>48</v>
      </c>
      <c r="J385" s="145">
        <f t="shared" si="68"/>
        <v>315</v>
      </c>
      <c r="K385" s="145">
        <v>29</v>
      </c>
      <c r="L385" s="147" t="s">
        <v>114</v>
      </c>
      <c r="M385" s="147" t="s">
        <v>114</v>
      </c>
      <c r="N385" s="147" t="s">
        <v>114</v>
      </c>
      <c r="O385" s="147" t="s">
        <v>130</v>
      </c>
      <c r="P385" s="147" t="s">
        <v>130</v>
      </c>
      <c r="Q385" s="147" t="s">
        <v>130</v>
      </c>
      <c r="R385" s="148" t="s">
        <v>856</v>
      </c>
      <c r="S385" s="148" t="s">
        <v>119</v>
      </c>
      <c r="T385" s="148" t="s">
        <v>119</v>
      </c>
      <c r="U385" s="148" t="s">
        <v>126</v>
      </c>
      <c r="V385" s="145">
        <f t="shared" si="69"/>
        <v>157</v>
      </c>
      <c r="W385" s="149"/>
      <c r="X385" s="145">
        <f t="shared" si="70"/>
        <v>210</v>
      </c>
      <c r="Y385">
        <f ca="1" t="shared" si="71"/>
        <v>0.555907714018899</v>
      </c>
      <c r="Z385" s="199"/>
      <c r="AA385" s="199"/>
      <c r="AB385" s="199"/>
      <c r="AC385" s="199"/>
      <c r="AD385" s="199"/>
      <c r="AE385" s="199"/>
      <c r="AF385" s="199"/>
      <c r="AG385" s="199"/>
      <c r="AH385" s="199"/>
      <c r="AI385" s="199"/>
      <c r="AJ385" s="199"/>
      <c r="AK385" s="199"/>
      <c r="AL385" s="199"/>
    </row>
    <row r="386" spans="1:38">
      <c r="A386" s="197"/>
      <c r="B386" s="153">
        <v>409</v>
      </c>
      <c r="C386" s="154" t="s">
        <v>453</v>
      </c>
      <c r="D386" s="144">
        <v>5</v>
      </c>
      <c r="E386" s="145">
        <v>67</v>
      </c>
      <c r="F386" s="145">
        <v>92</v>
      </c>
      <c r="G386" s="145">
        <v>36</v>
      </c>
      <c r="H386" s="145">
        <v>50</v>
      </c>
      <c r="I386" s="145">
        <v>70</v>
      </c>
      <c r="J386" s="145">
        <f t="shared" si="68"/>
        <v>315</v>
      </c>
      <c r="K386" s="145">
        <v>145</v>
      </c>
      <c r="L386" s="147" t="s">
        <v>114</v>
      </c>
      <c r="M386" s="147" t="s">
        <v>124</v>
      </c>
      <c r="N386" s="147" t="s">
        <v>114</v>
      </c>
      <c r="O386" s="147" t="s">
        <v>114</v>
      </c>
      <c r="P386" s="147" t="s">
        <v>124</v>
      </c>
      <c r="Q386" s="147" t="s">
        <v>124</v>
      </c>
      <c r="R386" s="148" t="s">
        <v>404</v>
      </c>
      <c r="S386" s="148" t="s">
        <v>119</v>
      </c>
      <c r="T386" s="148" t="s">
        <v>119</v>
      </c>
      <c r="U386" s="148" t="s">
        <v>250</v>
      </c>
      <c r="V386" s="145">
        <f t="shared" si="69"/>
        <v>159</v>
      </c>
      <c r="W386" s="149"/>
      <c r="X386" s="145">
        <f t="shared" si="70"/>
        <v>195</v>
      </c>
      <c r="Y386">
        <f ca="1" t="shared" si="71"/>
        <v>0.487769819948794</v>
      </c>
      <c r="Z386" s="199"/>
      <c r="AA386" s="199"/>
      <c r="AB386" s="199"/>
      <c r="AC386" s="199"/>
      <c r="AD386" s="199"/>
      <c r="AE386" s="199"/>
      <c r="AF386" s="199"/>
      <c r="AG386" s="199"/>
      <c r="AH386" s="199"/>
      <c r="AI386" s="199"/>
      <c r="AJ386" s="199"/>
      <c r="AK386" s="199"/>
      <c r="AL386" s="199"/>
    </row>
    <row r="387" spans="1:38">
      <c r="A387" s="197"/>
      <c r="B387" s="153">
        <v>224</v>
      </c>
      <c r="C387" s="154" t="s">
        <v>869</v>
      </c>
      <c r="D387" s="144">
        <v>7</v>
      </c>
      <c r="E387" s="145">
        <v>82</v>
      </c>
      <c r="F387" s="145">
        <v>72</v>
      </c>
      <c r="G387" s="145">
        <v>58</v>
      </c>
      <c r="H387" s="145">
        <v>70</v>
      </c>
      <c r="I387" s="145">
        <v>37</v>
      </c>
      <c r="J387" s="145">
        <f t="shared" si="68"/>
        <v>319</v>
      </c>
      <c r="K387" s="145">
        <v>27</v>
      </c>
      <c r="L387" s="147" t="s">
        <v>114</v>
      </c>
      <c r="M387" s="147" t="s">
        <v>115</v>
      </c>
      <c r="N387" s="147" t="s">
        <v>114</v>
      </c>
      <c r="O387" s="147" t="s">
        <v>130</v>
      </c>
      <c r="P387" s="147" t="s">
        <v>130</v>
      </c>
      <c r="Q387" s="147" t="s">
        <v>130</v>
      </c>
      <c r="R387" s="148" t="s">
        <v>155</v>
      </c>
      <c r="S387" s="148" t="s">
        <v>119</v>
      </c>
      <c r="T387" s="148" t="s">
        <v>136</v>
      </c>
      <c r="U387" s="148" t="s">
        <v>126</v>
      </c>
      <c r="V387" s="145">
        <f t="shared" si="69"/>
        <v>154</v>
      </c>
      <c r="W387" s="149"/>
      <c r="X387" s="145">
        <f t="shared" si="70"/>
        <v>212</v>
      </c>
      <c r="Y387">
        <f ca="1" t="shared" si="71"/>
        <v>0.859080618913124</v>
      </c>
      <c r="Z387" s="199"/>
      <c r="AA387" s="199"/>
      <c r="AB387" s="199"/>
      <c r="AC387" s="199"/>
      <c r="AD387" s="199"/>
      <c r="AE387" s="199"/>
      <c r="AF387" s="199"/>
      <c r="AG387" s="199"/>
      <c r="AH387" s="199"/>
      <c r="AI387" s="199"/>
      <c r="AJ387" s="199"/>
      <c r="AK387" s="199"/>
      <c r="AL387" s="199"/>
    </row>
    <row r="388" spans="1:38">
      <c r="A388" s="197"/>
      <c r="B388" s="153">
        <v>600</v>
      </c>
      <c r="C388" s="154" t="s">
        <v>171</v>
      </c>
      <c r="D388" s="144">
        <v>8</v>
      </c>
      <c r="E388" s="145">
        <v>85</v>
      </c>
      <c r="F388" s="145">
        <v>65</v>
      </c>
      <c r="G388" s="145">
        <v>82</v>
      </c>
      <c r="H388" s="145">
        <v>75</v>
      </c>
      <c r="I388" s="145">
        <v>84</v>
      </c>
      <c r="J388" s="145">
        <f t="shared" si="68"/>
        <v>391</v>
      </c>
      <c r="K388" s="145">
        <v>126</v>
      </c>
      <c r="L388" s="147" t="s">
        <v>130</v>
      </c>
      <c r="M388" s="147" t="s">
        <v>114</v>
      </c>
      <c r="N388" s="147" t="s">
        <v>114</v>
      </c>
      <c r="O388" s="147" t="s">
        <v>124</v>
      </c>
      <c r="P388" s="147" t="s">
        <v>115</v>
      </c>
      <c r="Q388" s="147" t="s">
        <v>115</v>
      </c>
      <c r="R388" s="148" t="s">
        <v>172</v>
      </c>
      <c r="S388" s="148" t="s">
        <v>132</v>
      </c>
      <c r="T388" s="148" t="s">
        <v>119</v>
      </c>
      <c r="U388" s="148" t="s">
        <v>120</v>
      </c>
      <c r="V388" s="145">
        <f t="shared" si="69"/>
        <v>150</v>
      </c>
      <c r="W388" s="149"/>
      <c r="X388" s="145">
        <f t="shared" si="70"/>
        <v>232</v>
      </c>
      <c r="Y388">
        <f ca="1" t="shared" si="71"/>
        <v>0.471366638408924</v>
      </c>
      <c r="Z388" s="199"/>
      <c r="AA388" s="199"/>
      <c r="AB388" s="199"/>
      <c r="AC388" s="199"/>
      <c r="AD388" s="199"/>
      <c r="AE388" s="199"/>
      <c r="AF388" s="199"/>
      <c r="AG388" s="199"/>
      <c r="AH388" s="199"/>
      <c r="AI388" s="199"/>
      <c r="AJ388" s="199"/>
      <c r="AK388" s="199"/>
      <c r="AL388" s="199"/>
    </row>
    <row r="389" spans="1:38">
      <c r="A389" s="197"/>
      <c r="B389" s="153">
        <v>579</v>
      </c>
      <c r="C389" s="154" t="s">
        <v>874</v>
      </c>
      <c r="D389" s="144">
        <v>6</v>
      </c>
      <c r="E389" s="145">
        <v>72</v>
      </c>
      <c r="F389" s="145">
        <v>80</v>
      </c>
      <c r="G389" s="145">
        <v>33</v>
      </c>
      <c r="H389" s="145">
        <v>23</v>
      </c>
      <c r="I389" s="145">
        <v>29</v>
      </c>
      <c r="J389" s="145">
        <f t="shared" si="68"/>
        <v>237</v>
      </c>
      <c r="K389" s="145">
        <v>31</v>
      </c>
      <c r="L389" s="147" t="s">
        <v>114</v>
      </c>
      <c r="M389" s="147" t="s">
        <v>114</v>
      </c>
      <c r="N389" s="147" t="s">
        <v>130</v>
      </c>
      <c r="O389" s="147" t="s">
        <v>114</v>
      </c>
      <c r="P389" s="147" t="s">
        <v>130</v>
      </c>
      <c r="Q389" s="147" t="s">
        <v>130</v>
      </c>
      <c r="R389" s="148" t="s">
        <v>411</v>
      </c>
      <c r="S389" s="148" t="s">
        <v>119</v>
      </c>
      <c r="T389" s="148" t="s">
        <v>119</v>
      </c>
      <c r="U389" s="148" t="s">
        <v>250</v>
      </c>
      <c r="V389" s="145">
        <f t="shared" si="69"/>
        <v>152</v>
      </c>
      <c r="W389" s="149"/>
      <c r="X389" s="145">
        <f t="shared" si="70"/>
        <v>185</v>
      </c>
      <c r="Y389">
        <f ca="1" t="shared" si="71"/>
        <v>0.948332082423182</v>
      </c>
      <c r="Z389" s="199"/>
      <c r="AA389" s="199"/>
      <c r="AB389" s="199"/>
      <c r="AC389" s="199"/>
      <c r="AD389" s="199"/>
      <c r="AE389" s="199"/>
      <c r="AF389" s="199"/>
      <c r="AG389" s="199"/>
      <c r="AH389" s="199"/>
      <c r="AI389" s="199"/>
      <c r="AJ389" s="199"/>
      <c r="AK389" s="199"/>
      <c r="AL389" s="199"/>
    </row>
    <row r="390" spans="1:38">
      <c r="A390" s="197"/>
      <c r="B390" s="153">
        <v>338</v>
      </c>
      <c r="C390" s="154" t="s">
        <v>945</v>
      </c>
      <c r="D390" s="144">
        <v>5</v>
      </c>
      <c r="E390" s="145">
        <v>78</v>
      </c>
      <c r="F390" s="145">
        <v>70</v>
      </c>
      <c r="G390" s="145">
        <v>81</v>
      </c>
      <c r="H390" s="145">
        <v>69</v>
      </c>
      <c r="I390" s="145">
        <v>77</v>
      </c>
      <c r="J390" s="145">
        <f t="shared" si="68"/>
        <v>375</v>
      </c>
      <c r="K390" s="145">
        <v>24</v>
      </c>
      <c r="L390" s="147" t="s">
        <v>130</v>
      </c>
      <c r="M390" s="147" t="s">
        <v>114</v>
      </c>
      <c r="N390" s="147" t="s">
        <v>114</v>
      </c>
      <c r="O390" s="147" t="s">
        <v>130</v>
      </c>
      <c r="P390" s="147" t="s">
        <v>114</v>
      </c>
      <c r="Q390" s="147" t="s">
        <v>114</v>
      </c>
      <c r="R390" s="148" t="s">
        <v>353</v>
      </c>
      <c r="S390" s="148" t="s">
        <v>132</v>
      </c>
      <c r="T390" s="148" t="s">
        <v>119</v>
      </c>
      <c r="U390" s="148" t="s">
        <v>126</v>
      </c>
      <c r="V390" s="145">
        <f t="shared" si="69"/>
        <v>148</v>
      </c>
      <c r="W390" s="149"/>
      <c r="X390" s="145">
        <f t="shared" si="70"/>
        <v>229</v>
      </c>
      <c r="Y390">
        <f ca="1" t="shared" si="71"/>
        <v>0.112264353714681</v>
      </c>
      <c r="Z390" s="199"/>
      <c r="AA390" s="199"/>
      <c r="AB390" s="199"/>
      <c r="AC390" s="199"/>
      <c r="AD390" s="199"/>
      <c r="AE390" s="199"/>
      <c r="AF390" s="199"/>
      <c r="AG390" s="199"/>
      <c r="AH390" s="199"/>
      <c r="AI390" s="199"/>
      <c r="AJ390" s="199"/>
      <c r="AK390" s="199"/>
      <c r="AL390" s="199"/>
    </row>
    <row r="391" spans="1:38">
      <c r="A391" s="197"/>
      <c r="B391" s="153">
        <v>112</v>
      </c>
      <c r="C391" s="154" t="s">
        <v>308</v>
      </c>
      <c r="D391" s="144">
        <v>9</v>
      </c>
      <c r="E391" s="145">
        <v>65</v>
      </c>
      <c r="F391" s="145">
        <v>93</v>
      </c>
      <c r="G391" s="145">
        <v>46</v>
      </c>
      <c r="H391" s="145">
        <v>48</v>
      </c>
      <c r="I391" s="145">
        <v>90</v>
      </c>
      <c r="J391" s="145">
        <f t="shared" si="68"/>
        <v>342</v>
      </c>
      <c r="K391" s="145">
        <v>24</v>
      </c>
      <c r="L391" s="147" t="s">
        <v>130</v>
      </c>
      <c r="M391" s="147" t="s">
        <v>114</v>
      </c>
      <c r="N391" s="147" t="s">
        <v>114</v>
      </c>
      <c r="O391" s="147" t="s">
        <v>124</v>
      </c>
      <c r="P391" s="147" t="s">
        <v>124</v>
      </c>
      <c r="Q391" s="147" t="s">
        <v>115</v>
      </c>
      <c r="R391" s="148" t="s">
        <v>309</v>
      </c>
      <c r="S391" s="148" t="s">
        <v>132</v>
      </c>
      <c r="T391" s="148" t="s">
        <v>119</v>
      </c>
      <c r="U391" s="148" t="s">
        <v>126</v>
      </c>
      <c r="V391" s="145">
        <f t="shared" si="69"/>
        <v>158</v>
      </c>
      <c r="W391" s="149"/>
      <c r="X391" s="145">
        <f t="shared" si="70"/>
        <v>204</v>
      </c>
      <c r="Y391">
        <f ca="1" t="shared" si="71"/>
        <v>0.913421774408296</v>
      </c>
      <c r="Z391" s="199"/>
      <c r="AA391" s="199"/>
      <c r="AB391" s="199"/>
      <c r="AC391" s="199"/>
      <c r="AD391" s="199"/>
      <c r="AE391" s="199"/>
      <c r="AF391" s="199"/>
      <c r="AG391" s="199"/>
      <c r="AH391" s="199"/>
      <c r="AI391" s="199"/>
      <c r="AJ391" s="199"/>
      <c r="AK391" s="199"/>
      <c r="AL391" s="199"/>
    </row>
    <row r="392" spans="1:38">
      <c r="A392" s="197" t="s">
        <v>1416</v>
      </c>
      <c r="B392" s="153">
        <v>540</v>
      </c>
      <c r="C392" s="154" t="s">
        <v>784</v>
      </c>
      <c r="D392" s="144">
        <v>15</v>
      </c>
      <c r="E392" s="145">
        <v>84</v>
      </c>
      <c r="F392" s="145">
        <v>86</v>
      </c>
      <c r="G392" s="145">
        <v>63</v>
      </c>
      <c r="H392" s="145">
        <v>59</v>
      </c>
      <c r="I392" s="145">
        <v>67</v>
      </c>
      <c r="J392" s="145">
        <f t="shared" si="68"/>
        <v>359</v>
      </c>
      <c r="K392" s="145">
        <v>132</v>
      </c>
      <c r="L392" s="147" t="s">
        <v>114</v>
      </c>
      <c r="M392" s="147" t="s">
        <v>115</v>
      </c>
      <c r="N392" s="147" t="s">
        <v>114</v>
      </c>
      <c r="O392" s="147" t="s">
        <v>114</v>
      </c>
      <c r="P392" s="147" t="s">
        <v>130</v>
      </c>
      <c r="Q392" s="147" t="s">
        <v>114</v>
      </c>
      <c r="R392" s="148" t="s">
        <v>592</v>
      </c>
      <c r="S392" s="148" t="s">
        <v>132</v>
      </c>
      <c r="T392" s="148" t="s">
        <v>119</v>
      </c>
      <c r="U392" s="148" t="s">
        <v>126</v>
      </c>
      <c r="V392" s="145">
        <f t="shared" si="69"/>
        <v>170</v>
      </c>
      <c r="W392" s="149"/>
      <c r="X392" s="145">
        <f t="shared" si="70"/>
        <v>233</v>
      </c>
      <c r="Y392">
        <f ca="1" t="shared" si="71"/>
        <v>0.899747772374817</v>
      </c>
      <c r="Z392" s="199"/>
      <c r="AA392" s="199"/>
      <c r="AB392" s="199"/>
      <c r="AC392" s="199"/>
      <c r="AD392" s="199"/>
      <c r="AE392" s="199"/>
      <c r="AF392" s="199"/>
      <c r="AG392" s="199"/>
      <c r="AH392" s="199"/>
      <c r="AI392" s="199"/>
      <c r="AJ392" s="199"/>
      <c r="AK392" s="199"/>
      <c r="AL392" s="199"/>
    </row>
    <row r="393" spans="1:38">
      <c r="A393" s="198"/>
      <c r="B393" s="153">
        <v>309</v>
      </c>
      <c r="C393" s="156" t="s">
        <v>620</v>
      </c>
      <c r="D393" s="144">
        <v>15</v>
      </c>
      <c r="E393" s="145">
        <v>81</v>
      </c>
      <c r="F393" s="145">
        <v>84</v>
      </c>
      <c r="G393" s="145">
        <v>95</v>
      </c>
      <c r="H393" s="145">
        <v>80</v>
      </c>
      <c r="I393" s="145">
        <v>95</v>
      </c>
      <c r="J393" s="145">
        <f t="shared" si="68"/>
        <v>435</v>
      </c>
      <c r="K393" s="145">
        <v>0</v>
      </c>
      <c r="L393" s="147" t="s">
        <v>124</v>
      </c>
      <c r="M393" s="147" t="s">
        <v>130</v>
      </c>
      <c r="N393" s="147" t="s">
        <v>115</v>
      </c>
      <c r="O393" s="147" t="s">
        <v>124</v>
      </c>
      <c r="P393" s="147" t="s">
        <v>130</v>
      </c>
      <c r="Q393" s="147" t="s">
        <v>130</v>
      </c>
      <c r="R393" s="158" t="s">
        <v>296</v>
      </c>
      <c r="S393" s="148" t="s">
        <v>621</v>
      </c>
      <c r="T393" s="148" t="s">
        <v>136</v>
      </c>
      <c r="U393" s="148" t="s">
        <v>148</v>
      </c>
      <c r="V393" s="145">
        <f t="shared" si="69"/>
        <v>165</v>
      </c>
      <c r="W393" s="148" t="s">
        <v>297</v>
      </c>
      <c r="X393" s="145">
        <f t="shared" si="70"/>
        <v>260</v>
      </c>
      <c r="Y393">
        <f ca="1" t="shared" si="71"/>
        <v>0.715249084701323</v>
      </c>
      <c r="Z393" s="199"/>
      <c r="AA393" s="199"/>
      <c r="AB393" s="199"/>
      <c r="AC393" s="199"/>
      <c r="AD393" s="199"/>
      <c r="AE393" s="199"/>
      <c r="AF393" s="199"/>
      <c r="AG393" s="199"/>
      <c r="AH393" s="199"/>
      <c r="AI393" s="199"/>
      <c r="AJ393" s="199"/>
      <c r="AK393" s="199"/>
      <c r="AL393" s="199"/>
    </row>
    <row r="394" spans="1:38">
      <c r="A394" s="198"/>
      <c r="B394" s="153">
        <v>285</v>
      </c>
      <c r="C394" s="154" t="s">
        <v>890</v>
      </c>
      <c r="D394" s="144">
        <v>12</v>
      </c>
      <c r="E394" s="145">
        <v>70</v>
      </c>
      <c r="F394" s="145">
        <v>85</v>
      </c>
      <c r="G394" s="145">
        <v>56</v>
      </c>
      <c r="H394" s="145">
        <v>75</v>
      </c>
      <c r="I394" s="145">
        <v>93</v>
      </c>
      <c r="J394" s="145">
        <f t="shared" si="68"/>
        <v>379</v>
      </c>
      <c r="K394" s="145">
        <v>135</v>
      </c>
      <c r="L394" s="147" t="s">
        <v>130</v>
      </c>
      <c r="M394" s="147" t="s">
        <v>130</v>
      </c>
      <c r="N394" s="147" t="s">
        <v>114</v>
      </c>
      <c r="O394" s="147" t="s">
        <v>114</v>
      </c>
      <c r="P394" s="147" t="s">
        <v>114</v>
      </c>
      <c r="Q394" s="147" t="s">
        <v>130</v>
      </c>
      <c r="R394" s="148" t="s">
        <v>153</v>
      </c>
      <c r="S394" s="148" t="s">
        <v>119</v>
      </c>
      <c r="T394" s="148" t="s">
        <v>136</v>
      </c>
      <c r="U394" s="148" t="s">
        <v>250</v>
      </c>
      <c r="V394" s="145">
        <f t="shared" si="69"/>
        <v>155</v>
      </c>
      <c r="W394" s="149"/>
      <c r="X394" s="145">
        <f t="shared" si="70"/>
        <v>211</v>
      </c>
      <c r="Y394">
        <f ca="1" t="shared" si="71"/>
        <v>0.580384903471219</v>
      </c>
      <c r="Z394" s="199"/>
      <c r="AA394" s="199"/>
      <c r="AB394" s="199"/>
      <c r="AC394" s="199"/>
      <c r="AD394" s="199"/>
      <c r="AE394" s="199"/>
      <c r="AF394" s="199"/>
      <c r="AG394" s="199"/>
      <c r="AH394" s="199"/>
      <c r="AI394" s="199"/>
      <c r="AJ394" s="199"/>
      <c r="AK394" s="199"/>
      <c r="AL394" s="199"/>
    </row>
    <row r="395" spans="1:38">
      <c r="A395" s="198"/>
      <c r="B395" s="153">
        <v>197</v>
      </c>
      <c r="C395" s="154" t="s">
        <v>839</v>
      </c>
      <c r="D395" s="144">
        <v>7</v>
      </c>
      <c r="E395" s="145">
        <v>75</v>
      </c>
      <c r="F395" s="145">
        <v>87</v>
      </c>
      <c r="G395" s="145">
        <v>55</v>
      </c>
      <c r="H395" s="145">
        <v>50</v>
      </c>
      <c r="I395" s="145">
        <v>53</v>
      </c>
      <c r="J395" s="145">
        <f t="shared" si="68"/>
        <v>320</v>
      </c>
      <c r="K395" s="145">
        <v>67</v>
      </c>
      <c r="L395" s="147" t="s">
        <v>130</v>
      </c>
      <c r="M395" s="147" t="s">
        <v>130</v>
      </c>
      <c r="N395" s="147" t="s">
        <v>124</v>
      </c>
      <c r="O395" s="147" t="s">
        <v>114</v>
      </c>
      <c r="P395" s="147" t="s">
        <v>130</v>
      </c>
      <c r="Q395" s="147" t="s">
        <v>114</v>
      </c>
      <c r="R395" s="148" t="s">
        <v>577</v>
      </c>
      <c r="S395" s="148" t="s">
        <v>132</v>
      </c>
      <c r="T395" s="148" t="s">
        <v>119</v>
      </c>
      <c r="U395" s="148" t="s">
        <v>126</v>
      </c>
      <c r="V395" s="145">
        <f t="shared" si="69"/>
        <v>162</v>
      </c>
      <c r="W395" s="149"/>
      <c r="X395" s="145">
        <f t="shared" si="70"/>
        <v>217</v>
      </c>
      <c r="Y395">
        <f ca="1" t="shared" si="71"/>
        <v>0.610343918106572</v>
      </c>
      <c r="Z395" s="199"/>
      <c r="AA395" s="199"/>
      <c r="AB395" s="199"/>
      <c r="AC395" s="199"/>
      <c r="AD395" s="199"/>
      <c r="AE395" s="199"/>
      <c r="AF395" s="199"/>
      <c r="AG395" s="199"/>
      <c r="AH395" s="199"/>
      <c r="AI395" s="199"/>
      <c r="AJ395" s="199"/>
      <c r="AK395" s="199"/>
      <c r="AL395" s="199"/>
    </row>
    <row r="396" spans="1:38">
      <c r="A396" s="198"/>
      <c r="B396" s="153">
        <v>59</v>
      </c>
      <c r="C396" s="154" t="s">
        <v>370</v>
      </c>
      <c r="D396" s="144">
        <v>4</v>
      </c>
      <c r="E396" s="145">
        <v>34</v>
      </c>
      <c r="F396" s="145">
        <v>26</v>
      </c>
      <c r="G396" s="145">
        <v>88</v>
      </c>
      <c r="H396" s="145">
        <v>88</v>
      </c>
      <c r="I396" s="145">
        <v>81</v>
      </c>
      <c r="J396" s="145">
        <f t="shared" si="68"/>
        <v>317</v>
      </c>
      <c r="K396" s="145">
        <v>1</v>
      </c>
      <c r="L396" s="147" t="s">
        <v>124</v>
      </c>
      <c r="M396" s="147" t="s">
        <v>124</v>
      </c>
      <c r="N396" s="147" t="s">
        <v>124</v>
      </c>
      <c r="O396" s="147" t="s">
        <v>124</v>
      </c>
      <c r="P396" s="147" t="s">
        <v>124</v>
      </c>
      <c r="Q396" s="147" t="s">
        <v>124</v>
      </c>
      <c r="R396" s="148" t="s">
        <v>342</v>
      </c>
      <c r="S396" s="148" t="s">
        <v>132</v>
      </c>
      <c r="T396" s="148" t="s">
        <v>119</v>
      </c>
      <c r="U396" s="148" t="s">
        <v>120</v>
      </c>
      <c r="V396" s="145">
        <f t="shared" si="69"/>
        <v>60</v>
      </c>
      <c r="W396" s="149"/>
      <c r="X396" s="145">
        <f t="shared" si="70"/>
        <v>148</v>
      </c>
      <c r="Y396">
        <f ca="1" t="shared" si="71"/>
        <v>0.14831645555542</v>
      </c>
      <c r="Z396" s="199"/>
      <c r="AA396" s="199"/>
      <c r="AB396" s="199"/>
      <c r="AC396" s="199"/>
      <c r="AD396" s="199"/>
      <c r="AE396" s="199"/>
      <c r="AF396" s="199"/>
      <c r="AG396" s="199"/>
      <c r="AH396" s="199"/>
      <c r="AI396" s="199"/>
      <c r="AJ396" s="199"/>
      <c r="AK396" s="199"/>
      <c r="AL396" s="199"/>
    </row>
    <row r="397" spans="1:38">
      <c r="A397" s="198"/>
      <c r="B397" s="153">
        <v>415</v>
      </c>
      <c r="C397" s="154" t="s">
        <v>689</v>
      </c>
      <c r="D397" s="144">
        <v>2</v>
      </c>
      <c r="E397" s="145">
        <v>62</v>
      </c>
      <c r="F397" s="145">
        <v>61</v>
      </c>
      <c r="G397" s="145">
        <v>77</v>
      </c>
      <c r="H397" s="145">
        <v>83</v>
      </c>
      <c r="I397" s="145">
        <v>81</v>
      </c>
      <c r="J397" s="145">
        <f t="shared" si="68"/>
        <v>364</v>
      </c>
      <c r="K397" s="145">
        <v>0</v>
      </c>
      <c r="L397" s="147" t="s">
        <v>130</v>
      </c>
      <c r="M397" s="147" t="s">
        <v>130</v>
      </c>
      <c r="N397" s="147" t="s">
        <v>130</v>
      </c>
      <c r="O397" s="147" t="s">
        <v>124</v>
      </c>
      <c r="P397" s="147" t="s">
        <v>130</v>
      </c>
      <c r="Q397" s="147" t="s">
        <v>124</v>
      </c>
      <c r="R397" s="148" t="s">
        <v>342</v>
      </c>
      <c r="S397" s="148" t="s">
        <v>119</v>
      </c>
      <c r="T397" s="148" t="s">
        <v>136</v>
      </c>
      <c r="U397" s="148" t="s">
        <v>250</v>
      </c>
      <c r="V397" s="145">
        <f t="shared" si="69"/>
        <v>123</v>
      </c>
      <c r="W397" s="149"/>
      <c r="X397" s="145">
        <f t="shared" si="70"/>
        <v>200</v>
      </c>
      <c r="Y397">
        <f ca="1" t="shared" si="71"/>
        <v>0.449209963586429</v>
      </c>
      <c r="Z397" s="199"/>
      <c r="AA397" s="199"/>
      <c r="AB397" s="199"/>
      <c r="AC397" s="199"/>
      <c r="AD397" s="199"/>
      <c r="AE397" s="199"/>
      <c r="AF397" s="199"/>
      <c r="AG397" s="199"/>
      <c r="AH397" s="199"/>
      <c r="AI397" s="199"/>
      <c r="AJ397" s="199"/>
      <c r="AK397" s="199"/>
      <c r="AL397" s="199"/>
    </row>
    <row r="398" spans="1:38">
      <c r="A398" s="198"/>
      <c r="B398" s="153">
        <v>418</v>
      </c>
      <c r="C398" s="154" t="s">
        <v>907</v>
      </c>
      <c r="D398" s="144">
        <v>6</v>
      </c>
      <c r="E398" s="145">
        <v>68</v>
      </c>
      <c r="F398" s="145">
        <v>50</v>
      </c>
      <c r="G398" s="145">
        <v>79</v>
      </c>
      <c r="H398" s="145">
        <v>86</v>
      </c>
      <c r="I398" s="145">
        <v>86</v>
      </c>
      <c r="J398" s="145">
        <f t="shared" si="68"/>
        <v>369</v>
      </c>
      <c r="K398" s="145">
        <v>91</v>
      </c>
      <c r="L398" s="147" t="s">
        <v>130</v>
      </c>
      <c r="M398" s="147" t="s">
        <v>124</v>
      </c>
      <c r="N398" s="147" t="s">
        <v>124</v>
      </c>
      <c r="O398" s="147" t="s">
        <v>130</v>
      </c>
      <c r="P398" s="147" t="s">
        <v>114</v>
      </c>
      <c r="Q398" s="147" t="s">
        <v>124</v>
      </c>
      <c r="R398" s="148" t="s">
        <v>402</v>
      </c>
      <c r="S398" s="148" t="s">
        <v>132</v>
      </c>
      <c r="T398" s="148" t="s">
        <v>119</v>
      </c>
      <c r="U398" s="148" t="s">
        <v>120</v>
      </c>
      <c r="V398" s="145">
        <f t="shared" si="69"/>
        <v>118</v>
      </c>
      <c r="W398" s="149"/>
      <c r="X398" s="145">
        <f t="shared" si="70"/>
        <v>197</v>
      </c>
      <c r="Y398">
        <f ca="1" t="shared" si="71"/>
        <v>0.0973622373124812</v>
      </c>
      <c r="Z398" s="199"/>
      <c r="AA398" s="199"/>
      <c r="AB398" s="199"/>
      <c r="AC398" s="199"/>
      <c r="AD398" s="199"/>
      <c r="AE398" s="199"/>
      <c r="AF398" s="199"/>
      <c r="AG398" s="199"/>
      <c r="AH398" s="199"/>
      <c r="AI398" s="199"/>
      <c r="AJ398" s="199"/>
      <c r="AK398" s="199"/>
      <c r="AL398" s="199"/>
    </row>
    <row r="399" spans="1:38">
      <c r="A399" s="198"/>
      <c r="B399" s="153">
        <v>698</v>
      </c>
      <c r="C399" s="154" t="s">
        <v>589</v>
      </c>
      <c r="D399" s="144">
        <v>5</v>
      </c>
      <c r="E399" s="145">
        <v>68</v>
      </c>
      <c r="F399" s="145">
        <v>84</v>
      </c>
      <c r="G399" s="145">
        <v>51</v>
      </c>
      <c r="H399" s="145">
        <v>26</v>
      </c>
      <c r="I399" s="145">
        <v>38</v>
      </c>
      <c r="J399" s="145">
        <f t="shared" si="68"/>
        <v>267</v>
      </c>
      <c r="K399" s="145">
        <v>15</v>
      </c>
      <c r="L399" s="147" t="s">
        <v>124</v>
      </c>
      <c r="M399" s="147" t="s">
        <v>130</v>
      </c>
      <c r="N399" s="147" t="s">
        <v>130</v>
      </c>
      <c r="O399" s="147" t="s">
        <v>114</v>
      </c>
      <c r="P399" s="147" t="s">
        <v>124</v>
      </c>
      <c r="Q399" s="147" t="s">
        <v>124</v>
      </c>
      <c r="R399" s="148" t="s">
        <v>402</v>
      </c>
      <c r="S399" s="148" t="s">
        <v>275</v>
      </c>
      <c r="T399" s="148" t="s">
        <v>145</v>
      </c>
      <c r="U399" s="148" t="s">
        <v>250</v>
      </c>
      <c r="V399" s="145">
        <f t="shared" si="69"/>
        <v>152</v>
      </c>
      <c r="W399" s="149"/>
      <c r="X399" s="145">
        <f t="shared" si="70"/>
        <v>203</v>
      </c>
      <c r="Y399">
        <f ca="1" t="shared" si="71"/>
        <v>0.458894782620862</v>
      </c>
      <c r="Z399" s="199"/>
      <c r="AA399" s="199"/>
      <c r="AB399" s="199"/>
      <c r="AC399" s="199"/>
      <c r="AD399" s="199"/>
      <c r="AE399" s="199"/>
      <c r="AF399" s="199"/>
      <c r="AG399" s="199"/>
      <c r="AH399" s="199"/>
      <c r="AI399" s="199"/>
      <c r="AJ399" s="199"/>
      <c r="AK399" s="199"/>
      <c r="AL399" s="199"/>
    </row>
    <row r="400" spans="1:38">
      <c r="A400" s="198"/>
      <c r="B400" s="153">
        <v>389</v>
      </c>
      <c r="C400" s="154" t="s">
        <v>392</v>
      </c>
      <c r="D400" s="144">
        <v>7</v>
      </c>
      <c r="E400" s="145">
        <v>72</v>
      </c>
      <c r="F400" s="145">
        <v>90</v>
      </c>
      <c r="G400" s="145">
        <v>50</v>
      </c>
      <c r="H400" s="145">
        <v>56</v>
      </c>
      <c r="I400" s="145">
        <v>78</v>
      </c>
      <c r="J400" s="145">
        <f t="shared" si="68"/>
        <v>346</v>
      </c>
      <c r="K400" s="145">
        <v>122</v>
      </c>
      <c r="L400" s="147" t="s">
        <v>124</v>
      </c>
      <c r="M400" s="147" t="s">
        <v>130</v>
      </c>
      <c r="N400" s="147" t="s">
        <v>114</v>
      </c>
      <c r="O400" s="147" t="s">
        <v>114</v>
      </c>
      <c r="P400" s="147" t="s">
        <v>124</v>
      </c>
      <c r="Q400" s="147" t="s">
        <v>130</v>
      </c>
      <c r="R400" s="148" t="s">
        <v>393</v>
      </c>
      <c r="S400" s="148" t="s">
        <v>132</v>
      </c>
      <c r="T400" s="148" t="s">
        <v>119</v>
      </c>
      <c r="U400" s="148" t="s">
        <v>126</v>
      </c>
      <c r="V400" s="145">
        <f t="shared" si="69"/>
        <v>162</v>
      </c>
      <c r="W400" s="149"/>
      <c r="X400" s="145">
        <f t="shared" si="70"/>
        <v>212</v>
      </c>
      <c r="Y400">
        <f ca="1" t="shared" si="71"/>
        <v>0.145273620936506</v>
      </c>
      <c r="Z400" s="199"/>
      <c r="AA400" s="199"/>
      <c r="AB400" s="199"/>
      <c r="AC400" s="199"/>
      <c r="AD400" s="199"/>
      <c r="AE400" s="199"/>
      <c r="AF400" s="199"/>
      <c r="AG400" s="199"/>
      <c r="AH400" s="199"/>
      <c r="AI400" s="199"/>
      <c r="AJ400" s="199"/>
      <c r="AK400" s="199"/>
      <c r="AL400" s="199"/>
    </row>
    <row r="401" spans="1:38">
      <c r="A401" s="198"/>
      <c r="B401" s="153">
        <v>435</v>
      </c>
      <c r="C401" s="154" t="s">
        <v>216</v>
      </c>
      <c r="D401" s="144">
        <v>10</v>
      </c>
      <c r="E401" s="145">
        <v>84</v>
      </c>
      <c r="F401" s="145">
        <v>73</v>
      </c>
      <c r="G401" s="145">
        <v>87</v>
      </c>
      <c r="H401" s="145">
        <v>92</v>
      </c>
      <c r="I401" s="145">
        <v>69</v>
      </c>
      <c r="J401" s="145">
        <f t="shared" si="68"/>
        <v>405</v>
      </c>
      <c r="K401" s="145">
        <v>10</v>
      </c>
      <c r="L401" s="147" t="s">
        <v>114</v>
      </c>
      <c r="M401" s="147" t="s">
        <v>130</v>
      </c>
      <c r="N401" s="147" t="s">
        <v>114</v>
      </c>
      <c r="O401" s="147" t="s">
        <v>114</v>
      </c>
      <c r="P401" s="147" t="s">
        <v>115</v>
      </c>
      <c r="Q401" s="147" t="s">
        <v>124</v>
      </c>
      <c r="R401" s="148" t="s">
        <v>217</v>
      </c>
      <c r="S401" s="148" t="s">
        <v>132</v>
      </c>
      <c r="T401" s="148" t="s">
        <v>136</v>
      </c>
      <c r="U401" s="148" t="s">
        <v>120</v>
      </c>
      <c r="V401" s="145">
        <f t="shared" si="69"/>
        <v>157</v>
      </c>
      <c r="W401" s="149"/>
      <c r="X401" s="145">
        <f t="shared" si="70"/>
        <v>244</v>
      </c>
      <c r="Y401">
        <f ca="1" t="shared" si="71"/>
        <v>0.455617319172817</v>
      </c>
      <c r="Z401" s="199"/>
      <c r="AA401" s="199"/>
      <c r="AB401" s="199"/>
      <c r="AC401" s="199"/>
      <c r="AD401" s="199"/>
      <c r="AE401" s="199"/>
      <c r="AF401" s="199"/>
      <c r="AG401" s="199"/>
      <c r="AH401" s="199"/>
      <c r="AI401" s="199"/>
      <c r="AJ401" s="199"/>
      <c r="AK401" s="199"/>
      <c r="AL401" s="199"/>
    </row>
    <row r="402" spans="1:38">
      <c r="A402" s="198"/>
      <c r="B402" s="153">
        <v>673</v>
      </c>
      <c r="C402" s="154" t="s">
        <v>986</v>
      </c>
      <c r="D402" s="144">
        <v>8</v>
      </c>
      <c r="E402" s="145">
        <v>73</v>
      </c>
      <c r="F402" s="145">
        <v>85</v>
      </c>
      <c r="G402" s="145">
        <v>62</v>
      </c>
      <c r="H402" s="145">
        <v>54</v>
      </c>
      <c r="I402" s="145">
        <v>68</v>
      </c>
      <c r="J402" s="145">
        <f t="shared" si="68"/>
        <v>342</v>
      </c>
      <c r="K402" s="145">
        <v>10</v>
      </c>
      <c r="L402" s="147" t="s">
        <v>114</v>
      </c>
      <c r="M402" s="147" t="s">
        <v>130</v>
      </c>
      <c r="N402" s="147" t="s">
        <v>124</v>
      </c>
      <c r="O402" s="147" t="s">
        <v>130</v>
      </c>
      <c r="P402" s="147" t="s">
        <v>114</v>
      </c>
      <c r="Q402" s="147" t="s">
        <v>114</v>
      </c>
      <c r="R402" s="148" t="s">
        <v>256</v>
      </c>
      <c r="S402" s="148" t="s">
        <v>132</v>
      </c>
      <c r="T402" s="148" t="s">
        <v>119</v>
      </c>
      <c r="U402" s="148" t="s">
        <v>126</v>
      </c>
      <c r="V402" s="145">
        <f t="shared" si="69"/>
        <v>158</v>
      </c>
      <c r="W402" s="149"/>
      <c r="X402" s="145">
        <f t="shared" si="70"/>
        <v>220</v>
      </c>
      <c r="Y402">
        <f ca="1" t="shared" si="71"/>
        <v>0.308486632465753</v>
      </c>
      <c r="Z402" s="199"/>
      <c r="AA402" s="199"/>
      <c r="AB402" s="199"/>
      <c r="AC402" s="199"/>
      <c r="AD402" s="199"/>
      <c r="AE402" s="199"/>
      <c r="AF402" s="199"/>
      <c r="AG402" s="199"/>
      <c r="AH402" s="199"/>
      <c r="AI402" s="199"/>
      <c r="AJ402" s="199"/>
      <c r="AK402" s="199"/>
      <c r="AL402" s="199"/>
    </row>
    <row r="403" spans="2:38">
      <c r="B403" s="204"/>
      <c r="C403" s="205"/>
      <c r="D403" s="206"/>
      <c r="E403" s="209"/>
      <c r="F403" s="162"/>
      <c r="G403" s="162"/>
      <c r="H403" s="162"/>
      <c r="I403" s="162"/>
      <c r="J403" s="162"/>
      <c r="K403" s="162"/>
      <c r="L403" s="162"/>
      <c r="M403" s="163"/>
      <c r="N403" s="163"/>
      <c r="O403" s="163"/>
      <c r="P403" s="163"/>
      <c r="Q403" s="163"/>
      <c r="R403" s="163"/>
      <c r="S403" s="165"/>
      <c r="T403" s="165"/>
      <c r="U403" s="165"/>
      <c r="V403" s="165"/>
      <c r="W403" s="162"/>
      <c r="X403" s="164"/>
      <c r="Y403" s="162"/>
      <c r="Z403" s="199"/>
      <c r="AA403" s="199"/>
      <c r="AB403" s="199"/>
      <c r="AC403" s="199"/>
      <c r="AD403" s="199"/>
      <c r="AE403" s="199"/>
      <c r="AF403" s="199"/>
      <c r="AG403" s="199"/>
      <c r="AH403" s="199"/>
      <c r="AI403" s="199"/>
      <c r="AJ403" s="199"/>
      <c r="AK403" s="199"/>
      <c r="AL403" s="199"/>
    </row>
    <row r="404" spans="2:38">
      <c r="B404" s="204"/>
      <c r="C404" s="205"/>
      <c r="D404" s="206"/>
      <c r="E404" s="209"/>
      <c r="F404" s="162"/>
      <c r="G404" s="162"/>
      <c r="H404" s="162"/>
      <c r="I404" s="162"/>
      <c r="J404" s="162"/>
      <c r="K404" s="162"/>
      <c r="L404" s="162"/>
      <c r="M404" s="163"/>
      <c r="N404" s="163"/>
      <c r="O404" s="163"/>
      <c r="P404" s="163"/>
      <c r="Q404" s="163"/>
      <c r="R404" s="163"/>
      <c r="S404" s="165"/>
      <c r="T404" s="165"/>
      <c r="U404" s="165"/>
      <c r="V404" s="165"/>
      <c r="W404" s="162"/>
      <c r="X404" s="164"/>
      <c r="Y404" s="162"/>
      <c r="Z404" s="199"/>
      <c r="AA404" s="199"/>
      <c r="AB404" s="199"/>
      <c r="AC404" s="199"/>
      <c r="AD404" s="199"/>
      <c r="AE404" s="199"/>
      <c r="AF404" s="199"/>
      <c r="AG404" s="199"/>
      <c r="AH404" s="199"/>
      <c r="AI404" s="199"/>
      <c r="AJ404" s="199"/>
      <c r="AK404" s="199"/>
      <c r="AL404" s="199"/>
    </row>
    <row r="405" spans="2:38">
      <c r="B405" s="204"/>
      <c r="C405" s="205"/>
      <c r="D405" s="206"/>
      <c r="E405" s="209"/>
      <c r="F405" s="162"/>
      <c r="G405" s="162"/>
      <c r="H405" s="162"/>
      <c r="I405" s="162"/>
      <c r="J405" s="162"/>
      <c r="K405" s="162"/>
      <c r="L405" s="162"/>
      <c r="M405" s="163"/>
      <c r="N405" s="163"/>
      <c r="O405" s="163"/>
      <c r="P405" s="163"/>
      <c r="Q405" s="163"/>
      <c r="R405" s="163"/>
      <c r="S405" s="165"/>
      <c r="T405" s="165"/>
      <c r="U405" s="165"/>
      <c r="V405" s="165"/>
      <c r="W405" s="162"/>
      <c r="X405" s="164"/>
      <c r="Y405" s="162"/>
      <c r="Z405" s="199"/>
      <c r="AA405" s="199"/>
      <c r="AB405" s="199"/>
      <c r="AC405" s="199"/>
      <c r="AD405" s="199"/>
      <c r="AE405" s="199"/>
      <c r="AF405" s="199"/>
      <c r="AG405" s="199"/>
      <c r="AH405" s="199"/>
      <c r="AI405" s="199"/>
      <c r="AJ405" s="199"/>
      <c r="AK405" s="199"/>
      <c r="AL405" s="199"/>
    </row>
    <row r="406" ht="17.6" spans="2:38">
      <c r="B406" s="204"/>
      <c r="C406" s="205"/>
      <c r="D406" s="206"/>
      <c r="E406" s="209"/>
      <c r="F406" s="210"/>
      <c r="G406" s="210"/>
      <c r="H406" s="211"/>
      <c r="I406" s="162"/>
      <c r="J406" s="162"/>
      <c r="K406" s="162"/>
      <c r="L406" s="162"/>
      <c r="M406" s="163"/>
      <c r="N406" s="163"/>
      <c r="O406" s="163"/>
      <c r="P406" s="163"/>
      <c r="Q406" s="163"/>
      <c r="R406" s="163"/>
      <c r="S406" s="164"/>
      <c r="T406" s="165"/>
      <c r="U406" s="165"/>
      <c r="V406" s="165"/>
      <c r="W406" s="162"/>
      <c r="X406" s="164"/>
      <c r="Y406" s="162"/>
      <c r="Z406" s="199"/>
      <c r="AA406" s="199"/>
      <c r="AB406" s="199"/>
      <c r="AC406" s="199"/>
      <c r="AD406" s="199"/>
      <c r="AE406" s="199"/>
      <c r="AF406" s="199"/>
      <c r="AG406" s="199"/>
      <c r="AH406" s="199"/>
      <c r="AI406" s="199"/>
      <c r="AJ406" s="199"/>
      <c r="AK406" s="199"/>
      <c r="AL406" s="199"/>
    </row>
    <row r="407" spans="2:38">
      <c r="B407" s="204"/>
      <c r="C407" s="205"/>
      <c r="D407" s="206"/>
      <c r="E407" s="209"/>
      <c r="F407" s="162"/>
      <c r="G407" s="162"/>
      <c r="H407" s="162"/>
      <c r="I407" s="162"/>
      <c r="J407" s="162"/>
      <c r="K407" s="162"/>
      <c r="L407" s="162"/>
      <c r="M407" s="163"/>
      <c r="N407" s="163"/>
      <c r="O407" s="163"/>
      <c r="P407" s="163"/>
      <c r="Q407" s="163"/>
      <c r="R407" s="163"/>
      <c r="S407" s="165"/>
      <c r="T407" s="165"/>
      <c r="U407" s="165"/>
      <c r="V407" s="165"/>
      <c r="W407" s="162"/>
      <c r="X407" s="164"/>
      <c r="Y407" s="162"/>
      <c r="Z407" s="199"/>
      <c r="AA407" s="199"/>
      <c r="AB407" s="199"/>
      <c r="AC407" s="199"/>
      <c r="AD407" s="199"/>
      <c r="AE407" s="199"/>
      <c r="AF407" s="199"/>
      <c r="AG407" s="199"/>
      <c r="AH407" s="199"/>
      <c r="AI407" s="199"/>
      <c r="AJ407" s="199"/>
      <c r="AK407" s="199"/>
      <c r="AL407" s="199"/>
    </row>
    <row r="408" ht="17.6" spans="2:38">
      <c r="B408" s="204"/>
      <c r="C408" s="205"/>
      <c r="D408" s="206"/>
      <c r="E408" s="209"/>
      <c r="F408" s="210"/>
      <c r="G408" s="210"/>
      <c r="H408" s="211"/>
      <c r="I408" s="162"/>
      <c r="J408" s="162"/>
      <c r="K408" s="162"/>
      <c r="L408" s="162"/>
      <c r="M408" s="163"/>
      <c r="N408" s="163"/>
      <c r="O408" s="163"/>
      <c r="P408" s="163"/>
      <c r="Q408" s="163"/>
      <c r="R408" s="163"/>
      <c r="S408" s="164"/>
      <c r="T408" s="165"/>
      <c r="U408" s="165"/>
      <c r="V408" s="165"/>
      <c r="W408" s="162"/>
      <c r="X408" s="164"/>
      <c r="Y408" s="162"/>
      <c r="Z408" s="199"/>
      <c r="AA408" s="199"/>
      <c r="AB408" s="199"/>
      <c r="AC408" s="199"/>
      <c r="AD408" s="199"/>
      <c r="AE408" s="199"/>
      <c r="AF408" s="199"/>
      <c r="AG408" s="199"/>
      <c r="AH408" s="199"/>
      <c r="AI408" s="199"/>
      <c r="AJ408" s="199"/>
      <c r="AK408" s="199"/>
      <c r="AL408" s="199"/>
    </row>
    <row r="409" spans="2:38">
      <c r="B409" s="204"/>
      <c r="C409" s="205"/>
      <c r="D409" s="206"/>
      <c r="E409" s="209"/>
      <c r="F409" s="162"/>
      <c r="G409" s="162"/>
      <c r="H409" s="162"/>
      <c r="I409" s="162"/>
      <c r="J409" s="162"/>
      <c r="K409" s="162"/>
      <c r="L409" s="162"/>
      <c r="M409" s="163"/>
      <c r="N409" s="163"/>
      <c r="O409" s="163"/>
      <c r="P409" s="163"/>
      <c r="Q409" s="163"/>
      <c r="R409" s="163"/>
      <c r="S409" s="203"/>
      <c r="T409" s="165"/>
      <c r="U409" s="165"/>
      <c r="V409" s="165"/>
      <c r="W409" s="162"/>
      <c r="X409" s="164"/>
      <c r="Y409" s="162"/>
      <c r="Z409" s="199"/>
      <c r="AA409" s="199"/>
      <c r="AB409" s="199"/>
      <c r="AC409" s="199"/>
      <c r="AD409" s="199"/>
      <c r="AE409" s="199"/>
      <c r="AF409" s="199"/>
      <c r="AG409" s="199"/>
      <c r="AH409" s="199"/>
      <c r="AI409" s="199"/>
      <c r="AJ409" s="199"/>
      <c r="AK409" s="199"/>
      <c r="AL409" s="199"/>
    </row>
    <row r="410" spans="2:38">
      <c r="B410" s="204"/>
      <c r="C410" s="205"/>
      <c r="D410" s="206"/>
      <c r="E410" s="209"/>
      <c r="F410" s="162"/>
      <c r="G410" s="162"/>
      <c r="H410" s="162"/>
      <c r="I410" s="162"/>
      <c r="J410" s="162"/>
      <c r="K410" s="162"/>
      <c r="L410" s="162"/>
      <c r="M410" s="163"/>
      <c r="N410" s="163"/>
      <c r="O410" s="163"/>
      <c r="P410" s="163"/>
      <c r="Q410" s="163"/>
      <c r="R410" s="163"/>
      <c r="S410" s="165"/>
      <c r="T410" s="165"/>
      <c r="U410" s="165"/>
      <c r="V410" s="165"/>
      <c r="W410" s="162"/>
      <c r="X410" s="164"/>
      <c r="Y410" s="162"/>
      <c r="Z410" s="199"/>
      <c r="AA410" s="199"/>
      <c r="AB410" s="199"/>
      <c r="AC410" s="199"/>
      <c r="AD410" s="199"/>
      <c r="AE410" s="199"/>
      <c r="AF410" s="199"/>
      <c r="AG410" s="199"/>
      <c r="AH410" s="199"/>
      <c r="AI410" s="199"/>
      <c r="AJ410" s="199"/>
      <c r="AK410" s="199"/>
      <c r="AL410" s="199"/>
    </row>
    <row r="411" spans="2:38">
      <c r="B411" s="204"/>
      <c r="C411" s="205"/>
      <c r="D411" s="206"/>
      <c r="E411" s="209"/>
      <c r="F411" s="162"/>
      <c r="G411" s="162"/>
      <c r="H411" s="162"/>
      <c r="I411" s="162"/>
      <c r="J411" s="162"/>
      <c r="K411" s="162"/>
      <c r="L411" s="162"/>
      <c r="M411" s="163"/>
      <c r="N411" s="163"/>
      <c r="O411" s="163"/>
      <c r="P411" s="163"/>
      <c r="Q411" s="163"/>
      <c r="R411" s="163"/>
      <c r="S411" s="165"/>
      <c r="T411" s="165"/>
      <c r="U411" s="165"/>
      <c r="V411" s="165"/>
      <c r="W411" s="162"/>
      <c r="X411" s="164"/>
      <c r="Y411" s="162"/>
      <c r="Z411" s="199"/>
      <c r="AA411" s="199"/>
      <c r="AB411" s="199"/>
      <c r="AC411" s="199"/>
      <c r="AD411" s="199"/>
      <c r="AE411" s="199"/>
      <c r="AF411" s="199"/>
      <c r="AG411" s="199"/>
      <c r="AH411" s="199"/>
      <c r="AI411" s="199"/>
      <c r="AJ411" s="199"/>
      <c r="AK411" s="199"/>
      <c r="AL411" s="199"/>
    </row>
    <row r="412" spans="2:38">
      <c r="B412" s="204"/>
      <c r="C412" s="205"/>
      <c r="D412" s="206"/>
      <c r="E412" s="209"/>
      <c r="F412" s="162"/>
      <c r="G412" s="162"/>
      <c r="H412" s="162"/>
      <c r="I412" s="162"/>
      <c r="J412" s="162"/>
      <c r="K412" s="162"/>
      <c r="L412" s="162"/>
      <c r="M412" s="163"/>
      <c r="N412" s="163"/>
      <c r="O412" s="163"/>
      <c r="P412" s="163"/>
      <c r="Q412" s="163"/>
      <c r="R412" s="163"/>
      <c r="S412" s="165"/>
      <c r="T412" s="165"/>
      <c r="U412" s="165"/>
      <c r="V412" s="165"/>
      <c r="W412" s="162"/>
      <c r="X412" s="164"/>
      <c r="Y412" s="162"/>
      <c r="Z412" s="199"/>
      <c r="AA412" s="199"/>
      <c r="AB412" s="199"/>
      <c r="AC412" s="199"/>
      <c r="AD412" s="199"/>
      <c r="AE412" s="199"/>
      <c r="AF412" s="199"/>
      <c r="AG412" s="199"/>
      <c r="AH412" s="199"/>
      <c r="AI412" s="199"/>
      <c r="AJ412" s="199"/>
      <c r="AK412" s="199"/>
      <c r="AL412" s="199"/>
    </row>
    <row r="413" spans="2:38">
      <c r="B413" s="204"/>
      <c r="C413" s="205"/>
      <c r="D413" s="206"/>
      <c r="E413" s="209"/>
      <c r="F413" s="162"/>
      <c r="G413" s="162"/>
      <c r="H413" s="162"/>
      <c r="I413" s="162"/>
      <c r="J413" s="162"/>
      <c r="K413" s="162"/>
      <c r="L413" s="162"/>
      <c r="M413" s="163"/>
      <c r="N413" s="163"/>
      <c r="O413" s="163"/>
      <c r="P413" s="163"/>
      <c r="Q413" s="163"/>
      <c r="R413" s="163"/>
      <c r="S413" s="165"/>
      <c r="T413" s="165"/>
      <c r="U413" s="165"/>
      <c r="V413" s="165"/>
      <c r="W413" s="162"/>
      <c r="X413" s="164"/>
      <c r="Y413" s="162"/>
      <c r="Z413" s="199"/>
      <c r="AA413" s="199"/>
      <c r="AB413" s="199"/>
      <c r="AC413" s="199"/>
      <c r="AD413" s="199"/>
      <c r="AE413" s="199"/>
      <c r="AF413" s="199"/>
      <c r="AG413" s="199"/>
      <c r="AH413" s="199"/>
      <c r="AI413" s="199"/>
      <c r="AJ413" s="199"/>
      <c r="AK413" s="199"/>
      <c r="AL413" s="199"/>
    </row>
    <row r="414" spans="2:38">
      <c r="B414" s="204"/>
      <c r="C414" s="205"/>
      <c r="D414" s="206"/>
      <c r="E414" s="209"/>
      <c r="F414" s="162"/>
      <c r="G414" s="162"/>
      <c r="H414" s="162"/>
      <c r="I414" s="162"/>
      <c r="J414" s="162"/>
      <c r="K414" s="162"/>
      <c r="L414" s="162"/>
      <c r="M414" s="163"/>
      <c r="N414" s="163"/>
      <c r="O414" s="163"/>
      <c r="P414" s="163"/>
      <c r="Q414" s="163"/>
      <c r="R414" s="163"/>
      <c r="S414" s="164"/>
      <c r="T414" s="165"/>
      <c r="U414" s="165"/>
      <c r="V414" s="165"/>
      <c r="W414" s="162"/>
      <c r="X414" s="164"/>
      <c r="Y414" s="162"/>
      <c r="Z414" s="199"/>
      <c r="AA414" s="199"/>
      <c r="AB414" s="199"/>
      <c r="AC414" s="199"/>
      <c r="AD414" s="199"/>
      <c r="AE414" s="199"/>
      <c r="AF414" s="199"/>
      <c r="AG414" s="199"/>
      <c r="AH414" s="199"/>
      <c r="AI414" s="199"/>
      <c r="AJ414" s="199"/>
      <c r="AK414" s="199"/>
      <c r="AL414" s="199"/>
    </row>
    <row r="415" spans="2:38">
      <c r="B415" s="204"/>
      <c r="C415" s="205"/>
      <c r="D415" s="206"/>
      <c r="E415" s="209"/>
      <c r="F415" s="162"/>
      <c r="G415" s="162"/>
      <c r="H415" s="162"/>
      <c r="I415" s="162"/>
      <c r="J415" s="162"/>
      <c r="K415" s="162"/>
      <c r="L415" s="162"/>
      <c r="M415" s="163"/>
      <c r="N415" s="163"/>
      <c r="O415" s="163"/>
      <c r="P415" s="163"/>
      <c r="Q415" s="163"/>
      <c r="R415" s="163"/>
      <c r="S415" s="165"/>
      <c r="T415" s="165"/>
      <c r="U415" s="165"/>
      <c r="V415" s="165"/>
      <c r="W415" s="162"/>
      <c r="X415" s="165"/>
      <c r="Y415" s="162"/>
      <c r="Z415" s="199"/>
      <c r="AA415" s="199"/>
      <c r="AB415" s="199"/>
      <c r="AC415" s="199"/>
      <c r="AD415" s="199"/>
      <c r="AE415" s="199"/>
      <c r="AF415" s="199"/>
      <c r="AG415" s="199"/>
      <c r="AH415" s="199"/>
      <c r="AI415" s="199"/>
      <c r="AJ415" s="199"/>
      <c r="AK415" s="199"/>
      <c r="AL415" s="199"/>
    </row>
    <row r="416" spans="2:38">
      <c r="B416" s="204"/>
      <c r="C416" s="205"/>
      <c r="D416" s="206"/>
      <c r="E416" s="209"/>
      <c r="F416" s="162"/>
      <c r="G416" s="162"/>
      <c r="H416" s="162"/>
      <c r="I416" s="162"/>
      <c r="J416" s="162"/>
      <c r="K416" s="162"/>
      <c r="L416" s="162"/>
      <c r="M416" s="163"/>
      <c r="N416" s="163"/>
      <c r="O416" s="163"/>
      <c r="P416" s="163"/>
      <c r="Q416" s="163"/>
      <c r="R416" s="163"/>
      <c r="S416" s="165"/>
      <c r="T416" s="165"/>
      <c r="U416" s="165"/>
      <c r="V416" s="165"/>
      <c r="W416" s="162"/>
      <c r="X416" s="164"/>
      <c r="Y416" s="162"/>
      <c r="Z416" s="199"/>
      <c r="AA416" s="199"/>
      <c r="AB416" s="199"/>
      <c r="AC416" s="199"/>
      <c r="AD416" s="199"/>
      <c r="AE416" s="199"/>
      <c r="AF416" s="199"/>
      <c r="AG416" s="199"/>
      <c r="AH416" s="199"/>
      <c r="AI416" s="199"/>
      <c r="AJ416" s="199"/>
      <c r="AK416" s="199"/>
      <c r="AL416" s="199"/>
    </row>
    <row r="417" spans="2:38">
      <c r="B417" s="204"/>
      <c r="C417" s="205"/>
      <c r="D417" s="206"/>
      <c r="E417" s="209"/>
      <c r="F417" s="162"/>
      <c r="G417" s="162"/>
      <c r="H417" s="162"/>
      <c r="I417" s="162"/>
      <c r="J417" s="162"/>
      <c r="K417" s="162"/>
      <c r="L417" s="162"/>
      <c r="M417" s="163"/>
      <c r="N417" s="163"/>
      <c r="O417" s="163"/>
      <c r="P417" s="163"/>
      <c r="Q417" s="163"/>
      <c r="R417" s="163"/>
      <c r="S417" s="165"/>
      <c r="T417" s="165"/>
      <c r="U417" s="165"/>
      <c r="V417" s="165"/>
      <c r="W417" s="162"/>
      <c r="X417" s="164"/>
      <c r="Y417" s="162"/>
      <c r="Z417" s="199"/>
      <c r="AA417" s="199"/>
      <c r="AB417" s="199"/>
      <c r="AC417" s="199"/>
      <c r="AD417" s="199"/>
      <c r="AE417" s="199"/>
      <c r="AF417" s="199"/>
      <c r="AG417" s="199"/>
      <c r="AH417" s="199"/>
      <c r="AI417" s="199"/>
      <c r="AJ417" s="199"/>
      <c r="AK417" s="199"/>
      <c r="AL417" s="199"/>
    </row>
    <row r="418" spans="2:38">
      <c r="B418" s="204"/>
      <c r="C418" s="205"/>
      <c r="D418" s="206"/>
      <c r="E418" s="209"/>
      <c r="F418" s="162"/>
      <c r="G418" s="162"/>
      <c r="H418" s="162"/>
      <c r="I418" s="162"/>
      <c r="J418" s="162"/>
      <c r="K418" s="162"/>
      <c r="L418" s="162"/>
      <c r="M418" s="163"/>
      <c r="N418" s="163"/>
      <c r="O418" s="163"/>
      <c r="P418" s="163"/>
      <c r="Q418" s="163"/>
      <c r="R418" s="163"/>
      <c r="S418" s="165"/>
      <c r="T418" s="165"/>
      <c r="U418" s="165"/>
      <c r="V418" s="165"/>
      <c r="W418" s="162"/>
      <c r="X418" s="165"/>
      <c r="Y418" s="162"/>
      <c r="Z418" s="199"/>
      <c r="AA418" s="199"/>
      <c r="AB418" s="199"/>
      <c r="AC418" s="199"/>
      <c r="AD418" s="199"/>
      <c r="AE418" s="199"/>
      <c r="AF418" s="199"/>
      <c r="AG418" s="199"/>
      <c r="AH418" s="199"/>
      <c r="AI418" s="199"/>
      <c r="AJ418" s="199"/>
      <c r="AK418" s="199"/>
      <c r="AL418" s="199"/>
    </row>
    <row r="419" spans="2:38">
      <c r="B419" s="204"/>
      <c r="C419" s="205"/>
      <c r="D419" s="206"/>
      <c r="E419" s="209"/>
      <c r="F419" s="162"/>
      <c r="G419" s="162"/>
      <c r="H419" s="162"/>
      <c r="I419" s="162"/>
      <c r="J419" s="162"/>
      <c r="K419" s="162"/>
      <c r="L419" s="162"/>
      <c r="M419" s="163"/>
      <c r="N419" s="163"/>
      <c r="O419" s="163"/>
      <c r="P419" s="163"/>
      <c r="Q419" s="163"/>
      <c r="R419" s="163"/>
      <c r="S419" s="165"/>
      <c r="T419" s="165"/>
      <c r="U419" s="165"/>
      <c r="V419" s="165"/>
      <c r="W419" s="162"/>
      <c r="X419" s="164"/>
      <c r="Y419" s="162"/>
      <c r="Z419" s="199"/>
      <c r="AA419" s="199"/>
      <c r="AB419" s="199"/>
      <c r="AC419" s="199"/>
      <c r="AD419" s="199"/>
      <c r="AE419" s="199"/>
      <c r="AF419" s="199"/>
      <c r="AG419" s="199"/>
      <c r="AH419" s="199"/>
      <c r="AI419" s="199"/>
      <c r="AJ419" s="199"/>
      <c r="AK419" s="199"/>
      <c r="AL419" s="199"/>
    </row>
    <row r="420" spans="2:38">
      <c r="B420" s="204"/>
      <c r="C420" s="205"/>
      <c r="D420" s="206"/>
      <c r="E420" s="209"/>
      <c r="F420" s="162"/>
      <c r="G420" s="162"/>
      <c r="H420" s="162"/>
      <c r="I420" s="162"/>
      <c r="J420" s="162"/>
      <c r="K420" s="162"/>
      <c r="L420" s="162"/>
      <c r="M420" s="163"/>
      <c r="N420" s="163"/>
      <c r="O420" s="163"/>
      <c r="P420" s="163"/>
      <c r="Q420" s="163"/>
      <c r="R420" s="163"/>
      <c r="S420" s="165"/>
      <c r="T420" s="165"/>
      <c r="U420" s="165"/>
      <c r="V420" s="165"/>
      <c r="W420" s="162"/>
      <c r="X420" s="164"/>
      <c r="Y420" s="162"/>
      <c r="Z420" s="199"/>
      <c r="AA420" s="199"/>
      <c r="AB420" s="199"/>
      <c r="AC420" s="199"/>
      <c r="AD420" s="199"/>
      <c r="AE420" s="199"/>
      <c r="AF420" s="199"/>
      <c r="AG420" s="199"/>
      <c r="AH420" s="199"/>
      <c r="AI420" s="199"/>
      <c r="AJ420" s="199"/>
      <c r="AK420" s="199"/>
      <c r="AL420" s="199"/>
    </row>
    <row r="421" spans="2:38">
      <c r="B421" s="204"/>
      <c r="C421" s="205"/>
      <c r="D421" s="206"/>
      <c r="E421" s="209"/>
      <c r="F421" s="162"/>
      <c r="G421" s="162"/>
      <c r="H421" s="162"/>
      <c r="I421" s="162"/>
      <c r="J421" s="162"/>
      <c r="K421" s="162"/>
      <c r="L421" s="162"/>
      <c r="M421" s="163"/>
      <c r="N421" s="163"/>
      <c r="O421" s="163"/>
      <c r="P421" s="163"/>
      <c r="Q421" s="163"/>
      <c r="R421" s="163"/>
      <c r="S421" s="165"/>
      <c r="T421" s="165"/>
      <c r="U421" s="165"/>
      <c r="V421" s="165"/>
      <c r="W421" s="162"/>
      <c r="X421" s="164"/>
      <c r="Y421" s="162"/>
      <c r="Z421" s="199"/>
      <c r="AA421" s="199"/>
      <c r="AB421" s="199"/>
      <c r="AC421" s="199"/>
      <c r="AD421" s="199"/>
      <c r="AE421" s="199"/>
      <c r="AF421" s="199"/>
      <c r="AG421" s="199"/>
      <c r="AH421" s="199"/>
      <c r="AI421" s="199"/>
      <c r="AJ421" s="199"/>
      <c r="AK421" s="199"/>
      <c r="AL421" s="199"/>
    </row>
    <row r="422" spans="2:38">
      <c r="B422" s="204"/>
      <c r="C422" s="205"/>
      <c r="D422" s="206"/>
      <c r="E422" s="209"/>
      <c r="F422" s="162"/>
      <c r="G422" s="162"/>
      <c r="H422" s="162"/>
      <c r="I422" s="162"/>
      <c r="J422" s="162"/>
      <c r="K422" s="162"/>
      <c r="L422" s="162"/>
      <c r="M422" s="163"/>
      <c r="N422" s="163"/>
      <c r="O422" s="163"/>
      <c r="P422" s="163"/>
      <c r="Q422" s="163"/>
      <c r="R422" s="163"/>
      <c r="S422" s="165"/>
      <c r="T422" s="165"/>
      <c r="U422" s="165"/>
      <c r="V422" s="165"/>
      <c r="W422" s="162"/>
      <c r="X422" s="164"/>
      <c r="Y422" s="162"/>
      <c r="Z422" s="199"/>
      <c r="AA422" s="199"/>
      <c r="AB422" s="199"/>
      <c r="AC422" s="199"/>
      <c r="AD422" s="199"/>
      <c r="AE422" s="199"/>
      <c r="AF422" s="199"/>
      <c r="AG422" s="199"/>
      <c r="AH422" s="199"/>
      <c r="AI422" s="199"/>
      <c r="AJ422" s="199"/>
      <c r="AK422" s="199"/>
      <c r="AL422" s="199"/>
    </row>
    <row r="423" spans="2:38">
      <c r="B423" s="204"/>
      <c r="C423" s="205"/>
      <c r="D423" s="206"/>
      <c r="E423" s="209"/>
      <c r="F423" s="162"/>
      <c r="G423" s="162"/>
      <c r="H423" s="162"/>
      <c r="I423" s="162"/>
      <c r="J423" s="162"/>
      <c r="K423" s="162"/>
      <c r="L423" s="162"/>
      <c r="M423" s="163"/>
      <c r="N423" s="163"/>
      <c r="O423" s="163"/>
      <c r="P423" s="163"/>
      <c r="Q423" s="163"/>
      <c r="R423" s="163"/>
      <c r="S423" s="165"/>
      <c r="T423" s="165"/>
      <c r="U423" s="165"/>
      <c r="V423" s="165"/>
      <c r="W423" s="162"/>
      <c r="X423" s="165"/>
      <c r="Y423" s="162"/>
      <c r="Z423" s="199"/>
      <c r="AA423" s="199"/>
      <c r="AB423" s="199"/>
      <c r="AC423" s="199"/>
      <c r="AD423" s="199"/>
      <c r="AE423" s="199"/>
      <c r="AF423" s="199"/>
      <c r="AG423" s="199"/>
      <c r="AH423" s="199"/>
      <c r="AI423" s="199"/>
      <c r="AJ423" s="199"/>
      <c r="AK423" s="199"/>
      <c r="AL423" s="199"/>
    </row>
    <row r="424" spans="2:38">
      <c r="B424" s="204"/>
      <c r="C424" s="205"/>
      <c r="D424" s="206"/>
      <c r="E424" s="209"/>
      <c r="F424" s="162"/>
      <c r="G424" s="162"/>
      <c r="H424" s="162"/>
      <c r="I424" s="162"/>
      <c r="J424" s="162"/>
      <c r="K424" s="162"/>
      <c r="L424" s="162"/>
      <c r="M424" s="163"/>
      <c r="N424" s="163"/>
      <c r="O424" s="163"/>
      <c r="P424" s="163"/>
      <c r="Q424" s="163"/>
      <c r="R424" s="163"/>
      <c r="S424" s="165"/>
      <c r="T424" s="165"/>
      <c r="U424" s="165"/>
      <c r="V424" s="165"/>
      <c r="W424" s="162"/>
      <c r="X424" s="164"/>
      <c r="Y424" s="162"/>
      <c r="Z424" s="199"/>
      <c r="AA424" s="199"/>
      <c r="AB424" s="199"/>
      <c r="AC424" s="199"/>
      <c r="AD424" s="199"/>
      <c r="AE424" s="199"/>
      <c r="AF424" s="199"/>
      <c r="AG424" s="199"/>
      <c r="AH424" s="199"/>
      <c r="AI424" s="199"/>
      <c r="AJ424" s="199"/>
      <c r="AK424" s="199"/>
      <c r="AL424" s="199"/>
    </row>
    <row r="425" ht="17.6" spans="2:38">
      <c r="B425" s="204"/>
      <c r="C425" s="207"/>
      <c r="D425" s="208"/>
      <c r="E425" s="207"/>
      <c r="F425" s="162"/>
      <c r="G425" s="162"/>
      <c r="H425" s="162"/>
      <c r="I425" s="162"/>
      <c r="J425" s="162"/>
      <c r="K425" s="162"/>
      <c r="L425" s="162"/>
      <c r="M425" s="163"/>
      <c r="N425" s="163"/>
      <c r="O425" s="163"/>
      <c r="P425" s="163"/>
      <c r="Q425" s="163"/>
      <c r="R425" s="163"/>
      <c r="S425" s="165"/>
      <c r="T425" s="165"/>
      <c r="U425" s="165"/>
      <c r="V425" s="165"/>
      <c r="W425" s="162"/>
      <c r="X425" s="164"/>
      <c r="Y425" s="162"/>
      <c r="Z425" s="199"/>
      <c r="AA425" s="199"/>
      <c r="AB425" s="199"/>
      <c r="AC425" s="199"/>
      <c r="AD425" s="199"/>
      <c r="AE425" s="199"/>
      <c r="AF425" s="199"/>
      <c r="AG425" s="199"/>
      <c r="AH425" s="199"/>
      <c r="AI425" s="199"/>
      <c r="AJ425" s="199"/>
      <c r="AK425" s="199"/>
      <c r="AL425" s="199"/>
    </row>
    <row r="426" spans="2:38">
      <c r="B426" s="204"/>
      <c r="C426" s="205"/>
      <c r="D426" s="206"/>
      <c r="E426" s="209"/>
      <c r="F426" s="162"/>
      <c r="G426" s="162"/>
      <c r="H426" s="162"/>
      <c r="I426" s="162"/>
      <c r="J426" s="162"/>
      <c r="K426" s="162"/>
      <c r="L426" s="162"/>
      <c r="M426" s="163"/>
      <c r="N426" s="163"/>
      <c r="O426" s="163"/>
      <c r="P426" s="163"/>
      <c r="Q426" s="163"/>
      <c r="R426" s="163"/>
      <c r="S426" s="165"/>
      <c r="T426" s="165"/>
      <c r="U426" s="165"/>
      <c r="V426" s="165"/>
      <c r="W426" s="162"/>
      <c r="X426" s="164"/>
      <c r="Y426" s="162"/>
      <c r="Z426" s="199"/>
      <c r="AA426" s="199"/>
      <c r="AB426" s="199"/>
      <c r="AC426" s="199"/>
      <c r="AD426" s="199"/>
      <c r="AE426" s="199"/>
      <c r="AF426" s="199"/>
      <c r="AG426" s="199"/>
      <c r="AH426" s="199"/>
      <c r="AI426" s="199"/>
      <c r="AJ426" s="199"/>
      <c r="AK426" s="199"/>
      <c r="AL426" s="199"/>
    </row>
    <row r="427" spans="2:38">
      <c r="B427" s="204"/>
      <c r="C427" s="205"/>
      <c r="D427" s="206"/>
      <c r="E427" s="209"/>
      <c r="F427" s="162"/>
      <c r="G427" s="162"/>
      <c r="H427" s="162"/>
      <c r="I427" s="162"/>
      <c r="J427" s="162"/>
      <c r="K427" s="162"/>
      <c r="L427" s="162"/>
      <c r="M427" s="163"/>
      <c r="N427" s="163"/>
      <c r="O427" s="163"/>
      <c r="P427" s="163"/>
      <c r="Q427" s="163"/>
      <c r="R427" s="163"/>
      <c r="S427" s="165"/>
      <c r="T427" s="165"/>
      <c r="U427" s="165"/>
      <c r="V427" s="165"/>
      <c r="W427" s="162"/>
      <c r="X427" s="164"/>
      <c r="Y427" s="162"/>
      <c r="Z427" s="199"/>
      <c r="AA427" s="199"/>
      <c r="AB427" s="199"/>
      <c r="AC427" s="199"/>
      <c r="AD427" s="199"/>
      <c r="AE427" s="199"/>
      <c r="AF427" s="199"/>
      <c r="AG427" s="199"/>
      <c r="AH427" s="199"/>
      <c r="AI427" s="199"/>
      <c r="AJ427" s="199"/>
      <c r="AK427" s="199"/>
      <c r="AL427" s="199"/>
    </row>
    <row r="428" spans="2:38">
      <c r="B428" s="204"/>
      <c r="C428" s="205"/>
      <c r="D428" s="206"/>
      <c r="E428" s="209"/>
      <c r="F428" s="162"/>
      <c r="G428" s="162"/>
      <c r="H428" s="162"/>
      <c r="I428" s="162"/>
      <c r="J428" s="162"/>
      <c r="K428" s="162"/>
      <c r="L428" s="162"/>
      <c r="M428" s="163"/>
      <c r="N428" s="163"/>
      <c r="O428" s="163"/>
      <c r="P428" s="163"/>
      <c r="Q428" s="163"/>
      <c r="R428" s="163"/>
      <c r="S428" s="165"/>
      <c r="T428" s="165"/>
      <c r="U428" s="165"/>
      <c r="V428" s="165"/>
      <c r="W428" s="162"/>
      <c r="X428" s="164"/>
      <c r="Y428" s="162"/>
      <c r="Z428" s="199"/>
      <c r="AA428" s="199"/>
      <c r="AB428" s="199"/>
      <c r="AC428" s="199"/>
      <c r="AD428" s="199"/>
      <c r="AE428" s="199"/>
      <c r="AF428" s="199"/>
      <c r="AG428" s="199"/>
      <c r="AH428" s="199"/>
      <c r="AI428" s="199"/>
      <c r="AJ428" s="199"/>
      <c r="AK428" s="199"/>
      <c r="AL428" s="199"/>
    </row>
    <row r="429" spans="2:38">
      <c r="B429" s="204"/>
      <c r="C429" s="205"/>
      <c r="D429" s="206"/>
      <c r="E429" s="209"/>
      <c r="F429" s="162"/>
      <c r="G429" s="162"/>
      <c r="H429" s="162"/>
      <c r="I429" s="162"/>
      <c r="J429" s="162"/>
      <c r="K429" s="162"/>
      <c r="L429" s="162"/>
      <c r="M429" s="163"/>
      <c r="N429" s="163"/>
      <c r="O429" s="163"/>
      <c r="P429" s="163"/>
      <c r="Q429" s="163"/>
      <c r="R429" s="163"/>
      <c r="S429" s="165"/>
      <c r="T429" s="165"/>
      <c r="U429" s="165"/>
      <c r="V429" s="165"/>
      <c r="W429" s="162"/>
      <c r="X429" s="164"/>
      <c r="Y429" s="162"/>
      <c r="Z429" s="199"/>
      <c r="AA429" s="199"/>
      <c r="AB429" s="199"/>
      <c r="AC429" s="199"/>
      <c r="AD429" s="199"/>
      <c r="AE429" s="199"/>
      <c r="AF429" s="199"/>
      <c r="AG429" s="199"/>
      <c r="AH429" s="199"/>
      <c r="AI429" s="199"/>
      <c r="AJ429" s="199"/>
      <c r="AK429" s="199"/>
      <c r="AL429" s="199"/>
    </row>
    <row r="430" spans="2:38">
      <c r="B430" s="204"/>
      <c r="C430" s="205"/>
      <c r="D430" s="206"/>
      <c r="E430" s="209"/>
      <c r="F430" s="162"/>
      <c r="G430" s="162"/>
      <c r="H430" s="162"/>
      <c r="I430" s="162"/>
      <c r="J430" s="162"/>
      <c r="K430" s="162"/>
      <c r="L430" s="162"/>
      <c r="M430" s="163"/>
      <c r="N430" s="163"/>
      <c r="O430" s="163"/>
      <c r="P430" s="163"/>
      <c r="Q430" s="163"/>
      <c r="R430" s="163"/>
      <c r="S430" s="165"/>
      <c r="T430" s="165"/>
      <c r="U430" s="165"/>
      <c r="V430" s="165"/>
      <c r="W430" s="162"/>
      <c r="X430" s="164"/>
      <c r="Y430" s="162"/>
      <c r="Z430" s="199"/>
      <c r="AA430" s="199"/>
      <c r="AB430" s="199"/>
      <c r="AC430" s="199"/>
      <c r="AD430" s="199"/>
      <c r="AE430" s="199"/>
      <c r="AF430" s="199"/>
      <c r="AG430" s="199"/>
      <c r="AH430" s="199"/>
      <c r="AI430" s="199"/>
      <c r="AJ430" s="199"/>
      <c r="AK430" s="199"/>
      <c r="AL430" s="199"/>
    </row>
    <row r="431" spans="2:38">
      <c r="B431" s="204"/>
      <c r="C431" s="205"/>
      <c r="D431" s="206"/>
      <c r="E431" s="209"/>
      <c r="F431" s="162"/>
      <c r="G431" s="162"/>
      <c r="H431" s="162"/>
      <c r="I431" s="162"/>
      <c r="J431" s="162"/>
      <c r="K431" s="162"/>
      <c r="L431" s="162"/>
      <c r="M431" s="163"/>
      <c r="N431" s="163"/>
      <c r="O431" s="163"/>
      <c r="P431" s="163"/>
      <c r="Q431" s="163"/>
      <c r="R431" s="163"/>
      <c r="S431" s="165"/>
      <c r="T431" s="165"/>
      <c r="U431" s="165"/>
      <c r="V431" s="165"/>
      <c r="W431" s="162"/>
      <c r="X431" s="164"/>
      <c r="Y431" s="162"/>
      <c r="Z431" s="199"/>
      <c r="AA431" s="199"/>
      <c r="AB431" s="199"/>
      <c r="AC431" s="199"/>
      <c r="AD431" s="199"/>
      <c r="AE431" s="199"/>
      <c r="AF431" s="199"/>
      <c r="AG431" s="199"/>
      <c r="AH431" s="199"/>
      <c r="AI431" s="199"/>
      <c r="AJ431" s="199"/>
      <c r="AK431" s="199"/>
      <c r="AL431" s="199"/>
    </row>
    <row r="432" spans="2:38">
      <c r="B432" s="204"/>
      <c r="C432" s="205"/>
      <c r="D432" s="206"/>
      <c r="E432" s="209"/>
      <c r="F432" s="162"/>
      <c r="G432" s="162"/>
      <c r="H432" s="162"/>
      <c r="I432" s="162"/>
      <c r="J432" s="162"/>
      <c r="K432" s="162"/>
      <c r="L432" s="162"/>
      <c r="M432" s="163"/>
      <c r="N432" s="163"/>
      <c r="O432" s="163"/>
      <c r="P432" s="163"/>
      <c r="Q432" s="163"/>
      <c r="R432" s="163"/>
      <c r="S432" s="165"/>
      <c r="T432" s="165"/>
      <c r="U432" s="165"/>
      <c r="V432" s="165"/>
      <c r="W432" s="162"/>
      <c r="X432" s="164"/>
      <c r="Y432" s="162"/>
      <c r="Z432" s="199"/>
      <c r="AA432" s="199"/>
      <c r="AB432" s="199"/>
      <c r="AC432" s="199"/>
      <c r="AD432" s="199"/>
      <c r="AE432" s="199"/>
      <c r="AF432" s="199"/>
      <c r="AG432" s="199"/>
      <c r="AH432" s="199"/>
      <c r="AI432" s="199"/>
      <c r="AJ432" s="199"/>
      <c r="AK432" s="199"/>
      <c r="AL432" s="199"/>
    </row>
    <row r="433" spans="2:38">
      <c r="B433" s="204"/>
      <c r="C433" s="205"/>
      <c r="D433" s="206"/>
      <c r="E433" s="209"/>
      <c r="F433" s="162"/>
      <c r="G433" s="162"/>
      <c r="H433" s="162"/>
      <c r="I433" s="162"/>
      <c r="J433" s="162"/>
      <c r="K433" s="162"/>
      <c r="L433" s="162"/>
      <c r="M433" s="163"/>
      <c r="N433" s="163"/>
      <c r="O433" s="163"/>
      <c r="P433" s="163"/>
      <c r="Q433" s="163"/>
      <c r="R433" s="163"/>
      <c r="S433" s="165"/>
      <c r="T433" s="165"/>
      <c r="U433" s="165"/>
      <c r="V433" s="165"/>
      <c r="W433" s="162"/>
      <c r="X433" s="164"/>
      <c r="Y433" s="162"/>
      <c r="Z433" s="199"/>
      <c r="AA433" s="199"/>
      <c r="AB433" s="199"/>
      <c r="AC433" s="199"/>
      <c r="AD433" s="199"/>
      <c r="AE433" s="199"/>
      <c r="AF433" s="199"/>
      <c r="AG433" s="199"/>
      <c r="AH433" s="199"/>
      <c r="AI433" s="199"/>
      <c r="AJ433" s="199"/>
      <c r="AK433" s="199"/>
      <c r="AL433" s="199"/>
    </row>
    <row r="434" spans="2:38">
      <c r="B434" s="204"/>
      <c r="C434" s="205"/>
      <c r="D434" s="206"/>
      <c r="E434" s="209"/>
      <c r="F434" s="162"/>
      <c r="G434" s="162"/>
      <c r="H434" s="162"/>
      <c r="I434" s="162"/>
      <c r="J434" s="162"/>
      <c r="K434" s="162"/>
      <c r="L434" s="162"/>
      <c r="M434" s="163"/>
      <c r="N434" s="163"/>
      <c r="O434" s="163"/>
      <c r="P434" s="163"/>
      <c r="Q434" s="163"/>
      <c r="R434" s="163"/>
      <c r="S434" s="165"/>
      <c r="T434" s="165"/>
      <c r="U434" s="165"/>
      <c r="V434" s="165"/>
      <c r="W434" s="162"/>
      <c r="X434" s="164"/>
      <c r="Y434" s="162"/>
      <c r="Z434" s="199"/>
      <c r="AA434" s="199"/>
      <c r="AB434" s="199"/>
      <c r="AC434" s="199"/>
      <c r="AD434" s="199"/>
      <c r="AE434" s="199"/>
      <c r="AF434" s="199"/>
      <c r="AG434" s="199"/>
      <c r="AH434" s="199"/>
      <c r="AI434" s="199"/>
      <c r="AJ434" s="199"/>
      <c r="AK434" s="199"/>
      <c r="AL434" s="199"/>
    </row>
    <row r="435" spans="2:38">
      <c r="B435" s="204"/>
      <c r="C435" s="205"/>
      <c r="D435" s="206"/>
      <c r="E435" s="209"/>
      <c r="F435" s="162"/>
      <c r="G435" s="162"/>
      <c r="H435" s="162"/>
      <c r="I435" s="162"/>
      <c r="J435" s="162"/>
      <c r="K435" s="162"/>
      <c r="L435" s="162"/>
      <c r="M435" s="163"/>
      <c r="N435" s="163"/>
      <c r="O435" s="163"/>
      <c r="P435" s="163"/>
      <c r="Q435" s="163"/>
      <c r="R435" s="163"/>
      <c r="S435" s="165"/>
      <c r="T435" s="165"/>
      <c r="U435" s="165"/>
      <c r="V435" s="165"/>
      <c r="W435" s="162"/>
      <c r="X435" s="165"/>
      <c r="Y435" s="162"/>
      <c r="Z435" s="199"/>
      <c r="AA435" s="199"/>
      <c r="AB435" s="199"/>
      <c r="AC435" s="199"/>
      <c r="AD435" s="199"/>
      <c r="AE435" s="199"/>
      <c r="AF435" s="199"/>
      <c r="AG435" s="199"/>
      <c r="AH435" s="199"/>
      <c r="AI435" s="199"/>
      <c r="AJ435" s="199"/>
      <c r="AK435" s="199"/>
      <c r="AL435" s="199"/>
    </row>
    <row r="436" spans="2:38">
      <c r="B436" s="204"/>
      <c r="C436" s="205"/>
      <c r="D436" s="206"/>
      <c r="E436" s="209"/>
      <c r="F436" s="162"/>
      <c r="G436" s="162"/>
      <c r="H436" s="162"/>
      <c r="I436" s="162"/>
      <c r="J436" s="162"/>
      <c r="K436" s="162"/>
      <c r="L436" s="162"/>
      <c r="M436" s="163"/>
      <c r="N436" s="163"/>
      <c r="O436" s="163"/>
      <c r="P436" s="163"/>
      <c r="Q436" s="163"/>
      <c r="R436" s="163"/>
      <c r="S436" s="165"/>
      <c r="T436" s="165"/>
      <c r="U436" s="165"/>
      <c r="V436" s="165"/>
      <c r="W436" s="162"/>
      <c r="X436" s="164"/>
      <c r="Y436" s="162"/>
      <c r="Z436" s="199"/>
      <c r="AA436" s="199"/>
      <c r="AB436" s="199"/>
      <c r="AC436" s="199"/>
      <c r="AD436" s="199"/>
      <c r="AE436" s="199"/>
      <c r="AF436" s="199"/>
      <c r="AG436" s="199"/>
      <c r="AH436" s="199"/>
      <c r="AI436" s="199"/>
      <c r="AJ436" s="199"/>
      <c r="AK436" s="199"/>
      <c r="AL436" s="199"/>
    </row>
    <row r="437" ht="17.6" spans="2:38">
      <c r="B437" s="204"/>
      <c r="C437" s="207"/>
      <c r="D437" s="208"/>
      <c r="E437" s="207"/>
      <c r="F437" s="162"/>
      <c r="G437" s="162"/>
      <c r="H437" s="162"/>
      <c r="I437" s="162"/>
      <c r="J437" s="162"/>
      <c r="K437" s="162"/>
      <c r="L437" s="162"/>
      <c r="M437" s="163"/>
      <c r="N437" s="163"/>
      <c r="O437" s="163"/>
      <c r="P437" s="163"/>
      <c r="Q437" s="163"/>
      <c r="R437" s="163"/>
      <c r="S437" s="165"/>
      <c r="T437" s="165"/>
      <c r="U437" s="165"/>
      <c r="V437" s="165"/>
      <c r="W437" s="162"/>
      <c r="X437" s="164"/>
      <c r="Y437" s="162"/>
      <c r="Z437" s="199"/>
      <c r="AA437" s="199"/>
      <c r="AB437" s="199"/>
      <c r="AC437" s="199"/>
      <c r="AD437" s="199"/>
      <c r="AE437" s="199"/>
      <c r="AF437" s="199"/>
      <c r="AG437" s="199"/>
      <c r="AH437" s="199"/>
      <c r="AI437" s="199"/>
      <c r="AJ437" s="199"/>
      <c r="AK437" s="199"/>
      <c r="AL437" s="199"/>
    </row>
    <row r="438" spans="2:38">
      <c r="B438" s="204"/>
      <c r="C438" s="205"/>
      <c r="D438" s="206"/>
      <c r="E438" s="209"/>
      <c r="F438" s="162"/>
      <c r="G438" s="162"/>
      <c r="H438" s="162"/>
      <c r="I438" s="162"/>
      <c r="J438" s="162"/>
      <c r="K438" s="162"/>
      <c r="L438" s="162"/>
      <c r="M438" s="163"/>
      <c r="N438" s="163"/>
      <c r="O438" s="163"/>
      <c r="P438" s="163"/>
      <c r="Q438" s="163"/>
      <c r="R438" s="163"/>
      <c r="S438" s="165"/>
      <c r="T438" s="165"/>
      <c r="U438" s="165"/>
      <c r="V438" s="165"/>
      <c r="W438" s="162"/>
      <c r="X438" s="164"/>
      <c r="Y438" s="162"/>
      <c r="Z438" s="199"/>
      <c r="AA438" s="199"/>
      <c r="AB438" s="199"/>
      <c r="AC438" s="199"/>
      <c r="AD438" s="199"/>
      <c r="AE438" s="199"/>
      <c r="AF438" s="199"/>
      <c r="AG438" s="199"/>
      <c r="AH438" s="199"/>
      <c r="AI438" s="199"/>
      <c r="AJ438" s="199"/>
      <c r="AK438" s="199"/>
      <c r="AL438" s="199"/>
    </row>
    <row r="439" spans="2:38">
      <c r="B439" s="204"/>
      <c r="C439" s="205"/>
      <c r="D439" s="206"/>
      <c r="E439" s="209"/>
      <c r="F439" s="162"/>
      <c r="G439" s="162"/>
      <c r="H439" s="162"/>
      <c r="I439" s="162"/>
      <c r="J439" s="162"/>
      <c r="K439" s="162"/>
      <c r="L439" s="162"/>
      <c r="M439" s="163"/>
      <c r="N439" s="163"/>
      <c r="O439" s="163"/>
      <c r="P439" s="163"/>
      <c r="Q439" s="163"/>
      <c r="R439" s="163"/>
      <c r="S439" s="164"/>
      <c r="T439" s="165"/>
      <c r="U439" s="165"/>
      <c r="V439" s="165"/>
      <c r="W439" s="162"/>
      <c r="X439" s="164"/>
      <c r="Y439" s="162"/>
      <c r="Z439" s="199"/>
      <c r="AA439" s="199"/>
      <c r="AB439" s="199"/>
      <c r="AC439" s="199"/>
      <c r="AD439" s="199"/>
      <c r="AE439" s="199"/>
      <c r="AF439" s="199"/>
      <c r="AG439" s="199"/>
      <c r="AH439" s="199"/>
      <c r="AI439" s="199"/>
      <c r="AJ439" s="199"/>
      <c r="AK439" s="199"/>
      <c r="AL439" s="199"/>
    </row>
    <row r="440" spans="2:38">
      <c r="B440" s="204"/>
      <c r="C440" s="205"/>
      <c r="D440" s="206"/>
      <c r="E440" s="209"/>
      <c r="F440" s="162"/>
      <c r="G440" s="162"/>
      <c r="H440" s="162"/>
      <c r="I440" s="162"/>
      <c r="J440" s="162"/>
      <c r="K440" s="162"/>
      <c r="L440" s="162"/>
      <c r="M440" s="163"/>
      <c r="N440" s="163"/>
      <c r="O440" s="163"/>
      <c r="P440" s="163"/>
      <c r="Q440" s="163"/>
      <c r="R440" s="163"/>
      <c r="S440" s="165"/>
      <c r="T440" s="165"/>
      <c r="U440" s="165"/>
      <c r="V440" s="165"/>
      <c r="W440" s="162"/>
      <c r="X440" s="164"/>
      <c r="Y440" s="162"/>
      <c r="Z440" s="199"/>
      <c r="AA440" s="199"/>
      <c r="AB440" s="199"/>
      <c r="AC440" s="199"/>
      <c r="AD440" s="199"/>
      <c r="AE440" s="199"/>
      <c r="AF440" s="199"/>
      <c r="AG440" s="199"/>
      <c r="AH440" s="199"/>
      <c r="AI440" s="199"/>
      <c r="AJ440" s="199"/>
      <c r="AK440" s="199"/>
      <c r="AL440" s="199"/>
    </row>
    <row r="441" spans="2:38">
      <c r="B441" s="204"/>
      <c r="C441" s="205"/>
      <c r="D441" s="206"/>
      <c r="E441" s="209"/>
      <c r="F441" s="162"/>
      <c r="G441" s="162"/>
      <c r="H441" s="162"/>
      <c r="I441" s="162"/>
      <c r="J441" s="162"/>
      <c r="K441" s="162"/>
      <c r="L441" s="162"/>
      <c r="M441" s="163"/>
      <c r="N441" s="163"/>
      <c r="O441" s="163"/>
      <c r="P441" s="163"/>
      <c r="Q441" s="163"/>
      <c r="R441" s="163"/>
      <c r="S441" s="165"/>
      <c r="T441" s="165"/>
      <c r="U441" s="165"/>
      <c r="V441" s="165"/>
      <c r="W441" s="162"/>
      <c r="X441" s="164"/>
      <c r="Y441" s="162"/>
      <c r="Z441" s="199"/>
      <c r="AA441" s="199"/>
      <c r="AB441" s="199"/>
      <c r="AC441" s="199"/>
      <c r="AD441" s="199"/>
      <c r="AE441" s="199"/>
      <c r="AF441" s="199"/>
      <c r="AG441" s="199"/>
      <c r="AH441" s="199"/>
      <c r="AI441" s="199"/>
      <c r="AJ441" s="199"/>
      <c r="AK441" s="199"/>
      <c r="AL441" s="199"/>
    </row>
    <row r="442" spans="2:38">
      <c r="B442" s="204"/>
      <c r="C442" s="205"/>
      <c r="D442" s="206"/>
      <c r="E442" s="209"/>
      <c r="F442" s="162"/>
      <c r="G442" s="162"/>
      <c r="H442" s="162"/>
      <c r="I442" s="162"/>
      <c r="J442" s="162"/>
      <c r="K442" s="162"/>
      <c r="L442" s="162"/>
      <c r="M442" s="163"/>
      <c r="N442" s="163"/>
      <c r="O442" s="163"/>
      <c r="P442" s="163"/>
      <c r="Q442" s="163"/>
      <c r="R442" s="163"/>
      <c r="S442" s="165"/>
      <c r="T442" s="165"/>
      <c r="U442" s="165"/>
      <c r="V442" s="165"/>
      <c r="W442" s="162"/>
      <c r="X442" s="165"/>
      <c r="Y442" s="162"/>
      <c r="Z442" s="199"/>
      <c r="AA442" s="199"/>
      <c r="AB442" s="199"/>
      <c r="AC442" s="199"/>
      <c r="AD442" s="199"/>
      <c r="AE442" s="199"/>
      <c r="AF442" s="199"/>
      <c r="AG442" s="199"/>
      <c r="AH442" s="199"/>
      <c r="AI442" s="199"/>
      <c r="AJ442" s="199"/>
      <c r="AK442" s="199"/>
      <c r="AL442" s="199"/>
    </row>
    <row r="443" spans="2:38">
      <c r="B443" s="204"/>
      <c r="C443" s="205"/>
      <c r="D443" s="206"/>
      <c r="E443" s="209"/>
      <c r="F443" s="162"/>
      <c r="G443" s="162"/>
      <c r="H443" s="162"/>
      <c r="I443" s="162"/>
      <c r="J443" s="162"/>
      <c r="K443" s="162"/>
      <c r="L443" s="162"/>
      <c r="M443" s="163"/>
      <c r="N443" s="163"/>
      <c r="O443" s="163"/>
      <c r="P443" s="163"/>
      <c r="Q443" s="163"/>
      <c r="R443" s="163"/>
      <c r="S443" s="165"/>
      <c r="T443" s="165"/>
      <c r="U443" s="165"/>
      <c r="V443" s="165"/>
      <c r="W443" s="162"/>
      <c r="X443" s="165"/>
      <c r="Y443" s="162"/>
      <c r="Z443" s="199"/>
      <c r="AA443" s="199"/>
      <c r="AB443" s="199"/>
      <c r="AC443" s="199"/>
      <c r="AD443" s="199"/>
      <c r="AE443" s="199"/>
      <c r="AF443" s="199"/>
      <c r="AG443" s="199"/>
      <c r="AH443" s="199"/>
      <c r="AI443" s="199"/>
      <c r="AJ443" s="199"/>
      <c r="AK443" s="199"/>
      <c r="AL443" s="199"/>
    </row>
    <row r="444" spans="2:38">
      <c r="B444" s="204"/>
      <c r="C444" s="205"/>
      <c r="D444" s="206"/>
      <c r="E444" s="209"/>
      <c r="F444" s="162"/>
      <c r="G444" s="162"/>
      <c r="H444" s="162"/>
      <c r="I444" s="162"/>
      <c r="J444" s="162"/>
      <c r="K444" s="162"/>
      <c r="L444" s="162"/>
      <c r="M444" s="163"/>
      <c r="N444" s="163"/>
      <c r="O444" s="163"/>
      <c r="P444" s="163"/>
      <c r="Q444" s="163"/>
      <c r="R444" s="163"/>
      <c r="S444" s="165"/>
      <c r="T444" s="165"/>
      <c r="U444" s="165"/>
      <c r="V444" s="165"/>
      <c r="W444" s="162"/>
      <c r="X444" s="164"/>
      <c r="Y444" s="162"/>
      <c r="Z444" s="199"/>
      <c r="AA444" s="199"/>
      <c r="AB444" s="199"/>
      <c r="AC444" s="199"/>
      <c r="AD444" s="199"/>
      <c r="AE444" s="199"/>
      <c r="AF444" s="199"/>
      <c r="AG444" s="199"/>
      <c r="AH444" s="199"/>
      <c r="AI444" s="199"/>
      <c r="AJ444" s="199"/>
      <c r="AK444" s="199"/>
      <c r="AL444" s="199"/>
    </row>
    <row r="445" spans="2:38">
      <c r="B445" s="204"/>
      <c r="C445" s="205"/>
      <c r="D445" s="206"/>
      <c r="E445" s="209"/>
      <c r="F445" s="162"/>
      <c r="G445" s="162"/>
      <c r="H445" s="162"/>
      <c r="I445" s="162"/>
      <c r="J445" s="162"/>
      <c r="K445" s="162"/>
      <c r="L445" s="162"/>
      <c r="M445" s="163"/>
      <c r="N445" s="163"/>
      <c r="O445" s="163"/>
      <c r="P445" s="163"/>
      <c r="Q445" s="163"/>
      <c r="R445" s="163"/>
      <c r="S445" s="165"/>
      <c r="T445" s="165"/>
      <c r="U445" s="165"/>
      <c r="V445" s="165"/>
      <c r="W445" s="162"/>
      <c r="X445" s="164"/>
      <c r="Y445" s="162"/>
      <c r="Z445" s="199"/>
      <c r="AA445" s="199"/>
      <c r="AB445" s="199"/>
      <c r="AC445" s="199"/>
      <c r="AD445" s="199"/>
      <c r="AE445" s="199"/>
      <c r="AF445" s="199"/>
      <c r="AG445" s="199"/>
      <c r="AH445" s="199"/>
      <c r="AI445" s="199"/>
      <c r="AJ445" s="199"/>
      <c r="AK445" s="199"/>
      <c r="AL445" s="199"/>
    </row>
    <row r="446" spans="2:38">
      <c r="B446" s="204"/>
      <c r="C446" s="205"/>
      <c r="D446" s="206"/>
      <c r="E446" s="209"/>
      <c r="F446" s="162"/>
      <c r="G446" s="162"/>
      <c r="H446" s="162"/>
      <c r="I446" s="162"/>
      <c r="J446" s="162"/>
      <c r="K446" s="162"/>
      <c r="L446" s="162"/>
      <c r="M446" s="163"/>
      <c r="N446" s="163"/>
      <c r="O446" s="163"/>
      <c r="P446" s="163"/>
      <c r="Q446" s="163"/>
      <c r="R446" s="163"/>
      <c r="S446" s="165"/>
      <c r="T446" s="165"/>
      <c r="U446" s="165"/>
      <c r="V446" s="165"/>
      <c r="W446" s="162"/>
      <c r="X446" s="164"/>
      <c r="Y446" s="162"/>
      <c r="Z446" s="199"/>
      <c r="AA446" s="199"/>
      <c r="AB446" s="199"/>
      <c r="AC446" s="199"/>
      <c r="AD446" s="199"/>
      <c r="AE446" s="199"/>
      <c r="AF446" s="199"/>
      <c r="AG446" s="199"/>
      <c r="AH446" s="199"/>
      <c r="AI446" s="199"/>
      <c r="AJ446" s="199"/>
      <c r="AK446" s="199"/>
      <c r="AL446" s="199"/>
    </row>
    <row r="447" spans="2:38">
      <c r="B447" s="204"/>
      <c r="C447" s="205"/>
      <c r="D447" s="206"/>
      <c r="E447" s="209"/>
      <c r="F447" s="162"/>
      <c r="G447" s="162"/>
      <c r="H447" s="162"/>
      <c r="I447" s="162"/>
      <c r="J447" s="162"/>
      <c r="K447" s="162"/>
      <c r="L447" s="162"/>
      <c r="M447" s="163"/>
      <c r="N447" s="163"/>
      <c r="O447" s="163"/>
      <c r="P447" s="163"/>
      <c r="Q447" s="163"/>
      <c r="R447" s="163"/>
      <c r="S447" s="165"/>
      <c r="T447" s="165"/>
      <c r="U447" s="165"/>
      <c r="V447" s="165"/>
      <c r="W447" s="162"/>
      <c r="X447" s="164"/>
      <c r="Y447" s="162"/>
      <c r="Z447" s="199"/>
      <c r="AA447" s="199"/>
      <c r="AB447" s="199"/>
      <c r="AC447" s="199"/>
      <c r="AD447" s="199"/>
      <c r="AE447" s="199"/>
      <c r="AF447" s="199"/>
      <c r="AG447" s="199"/>
      <c r="AH447" s="199"/>
      <c r="AI447" s="199"/>
      <c r="AJ447" s="199"/>
      <c r="AK447" s="199"/>
      <c r="AL447" s="199"/>
    </row>
    <row r="448" spans="2:38">
      <c r="B448" s="204"/>
      <c r="C448" s="205"/>
      <c r="D448" s="206"/>
      <c r="E448" s="209"/>
      <c r="F448" s="162"/>
      <c r="G448" s="162"/>
      <c r="H448" s="162"/>
      <c r="I448" s="162"/>
      <c r="J448" s="162"/>
      <c r="K448" s="162"/>
      <c r="L448" s="162"/>
      <c r="M448" s="163"/>
      <c r="N448" s="163"/>
      <c r="O448" s="163"/>
      <c r="P448" s="163"/>
      <c r="Q448" s="163"/>
      <c r="R448" s="163"/>
      <c r="S448" s="165"/>
      <c r="T448" s="165"/>
      <c r="U448" s="165"/>
      <c r="V448" s="165"/>
      <c r="W448" s="162"/>
      <c r="X448" s="164"/>
      <c r="Y448" s="162"/>
      <c r="Z448" s="199"/>
      <c r="AA448" s="199"/>
      <c r="AB448" s="199"/>
      <c r="AC448" s="199"/>
      <c r="AD448" s="199"/>
      <c r="AE448" s="199"/>
      <c r="AF448" s="199"/>
      <c r="AG448" s="199"/>
      <c r="AH448" s="199"/>
      <c r="AI448" s="199"/>
      <c r="AJ448" s="199"/>
      <c r="AK448" s="199"/>
      <c r="AL448" s="199"/>
    </row>
    <row r="449" ht="17.6" spans="2:38">
      <c r="B449" s="204"/>
      <c r="C449" s="205"/>
      <c r="D449" s="206"/>
      <c r="E449" s="209"/>
      <c r="F449" s="210"/>
      <c r="G449" s="210"/>
      <c r="H449" s="211"/>
      <c r="I449" s="162"/>
      <c r="J449" s="162"/>
      <c r="K449" s="162"/>
      <c r="L449" s="162"/>
      <c r="M449" s="163"/>
      <c r="N449" s="163"/>
      <c r="O449" s="163"/>
      <c r="P449" s="163"/>
      <c r="Q449" s="163"/>
      <c r="R449" s="163"/>
      <c r="S449" s="164"/>
      <c r="T449" s="165"/>
      <c r="U449" s="165"/>
      <c r="V449" s="165"/>
      <c r="W449" s="162"/>
      <c r="X449" s="164"/>
      <c r="Y449" s="162"/>
      <c r="Z449" s="199"/>
      <c r="AA449" s="199"/>
      <c r="AB449" s="199"/>
      <c r="AC449" s="199"/>
      <c r="AD449" s="199"/>
      <c r="AE449" s="199"/>
      <c r="AF449" s="199"/>
      <c r="AG449" s="199"/>
      <c r="AH449" s="199"/>
      <c r="AI449" s="199"/>
      <c r="AJ449" s="199"/>
      <c r="AK449" s="199"/>
      <c r="AL449" s="199"/>
    </row>
    <row r="450" spans="2:38">
      <c r="B450" s="204"/>
      <c r="C450" s="205"/>
      <c r="D450" s="206"/>
      <c r="E450" s="209"/>
      <c r="F450" s="162"/>
      <c r="G450" s="162"/>
      <c r="H450" s="162"/>
      <c r="I450" s="162"/>
      <c r="J450" s="162"/>
      <c r="K450" s="162"/>
      <c r="L450" s="162"/>
      <c r="M450" s="163"/>
      <c r="N450" s="163"/>
      <c r="O450" s="163"/>
      <c r="P450" s="163"/>
      <c r="Q450" s="163"/>
      <c r="R450" s="163"/>
      <c r="S450" s="165"/>
      <c r="T450" s="165"/>
      <c r="U450" s="165"/>
      <c r="V450" s="165"/>
      <c r="W450" s="162"/>
      <c r="X450" s="164"/>
      <c r="Y450" s="162"/>
      <c r="Z450" s="199"/>
      <c r="AA450" s="199"/>
      <c r="AB450" s="199"/>
      <c r="AC450" s="199"/>
      <c r="AD450" s="199"/>
      <c r="AE450" s="199"/>
      <c r="AF450" s="199"/>
      <c r="AG450" s="199"/>
      <c r="AH450" s="199"/>
      <c r="AI450" s="199"/>
      <c r="AJ450" s="199"/>
      <c r="AK450" s="199"/>
      <c r="AL450" s="199"/>
    </row>
    <row r="451" spans="2:38">
      <c r="B451" s="204"/>
      <c r="C451" s="205"/>
      <c r="D451" s="206"/>
      <c r="E451" s="209"/>
      <c r="F451" s="162"/>
      <c r="G451" s="162"/>
      <c r="H451" s="162"/>
      <c r="I451" s="162"/>
      <c r="J451" s="162"/>
      <c r="K451" s="162"/>
      <c r="L451" s="162"/>
      <c r="M451" s="163"/>
      <c r="N451" s="163"/>
      <c r="O451" s="163"/>
      <c r="P451" s="163"/>
      <c r="Q451" s="163"/>
      <c r="R451" s="163"/>
      <c r="S451" s="165"/>
      <c r="T451" s="165"/>
      <c r="U451" s="165"/>
      <c r="V451" s="165"/>
      <c r="W451" s="162"/>
      <c r="X451" s="164"/>
      <c r="Y451" s="162"/>
      <c r="Z451" s="199"/>
      <c r="AA451" s="199"/>
      <c r="AB451" s="199"/>
      <c r="AC451" s="199"/>
      <c r="AD451" s="199"/>
      <c r="AE451" s="199"/>
      <c r="AF451" s="199"/>
      <c r="AG451" s="199"/>
      <c r="AH451" s="199"/>
      <c r="AI451" s="199"/>
      <c r="AJ451" s="199"/>
      <c r="AK451" s="199"/>
      <c r="AL451" s="199"/>
    </row>
    <row r="452" spans="2:38">
      <c r="B452" s="204"/>
      <c r="C452" s="205"/>
      <c r="D452" s="206"/>
      <c r="E452" s="209"/>
      <c r="F452" s="162"/>
      <c r="G452" s="162"/>
      <c r="H452" s="162"/>
      <c r="I452" s="162"/>
      <c r="J452" s="162"/>
      <c r="K452" s="162"/>
      <c r="L452" s="162"/>
      <c r="M452" s="163"/>
      <c r="N452" s="163"/>
      <c r="O452" s="163"/>
      <c r="P452" s="163"/>
      <c r="Q452" s="163"/>
      <c r="R452" s="163"/>
      <c r="S452" s="165"/>
      <c r="T452" s="165"/>
      <c r="U452" s="165"/>
      <c r="V452" s="165"/>
      <c r="W452" s="162"/>
      <c r="X452" s="164"/>
      <c r="Y452" s="162"/>
      <c r="Z452" s="199"/>
      <c r="AA452" s="199"/>
      <c r="AB452" s="199"/>
      <c r="AC452" s="199"/>
      <c r="AD452" s="199"/>
      <c r="AE452" s="199"/>
      <c r="AF452" s="199"/>
      <c r="AG452" s="199"/>
      <c r="AH452" s="199"/>
      <c r="AI452" s="199"/>
      <c r="AJ452" s="199"/>
      <c r="AK452" s="199"/>
      <c r="AL452" s="199"/>
    </row>
    <row r="453" spans="2:38">
      <c r="B453" s="204"/>
      <c r="C453" s="205"/>
      <c r="D453" s="206"/>
      <c r="E453" s="209"/>
      <c r="F453" s="162"/>
      <c r="G453" s="162"/>
      <c r="H453" s="162"/>
      <c r="I453" s="162"/>
      <c r="J453" s="162"/>
      <c r="K453" s="162"/>
      <c r="L453" s="162"/>
      <c r="M453" s="163"/>
      <c r="N453" s="163"/>
      <c r="O453" s="163"/>
      <c r="P453" s="163"/>
      <c r="Q453" s="163"/>
      <c r="R453" s="163"/>
      <c r="S453" s="165"/>
      <c r="T453" s="165"/>
      <c r="U453" s="165"/>
      <c r="V453" s="165"/>
      <c r="W453" s="162"/>
      <c r="X453" s="164"/>
      <c r="Y453" s="162"/>
      <c r="Z453" s="199"/>
      <c r="AA453" s="199"/>
      <c r="AB453" s="199"/>
      <c r="AC453" s="199"/>
      <c r="AD453" s="199"/>
      <c r="AE453" s="199"/>
      <c r="AF453" s="199"/>
      <c r="AG453" s="199"/>
      <c r="AH453" s="199"/>
      <c r="AI453" s="199"/>
      <c r="AJ453" s="199"/>
      <c r="AK453" s="199"/>
      <c r="AL453" s="199"/>
    </row>
    <row r="454" spans="2:38">
      <c r="B454" s="204"/>
      <c r="C454" s="205"/>
      <c r="D454" s="206"/>
      <c r="E454" s="209"/>
      <c r="F454" s="162"/>
      <c r="G454" s="162"/>
      <c r="H454" s="162"/>
      <c r="I454" s="162"/>
      <c r="J454" s="162"/>
      <c r="K454" s="162"/>
      <c r="L454" s="162"/>
      <c r="M454" s="163"/>
      <c r="N454" s="163"/>
      <c r="O454" s="163"/>
      <c r="P454" s="163"/>
      <c r="Q454" s="163"/>
      <c r="R454" s="163"/>
      <c r="S454" s="164"/>
      <c r="T454" s="165"/>
      <c r="U454" s="165"/>
      <c r="V454" s="165"/>
      <c r="W454" s="162"/>
      <c r="X454" s="164"/>
      <c r="Y454" s="162"/>
      <c r="Z454" s="199"/>
      <c r="AA454" s="199"/>
      <c r="AB454" s="199"/>
      <c r="AC454" s="199"/>
      <c r="AD454" s="199"/>
      <c r="AE454" s="199"/>
      <c r="AF454" s="199"/>
      <c r="AG454" s="199"/>
      <c r="AH454" s="199"/>
      <c r="AI454" s="199"/>
      <c r="AJ454" s="199"/>
      <c r="AK454" s="199"/>
      <c r="AL454" s="199"/>
    </row>
    <row r="455" spans="2:38">
      <c r="B455" s="204"/>
      <c r="C455" s="205"/>
      <c r="D455" s="206"/>
      <c r="E455" s="209"/>
      <c r="F455" s="162"/>
      <c r="G455" s="162"/>
      <c r="H455" s="162"/>
      <c r="I455" s="162"/>
      <c r="J455" s="162"/>
      <c r="K455" s="162"/>
      <c r="L455" s="162"/>
      <c r="M455" s="163"/>
      <c r="N455" s="163"/>
      <c r="O455" s="163"/>
      <c r="P455" s="163"/>
      <c r="Q455" s="163"/>
      <c r="R455" s="163"/>
      <c r="S455" s="165"/>
      <c r="T455" s="165"/>
      <c r="U455" s="165"/>
      <c r="V455" s="165"/>
      <c r="W455" s="162"/>
      <c r="X455" s="164"/>
      <c r="Y455" s="162"/>
      <c r="Z455" s="199"/>
      <c r="AA455" s="199"/>
      <c r="AB455" s="199"/>
      <c r="AC455" s="199"/>
      <c r="AD455" s="199"/>
      <c r="AE455" s="199"/>
      <c r="AF455" s="199"/>
      <c r="AG455" s="199"/>
      <c r="AH455" s="199"/>
      <c r="AI455" s="199"/>
      <c r="AJ455" s="199"/>
      <c r="AK455" s="199"/>
      <c r="AL455" s="199"/>
    </row>
    <row r="456" spans="2:38">
      <c r="B456" s="204"/>
      <c r="C456" s="205"/>
      <c r="D456" s="206"/>
      <c r="E456" s="209"/>
      <c r="F456" s="162"/>
      <c r="G456" s="162"/>
      <c r="H456" s="162"/>
      <c r="I456" s="162"/>
      <c r="J456" s="162"/>
      <c r="K456" s="162"/>
      <c r="L456" s="162"/>
      <c r="M456" s="163"/>
      <c r="N456" s="163"/>
      <c r="O456" s="163"/>
      <c r="P456" s="163"/>
      <c r="Q456" s="163"/>
      <c r="R456" s="163"/>
      <c r="S456" s="165"/>
      <c r="T456" s="165"/>
      <c r="U456" s="165"/>
      <c r="V456" s="165"/>
      <c r="W456" s="162"/>
      <c r="X456" s="164"/>
      <c r="Y456" s="162"/>
      <c r="Z456" s="199"/>
      <c r="AA456" s="199"/>
      <c r="AB456" s="199"/>
      <c r="AC456" s="199"/>
      <c r="AD456" s="199"/>
      <c r="AE456" s="199"/>
      <c r="AF456" s="199"/>
      <c r="AG456" s="199"/>
      <c r="AH456" s="199"/>
      <c r="AI456" s="199"/>
      <c r="AJ456" s="199"/>
      <c r="AK456" s="199"/>
      <c r="AL456" s="199"/>
    </row>
    <row r="457" spans="2:38">
      <c r="B457" s="204"/>
      <c r="C457" s="205"/>
      <c r="D457" s="206"/>
      <c r="E457" s="209"/>
      <c r="F457" s="162"/>
      <c r="G457" s="162"/>
      <c r="H457" s="162"/>
      <c r="I457" s="162"/>
      <c r="J457" s="162"/>
      <c r="K457" s="162"/>
      <c r="L457" s="162"/>
      <c r="M457" s="163"/>
      <c r="N457" s="163"/>
      <c r="O457" s="163"/>
      <c r="P457" s="163"/>
      <c r="Q457" s="163"/>
      <c r="R457" s="163"/>
      <c r="S457" s="165"/>
      <c r="T457" s="165"/>
      <c r="U457" s="165"/>
      <c r="V457" s="165"/>
      <c r="W457" s="162"/>
      <c r="X457" s="164"/>
      <c r="Y457" s="162"/>
      <c r="Z457" s="199"/>
      <c r="AA457" s="199"/>
      <c r="AB457" s="199"/>
      <c r="AC457" s="199"/>
      <c r="AD457" s="199"/>
      <c r="AE457" s="199"/>
      <c r="AF457" s="199"/>
      <c r="AG457" s="199"/>
      <c r="AH457" s="199"/>
      <c r="AI457" s="199"/>
      <c r="AJ457" s="199"/>
      <c r="AK457" s="199"/>
      <c r="AL457" s="199"/>
    </row>
    <row r="458" spans="2:38">
      <c r="B458" s="204"/>
      <c r="C458" s="212"/>
      <c r="D458" s="206"/>
      <c r="E458" s="213"/>
      <c r="F458" s="214"/>
      <c r="G458" s="214"/>
      <c r="H458" s="214"/>
      <c r="I458" s="214"/>
      <c r="J458" s="214"/>
      <c r="K458" s="214"/>
      <c r="L458" s="214"/>
      <c r="M458" s="163"/>
      <c r="N458" s="163"/>
      <c r="O458" s="163"/>
      <c r="P458" s="163"/>
      <c r="Q458" s="163"/>
      <c r="R458" s="163"/>
      <c r="S458" s="165"/>
      <c r="T458" s="165"/>
      <c r="U458" s="165"/>
      <c r="V458" s="165"/>
      <c r="W458" s="214"/>
      <c r="X458" s="165"/>
      <c r="Y458" s="214"/>
      <c r="Z458" s="199"/>
      <c r="AA458" s="199"/>
      <c r="AB458" s="199"/>
      <c r="AC458" s="199"/>
      <c r="AD458" s="199"/>
      <c r="AE458" s="199"/>
      <c r="AF458" s="199"/>
      <c r="AG458" s="199"/>
      <c r="AH458" s="199"/>
      <c r="AI458" s="199"/>
      <c r="AJ458" s="199"/>
      <c r="AK458" s="199"/>
      <c r="AL458" s="199"/>
    </row>
    <row r="459" spans="2:38">
      <c r="B459" s="204"/>
      <c r="C459" s="212"/>
      <c r="D459" s="206"/>
      <c r="E459" s="213"/>
      <c r="F459" s="214"/>
      <c r="G459" s="214"/>
      <c r="H459" s="214"/>
      <c r="I459" s="214"/>
      <c r="J459" s="214"/>
      <c r="K459" s="214"/>
      <c r="L459" s="214"/>
      <c r="M459" s="163"/>
      <c r="N459" s="163"/>
      <c r="O459" s="163"/>
      <c r="P459" s="163"/>
      <c r="Q459" s="163"/>
      <c r="R459" s="163"/>
      <c r="S459" s="165"/>
      <c r="T459" s="165"/>
      <c r="U459" s="165"/>
      <c r="V459" s="165"/>
      <c r="W459" s="214"/>
      <c r="X459" s="164"/>
      <c r="Y459" s="214"/>
      <c r="Z459" s="199"/>
      <c r="AA459" s="199"/>
      <c r="AB459" s="199"/>
      <c r="AC459" s="199"/>
      <c r="AD459" s="199"/>
      <c r="AE459" s="199"/>
      <c r="AF459" s="199"/>
      <c r="AG459" s="199"/>
      <c r="AH459" s="199"/>
      <c r="AI459" s="199"/>
      <c r="AJ459" s="199"/>
      <c r="AK459" s="199"/>
      <c r="AL459" s="199"/>
    </row>
    <row r="460" spans="2:38">
      <c r="B460" s="204"/>
      <c r="C460" s="212"/>
      <c r="D460" s="206"/>
      <c r="E460" s="213"/>
      <c r="F460" s="214"/>
      <c r="G460" s="214"/>
      <c r="H460" s="214"/>
      <c r="I460" s="214"/>
      <c r="J460" s="214"/>
      <c r="K460" s="214"/>
      <c r="L460" s="214"/>
      <c r="M460" s="163"/>
      <c r="N460" s="163"/>
      <c r="O460" s="163"/>
      <c r="P460" s="163"/>
      <c r="Q460" s="163"/>
      <c r="R460" s="163"/>
      <c r="S460" s="165"/>
      <c r="T460" s="165"/>
      <c r="U460" s="165"/>
      <c r="V460" s="165"/>
      <c r="W460" s="214"/>
      <c r="X460" s="164"/>
      <c r="Y460" s="214"/>
      <c r="Z460" s="199"/>
      <c r="AA460" s="199"/>
      <c r="AB460" s="199"/>
      <c r="AC460" s="199"/>
      <c r="AD460" s="199"/>
      <c r="AE460" s="199"/>
      <c r="AF460" s="199"/>
      <c r="AG460" s="199"/>
      <c r="AH460" s="199"/>
      <c r="AI460" s="199"/>
      <c r="AJ460" s="199"/>
      <c r="AK460" s="199"/>
      <c r="AL460" s="199"/>
    </row>
    <row r="461" spans="2:38">
      <c r="B461" s="204"/>
      <c r="C461" s="212"/>
      <c r="D461" s="206"/>
      <c r="E461" s="213"/>
      <c r="F461" s="214"/>
      <c r="G461" s="214"/>
      <c r="H461" s="214"/>
      <c r="I461" s="214"/>
      <c r="J461" s="214"/>
      <c r="K461" s="214"/>
      <c r="L461" s="214"/>
      <c r="M461" s="163"/>
      <c r="N461" s="163"/>
      <c r="O461" s="163"/>
      <c r="P461" s="163"/>
      <c r="Q461" s="163"/>
      <c r="R461" s="163"/>
      <c r="S461" s="165"/>
      <c r="T461" s="165"/>
      <c r="U461" s="165"/>
      <c r="V461" s="165"/>
      <c r="W461" s="214"/>
      <c r="X461" s="164"/>
      <c r="Y461" s="214"/>
      <c r="Z461" s="199"/>
      <c r="AA461" s="199"/>
      <c r="AB461" s="199"/>
      <c r="AC461" s="199"/>
      <c r="AD461" s="199"/>
      <c r="AE461" s="199"/>
      <c r="AF461" s="199"/>
      <c r="AG461" s="199"/>
      <c r="AH461" s="199"/>
      <c r="AI461" s="199"/>
      <c r="AJ461" s="199"/>
      <c r="AK461" s="199"/>
      <c r="AL461" s="199"/>
    </row>
    <row r="462" spans="2:38">
      <c r="B462" s="204"/>
      <c r="C462" s="205"/>
      <c r="D462" s="206"/>
      <c r="E462" s="209"/>
      <c r="F462" s="162"/>
      <c r="G462" s="162"/>
      <c r="H462" s="162"/>
      <c r="I462" s="162"/>
      <c r="J462" s="162"/>
      <c r="K462" s="162"/>
      <c r="L462" s="162"/>
      <c r="M462" s="163"/>
      <c r="N462" s="163"/>
      <c r="O462" s="163"/>
      <c r="P462" s="163"/>
      <c r="Q462" s="163"/>
      <c r="R462" s="163"/>
      <c r="S462" s="165"/>
      <c r="T462" s="165"/>
      <c r="U462" s="165"/>
      <c r="V462" s="165"/>
      <c r="W462" s="162"/>
      <c r="X462" s="164"/>
      <c r="Y462" s="162"/>
      <c r="Z462" s="199"/>
      <c r="AA462" s="199"/>
      <c r="AB462" s="199"/>
      <c r="AC462" s="199"/>
      <c r="AD462" s="199"/>
      <c r="AE462" s="199"/>
      <c r="AF462" s="199"/>
      <c r="AG462" s="199"/>
      <c r="AH462" s="199"/>
      <c r="AI462" s="199"/>
      <c r="AJ462" s="199"/>
      <c r="AK462" s="199"/>
      <c r="AL462" s="199"/>
    </row>
    <row r="463" spans="2:38">
      <c r="B463" s="204"/>
      <c r="C463" s="212"/>
      <c r="D463" s="206"/>
      <c r="E463" s="213"/>
      <c r="F463" s="214"/>
      <c r="G463" s="214"/>
      <c r="H463" s="214"/>
      <c r="I463" s="214"/>
      <c r="J463" s="214"/>
      <c r="K463" s="214"/>
      <c r="L463" s="214"/>
      <c r="M463" s="163"/>
      <c r="N463" s="163"/>
      <c r="O463" s="163"/>
      <c r="P463" s="163"/>
      <c r="Q463" s="163"/>
      <c r="R463" s="163"/>
      <c r="S463" s="165"/>
      <c r="T463" s="165"/>
      <c r="U463" s="165"/>
      <c r="V463" s="165"/>
      <c r="W463" s="214"/>
      <c r="X463" s="164"/>
      <c r="Y463" s="214"/>
      <c r="Z463" s="199"/>
      <c r="AA463" s="199"/>
      <c r="AB463" s="199"/>
      <c r="AC463" s="199"/>
      <c r="AD463" s="199"/>
      <c r="AE463" s="199"/>
      <c r="AF463" s="199"/>
      <c r="AG463" s="199"/>
      <c r="AH463" s="199"/>
      <c r="AI463" s="199"/>
      <c r="AJ463" s="199"/>
      <c r="AK463" s="199"/>
      <c r="AL463" s="199"/>
    </row>
    <row r="464" spans="2:38">
      <c r="B464" s="204"/>
      <c r="C464" s="212"/>
      <c r="D464" s="206"/>
      <c r="E464" s="213"/>
      <c r="F464" s="214"/>
      <c r="G464" s="214"/>
      <c r="H464" s="214"/>
      <c r="I464" s="214"/>
      <c r="J464" s="214"/>
      <c r="K464" s="214"/>
      <c r="L464" s="214"/>
      <c r="M464" s="163"/>
      <c r="N464" s="163"/>
      <c r="O464" s="163"/>
      <c r="P464" s="163"/>
      <c r="Q464" s="163"/>
      <c r="R464" s="163"/>
      <c r="S464" s="165"/>
      <c r="T464" s="165"/>
      <c r="U464" s="165"/>
      <c r="V464" s="165"/>
      <c r="W464" s="214"/>
      <c r="X464" s="164"/>
      <c r="Y464" s="214"/>
      <c r="Z464" s="199"/>
      <c r="AA464" s="199"/>
      <c r="AB464" s="199"/>
      <c r="AC464" s="199"/>
      <c r="AD464" s="199"/>
      <c r="AE464" s="199"/>
      <c r="AF464" s="199"/>
      <c r="AG464" s="199"/>
      <c r="AH464" s="199"/>
      <c r="AI464" s="199"/>
      <c r="AJ464" s="199"/>
      <c r="AK464" s="199"/>
      <c r="AL464" s="199"/>
    </row>
    <row r="465" spans="2:38">
      <c r="B465" s="204"/>
      <c r="C465" s="212"/>
      <c r="D465" s="206"/>
      <c r="E465" s="213"/>
      <c r="F465" s="214"/>
      <c r="G465" s="214"/>
      <c r="H465" s="214"/>
      <c r="I465" s="214"/>
      <c r="J465" s="214"/>
      <c r="K465" s="214"/>
      <c r="L465" s="214"/>
      <c r="M465" s="163"/>
      <c r="N465" s="163"/>
      <c r="O465" s="163"/>
      <c r="P465" s="163"/>
      <c r="Q465" s="163"/>
      <c r="R465" s="163"/>
      <c r="S465" s="164"/>
      <c r="T465" s="165"/>
      <c r="U465" s="165"/>
      <c r="V465" s="165"/>
      <c r="W465" s="214"/>
      <c r="X465" s="164"/>
      <c r="Y465" s="214"/>
      <c r="Z465" s="199"/>
      <c r="AA465" s="199"/>
      <c r="AB465" s="199"/>
      <c r="AC465" s="199"/>
      <c r="AD465" s="199"/>
      <c r="AE465" s="199"/>
      <c r="AF465" s="199"/>
      <c r="AG465" s="199"/>
      <c r="AH465" s="199"/>
      <c r="AI465" s="199"/>
      <c r="AJ465" s="199"/>
      <c r="AK465" s="199"/>
      <c r="AL465" s="199"/>
    </row>
    <row r="466" spans="2:38">
      <c r="B466" s="204"/>
      <c r="C466" s="205"/>
      <c r="D466" s="206"/>
      <c r="E466" s="209"/>
      <c r="F466" s="162"/>
      <c r="G466" s="162"/>
      <c r="H466" s="162"/>
      <c r="I466" s="162"/>
      <c r="J466" s="162"/>
      <c r="K466" s="162"/>
      <c r="L466" s="162"/>
      <c r="M466" s="163"/>
      <c r="N466" s="163"/>
      <c r="O466" s="163"/>
      <c r="P466" s="163"/>
      <c r="Q466" s="163"/>
      <c r="R466" s="163"/>
      <c r="S466" s="165"/>
      <c r="T466" s="165"/>
      <c r="U466" s="165"/>
      <c r="V466" s="165"/>
      <c r="W466" s="162"/>
      <c r="X466" s="164"/>
      <c r="Y466" s="162"/>
      <c r="Z466" s="199"/>
      <c r="AA466" s="199"/>
      <c r="AB466" s="199"/>
      <c r="AC466" s="199"/>
      <c r="AD466" s="199"/>
      <c r="AE466" s="199"/>
      <c r="AF466" s="199"/>
      <c r="AG466" s="199"/>
      <c r="AH466" s="199"/>
      <c r="AI466" s="199"/>
      <c r="AJ466" s="199"/>
      <c r="AK466" s="199"/>
      <c r="AL466" s="199"/>
    </row>
    <row r="467" spans="2:38">
      <c r="B467" s="204"/>
      <c r="C467" s="212"/>
      <c r="D467" s="206"/>
      <c r="E467" s="213"/>
      <c r="F467" s="214"/>
      <c r="G467" s="214"/>
      <c r="H467" s="214"/>
      <c r="I467" s="214"/>
      <c r="J467" s="214"/>
      <c r="K467" s="214"/>
      <c r="L467" s="214"/>
      <c r="M467" s="163"/>
      <c r="N467" s="163"/>
      <c r="O467" s="163"/>
      <c r="P467" s="163"/>
      <c r="Q467" s="163"/>
      <c r="R467" s="163"/>
      <c r="S467" s="165"/>
      <c r="T467" s="165"/>
      <c r="U467" s="165"/>
      <c r="V467" s="165"/>
      <c r="W467" s="214"/>
      <c r="X467" s="164"/>
      <c r="Y467" s="214"/>
      <c r="Z467" s="199"/>
      <c r="AA467" s="199"/>
      <c r="AB467" s="199"/>
      <c r="AC467" s="199"/>
      <c r="AD467" s="199"/>
      <c r="AE467" s="199"/>
      <c r="AF467" s="199"/>
      <c r="AG467" s="199"/>
      <c r="AH467" s="199"/>
      <c r="AI467" s="199"/>
      <c r="AJ467" s="199"/>
      <c r="AK467" s="199"/>
      <c r="AL467" s="199"/>
    </row>
    <row r="468" spans="2:38">
      <c r="B468" s="204"/>
      <c r="C468" s="212"/>
      <c r="D468" s="206"/>
      <c r="E468" s="213"/>
      <c r="F468" s="214"/>
      <c r="G468" s="214"/>
      <c r="H468" s="214"/>
      <c r="I468" s="214"/>
      <c r="J468" s="214"/>
      <c r="K468" s="214"/>
      <c r="L468" s="214"/>
      <c r="M468" s="163"/>
      <c r="N468" s="163"/>
      <c r="O468" s="163"/>
      <c r="P468" s="163"/>
      <c r="Q468" s="163"/>
      <c r="R468" s="163"/>
      <c r="S468" s="165"/>
      <c r="T468" s="165"/>
      <c r="U468" s="165"/>
      <c r="V468" s="165"/>
      <c r="W468" s="214"/>
      <c r="X468" s="164"/>
      <c r="Y468" s="214"/>
      <c r="Z468" s="199"/>
      <c r="AA468" s="199"/>
      <c r="AB468" s="199"/>
      <c r="AC468" s="199"/>
      <c r="AD468" s="199"/>
      <c r="AE468" s="199"/>
      <c r="AF468" s="199"/>
      <c r="AG468" s="199"/>
      <c r="AH468" s="199"/>
      <c r="AI468" s="199"/>
      <c r="AJ468" s="199"/>
      <c r="AK468" s="199"/>
      <c r="AL468" s="199"/>
    </row>
    <row r="469" spans="2:38">
      <c r="B469" s="204"/>
      <c r="C469" s="205"/>
      <c r="D469" s="206"/>
      <c r="E469" s="209"/>
      <c r="F469" s="162"/>
      <c r="G469" s="162"/>
      <c r="H469" s="162"/>
      <c r="I469" s="162"/>
      <c r="J469" s="162"/>
      <c r="K469" s="162"/>
      <c r="L469" s="162"/>
      <c r="M469" s="163"/>
      <c r="N469" s="163"/>
      <c r="O469" s="163"/>
      <c r="P469" s="163"/>
      <c r="Q469" s="163"/>
      <c r="R469" s="163"/>
      <c r="S469" s="165"/>
      <c r="T469" s="165"/>
      <c r="U469" s="165"/>
      <c r="V469" s="165"/>
      <c r="W469" s="162"/>
      <c r="X469" s="164"/>
      <c r="Y469" s="162"/>
      <c r="Z469" s="199"/>
      <c r="AA469" s="199"/>
      <c r="AB469" s="199"/>
      <c r="AC469" s="199"/>
      <c r="AD469" s="199"/>
      <c r="AE469" s="199"/>
      <c r="AF469" s="199"/>
      <c r="AG469" s="199"/>
      <c r="AH469" s="199"/>
      <c r="AI469" s="199"/>
      <c r="AJ469" s="199"/>
      <c r="AK469" s="199"/>
      <c r="AL469" s="199"/>
    </row>
    <row r="470" ht="17.6" spans="2:38">
      <c r="B470" s="204"/>
      <c r="C470" s="205"/>
      <c r="D470" s="206"/>
      <c r="E470" s="209"/>
      <c r="F470" s="210"/>
      <c r="G470" s="210"/>
      <c r="H470" s="211"/>
      <c r="I470" s="199"/>
      <c r="J470" s="199"/>
      <c r="K470" s="199"/>
      <c r="L470" s="199"/>
      <c r="M470" s="199"/>
      <c r="N470" s="199"/>
      <c r="O470" s="199"/>
      <c r="P470" s="199"/>
      <c r="Q470" s="199"/>
      <c r="R470" s="199"/>
      <c r="S470" s="199"/>
      <c r="T470" s="199"/>
      <c r="U470" s="199"/>
      <c r="V470" s="199"/>
      <c r="W470" s="199"/>
      <c r="X470" s="199"/>
      <c r="Y470" s="199"/>
      <c r="Z470" s="199"/>
      <c r="AA470" s="199"/>
      <c r="AB470" s="199"/>
      <c r="AC470" s="199"/>
      <c r="AD470" s="199"/>
      <c r="AE470" s="199"/>
      <c r="AF470" s="199"/>
      <c r="AG470" s="199"/>
      <c r="AH470" s="199"/>
      <c r="AI470" s="199"/>
      <c r="AJ470" s="199"/>
      <c r="AK470" s="199"/>
      <c r="AL470" s="199"/>
    </row>
    <row r="471" spans="2:38">
      <c r="B471" s="204"/>
      <c r="C471" s="205"/>
      <c r="D471" s="206"/>
      <c r="E471" s="209"/>
      <c r="F471" s="162"/>
      <c r="G471" s="162"/>
      <c r="H471" s="162"/>
      <c r="I471" s="162"/>
      <c r="J471" s="162"/>
      <c r="K471" s="162"/>
      <c r="L471" s="162"/>
      <c r="M471" s="163"/>
      <c r="N471" s="163"/>
      <c r="O471" s="163"/>
      <c r="P471" s="163"/>
      <c r="Q471" s="163"/>
      <c r="R471" s="163"/>
      <c r="S471" s="165"/>
      <c r="T471" s="165"/>
      <c r="U471" s="165"/>
      <c r="V471" s="165"/>
      <c r="W471" s="162"/>
      <c r="X471" s="164"/>
      <c r="Y471" s="162"/>
      <c r="Z471" s="199"/>
      <c r="AA471" s="199"/>
      <c r="AB471" s="199"/>
      <c r="AC471" s="199"/>
      <c r="AD471" s="199"/>
      <c r="AE471" s="199"/>
      <c r="AF471" s="199"/>
      <c r="AG471" s="199"/>
      <c r="AH471" s="199"/>
      <c r="AI471" s="199"/>
      <c r="AJ471" s="199"/>
      <c r="AK471" s="199"/>
      <c r="AL471" s="199"/>
    </row>
    <row r="472" spans="2:38">
      <c r="B472" s="204"/>
      <c r="C472" s="205"/>
      <c r="D472" s="206"/>
      <c r="E472" s="209"/>
      <c r="F472" s="162"/>
      <c r="G472" s="162"/>
      <c r="H472" s="162"/>
      <c r="I472" s="162"/>
      <c r="J472" s="162"/>
      <c r="K472" s="162"/>
      <c r="L472" s="162"/>
      <c r="M472" s="163"/>
      <c r="N472" s="163"/>
      <c r="O472" s="163"/>
      <c r="P472" s="163"/>
      <c r="Q472" s="163"/>
      <c r="R472" s="163"/>
      <c r="S472" s="165"/>
      <c r="T472" s="165"/>
      <c r="U472" s="165"/>
      <c r="V472" s="165"/>
      <c r="W472" s="162"/>
      <c r="X472" s="164"/>
      <c r="Y472" s="162"/>
      <c r="Z472" s="199"/>
      <c r="AA472" s="199"/>
      <c r="AB472" s="199"/>
      <c r="AC472" s="199"/>
      <c r="AD472" s="199"/>
      <c r="AE472" s="199"/>
      <c r="AF472" s="199"/>
      <c r="AG472" s="199"/>
      <c r="AH472" s="199"/>
      <c r="AI472" s="199"/>
      <c r="AJ472" s="199"/>
      <c r="AK472" s="199"/>
      <c r="AL472" s="199"/>
    </row>
    <row r="473" spans="2:38">
      <c r="B473" s="204"/>
      <c r="C473" s="205"/>
      <c r="D473" s="206"/>
      <c r="E473" s="209"/>
      <c r="F473" s="162"/>
      <c r="G473" s="162"/>
      <c r="H473" s="162"/>
      <c r="I473" s="162"/>
      <c r="J473" s="162"/>
      <c r="K473" s="162"/>
      <c r="L473" s="162"/>
      <c r="M473" s="163"/>
      <c r="N473" s="163"/>
      <c r="O473" s="163"/>
      <c r="P473" s="163"/>
      <c r="Q473" s="163"/>
      <c r="R473" s="163"/>
      <c r="S473" s="165"/>
      <c r="T473" s="165"/>
      <c r="U473" s="165"/>
      <c r="V473" s="165"/>
      <c r="W473" s="162"/>
      <c r="X473" s="165"/>
      <c r="Y473" s="162"/>
      <c r="Z473" s="199"/>
      <c r="AA473" s="199"/>
      <c r="AB473" s="199"/>
      <c r="AC473" s="199"/>
      <c r="AD473" s="199"/>
      <c r="AE473" s="199"/>
      <c r="AF473" s="199"/>
      <c r="AG473" s="199"/>
      <c r="AH473" s="199"/>
      <c r="AI473" s="199"/>
      <c r="AJ473" s="199"/>
      <c r="AK473" s="199"/>
      <c r="AL473" s="199"/>
    </row>
    <row r="474" spans="2:38">
      <c r="B474" s="204"/>
      <c r="C474" s="205"/>
      <c r="D474" s="206"/>
      <c r="E474" s="209"/>
      <c r="F474" s="162"/>
      <c r="G474" s="162"/>
      <c r="H474" s="162"/>
      <c r="I474" s="162"/>
      <c r="J474" s="162"/>
      <c r="K474" s="162"/>
      <c r="L474" s="162"/>
      <c r="M474" s="163"/>
      <c r="N474" s="163"/>
      <c r="O474" s="163"/>
      <c r="P474" s="163"/>
      <c r="Q474" s="163"/>
      <c r="R474" s="163"/>
      <c r="S474" s="165"/>
      <c r="T474" s="165"/>
      <c r="U474" s="165"/>
      <c r="V474" s="165"/>
      <c r="W474" s="162"/>
      <c r="X474" s="164"/>
      <c r="Y474" s="162"/>
      <c r="Z474" s="199"/>
      <c r="AA474" s="199"/>
      <c r="AB474" s="199"/>
      <c r="AC474" s="199"/>
      <c r="AD474" s="199"/>
      <c r="AE474" s="199"/>
      <c r="AF474" s="199"/>
      <c r="AG474" s="199"/>
      <c r="AH474" s="199"/>
      <c r="AI474" s="199"/>
      <c r="AJ474" s="199"/>
      <c r="AK474" s="199"/>
      <c r="AL474" s="199"/>
    </row>
    <row r="475" spans="2:38">
      <c r="B475" s="204"/>
      <c r="C475" s="205"/>
      <c r="D475" s="206"/>
      <c r="E475" s="209"/>
      <c r="F475" s="162"/>
      <c r="G475" s="162"/>
      <c r="H475" s="162"/>
      <c r="I475" s="162"/>
      <c r="J475" s="162"/>
      <c r="K475" s="162"/>
      <c r="L475" s="162"/>
      <c r="M475" s="163"/>
      <c r="N475" s="163"/>
      <c r="O475" s="163"/>
      <c r="P475" s="163"/>
      <c r="Q475" s="163"/>
      <c r="R475" s="163"/>
      <c r="S475" s="165"/>
      <c r="T475" s="165"/>
      <c r="U475" s="165"/>
      <c r="V475" s="165"/>
      <c r="W475" s="162"/>
      <c r="X475" s="164"/>
      <c r="Y475" s="162"/>
      <c r="Z475" s="199"/>
      <c r="AA475" s="199"/>
      <c r="AB475" s="199"/>
      <c r="AC475" s="199"/>
      <c r="AD475" s="199"/>
      <c r="AE475" s="199"/>
      <c r="AF475" s="199"/>
      <c r="AG475" s="199"/>
      <c r="AH475" s="199"/>
      <c r="AI475" s="199"/>
      <c r="AJ475" s="199"/>
      <c r="AK475" s="199"/>
      <c r="AL475" s="199"/>
    </row>
    <row r="476" spans="2:38">
      <c r="B476" s="204"/>
      <c r="C476" s="205"/>
      <c r="D476" s="206"/>
      <c r="E476" s="209"/>
      <c r="F476" s="162"/>
      <c r="G476" s="162"/>
      <c r="H476" s="162"/>
      <c r="I476" s="162"/>
      <c r="J476" s="162"/>
      <c r="K476" s="162"/>
      <c r="L476" s="162"/>
      <c r="M476" s="163"/>
      <c r="N476" s="163"/>
      <c r="O476" s="163"/>
      <c r="P476" s="163"/>
      <c r="Q476" s="163"/>
      <c r="R476" s="163"/>
      <c r="S476" s="165"/>
      <c r="T476" s="165"/>
      <c r="U476" s="165"/>
      <c r="V476" s="165"/>
      <c r="W476" s="162"/>
      <c r="X476" s="164"/>
      <c r="Y476" s="162"/>
      <c r="Z476" s="199"/>
      <c r="AA476" s="199"/>
      <c r="AB476" s="199"/>
      <c r="AC476" s="199"/>
      <c r="AD476" s="199"/>
      <c r="AE476" s="199"/>
      <c r="AF476" s="199"/>
      <c r="AG476" s="199"/>
      <c r="AH476" s="199"/>
      <c r="AI476" s="199"/>
      <c r="AJ476" s="199"/>
      <c r="AK476" s="199"/>
      <c r="AL476" s="199"/>
    </row>
    <row r="477" spans="2:38">
      <c r="B477" s="204"/>
      <c r="C477" s="205"/>
      <c r="D477" s="206"/>
      <c r="E477" s="209"/>
      <c r="F477" s="162"/>
      <c r="G477" s="162"/>
      <c r="H477" s="162"/>
      <c r="I477" s="162"/>
      <c r="J477" s="162"/>
      <c r="K477" s="162"/>
      <c r="L477" s="162"/>
      <c r="M477" s="163"/>
      <c r="N477" s="163"/>
      <c r="O477" s="163"/>
      <c r="P477" s="163"/>
      <c r="Q477" s="163"/>
      <c r="R477" s="163"/>
      <c r="S477" s="165"/>
      <c r="T477" s="165"/>
      <c r="U477" s="165"/>
      <c r="V477" s="165"/>
      <c r="W477" s="162"/>
      <c r="X477" s="164"/>
      <c r="Y477" s="162"/>
      <c r="Z477" s="199"/>
      <c r="AA477" s="199"/>
      <c r="AB477" s="199"/>
      <c r="AC477" s="199"/>
      <c r="AD477" s="199"/>
      <c r="AE477" s="199"/>
      <c r="AF477" s="199"/>
      <c r="AG477" s="199"/>
      <c r="AH477" s="199"/>
      <c r="AI477" s="199"/>
      <c r="AJ477" s="199"/>
      <c r="AK477" s="199"/>
      <c r="AL477" s="199"/>
    </row>
    <row r="478" ht="17.6" spans="2:38">
      <c r="B478" s="204"/>
      <c r="C478" s="207"/>
      <c r="D478" s="208"/>
      <c r="E478" s="207"/>
      <c r="F478" s="162"/>
      <c r="G478" s="162"/>
      <c r="H478" s="162"/>
      <c r="I478" s="162"/>
      <c r="J478" s="162"/>
      <c r="K478" s="162"/>
      <c r="L478" s="162"/>
      <c r="M478" s="163"/>
      <c r="N478" s="163"/>
      <c r="O478" s="163"/>
      <c r="P478" s="163"/>
      <c r="Q478" s="163"/>
      <c r="R478" s="163"/>
      <c r="S478" s="165"/>
      <c r="T478" s="165"/>
      <c r="U478" s="165"/>
      <c r="V478" s="165"/>
      <c r="W478" s="162"/>
      <c r="X478" s="165"/>
      <c r="Y478" s="162"/>
      <c r="Z478" s="199"/>
      <c r="AA478" s="199"/>
      <c r="AB478" s="199"/>
      <c r="AC478" s="199"/>
      <c r="AD478" s="199"/>
      <c r="AE478" s="199"/>
      <c r="AF478" s="199"/>
      <c r="AG478" s="199"/>
      <c r="AH478" s="199"/>
      <c r="AI478" s="199"/>
      <c r="AJ478" s="199"/>
      <c r="AK478" s="199"/>
      <c r="AL478" s="199"/>
    </row>
    <row r="479" ht="17.6" spans="2:38">
      <c r="B479" s="204"/>
      <c r="C479" s="207"/>
      <c r="D479" s="208"/>
      <c r="E479" s="207"/>
      <c r="F479" s="162"/>
      <c r="G479" s="162"/>
      <c r="H479" s="162"/>
      <c r="I479" s="162"/>
      <c r="J479" s="162"/>
      <c r="K479" s="162"/>
      <c r="L479" s="162"/>
      <c r="M479" s="163"/>
      <c r="N479" s="163"/>
      <c r="O479" s="163"/>
      <c r="P479" s="163"/>
      <c r="Q479" s="163"/>
      <c r="R479" s="163"/>
      <c r="S479" s="165"/>
      <c r="T479" s="165"/>
      <c r="U479" s="165"/>
      <c r="V479" s="165"/>
      <c r="W479" s="162"/>
      <c r="X479" s="164"/>
      <c r="Y479" s="162"/>
      <c r="Z479" s="199"/>
      <c r="AA479" s="199"/>
      <c r="AB479" s="199"/>
      <c r="AC479" s="199"/>
      <c r="AD479" s="199"/>
      <c r="AE479" s="199"/>
      <c r="AF479" s="199"/>
      <c r="AG479" s="199"/>
      <c r="AH479" s="199"/>
      <c r="AI479" s="199"/>
      <c r="AJ479" s="199"/>
      <c r="AK479" s="199"/>
      <c r="AL479" s="199"/>
    </row>
    <row r="480" spans="2:38">
      <c r="B480" s="204"/>
      <c r="C480" s="205"/>
      <c r="D480" s="206"/>
      <c r="E480" s="209"/>
      <c r="F480" s="162"/>
      <c r="G480" s="162"/>
      <c r="H480" s="162"/>
      <c r="I480" s="162"/>
      <c r="J480" s="162"/>
      <c r="K480" s="162"/>
      <c r="L480" s="162"/>
      <c r="M480" s="163"/>
      <c r="N480" s="163"/>
      <c r="O480" s="163"/>
      <c r="P480" s="163"/>
      <c r="Q480" s="163"/>
      <c r="R480" s="163"/>
      <c r="S480" s="165"/>
      <c r="T480" s="165"/>
      <c r="U480" s="165"/>
      <c r="V480" s="165"/>
      <c r="W480" s="162"/>
      <c r="X480" s="164"/>
      <c r="Y480" s="162"/>
      <c r="Z480" s="199"/>
      <c r="AA480" s="199"/>
      <c r="AB480" s="199"/>
      <c r="AC480" s="199"/>
      <c r="AD480" s="199"/>
      <c r="AE480" s="199"/>
      <c r="AF480" s="199"/>
      <c r="AG480" s="199"/>
      <c r="AH480" s="199"/>
      <c r="AI480" s="199"/>
      <c r="AJ480" s="199"/>
      <c r="AK480" s="199"/>
      <c r="AL480" s="199"/>
    </row>
    <row r="481" spans="2:38">
      <c r="B481" s="204"/>
      <c r="C481" s="205"/>
      <c r="D481" s="206"/>
      <c r="E481" s="209"/>
      <c r="F481" s="162"/>
      <c r="G481" s="162"/>
      <c r="H481" s="162"/>
      <c r="I481" s="162"/>
      <c r="J481" s="162"/>
      <c r="K481" s="162"/>
      <c r="L481" s="162"/>
      <c r="M481" s="163"/>
      <c r="N481" s="163"/>
      <c r="O481" s="163"/>
      <c r="P481" s="163"/>
      <c r="Q481" s="163"/>
      <c r="R481" s="163"/>
      <c r="S481" s="165"/>
      <c r="T481" s="165"/>
      <c r="U481" s="165"/>
      <c r="V481" s="165"/>
      <c r="W481" s="162"/>
      <c r="X481" s="164"/>
      <c r="Y481" s="162"/>
      <c r="Z481" s="199"/>
      <c r="AA481" s="199"/>
      <c r="AB481" s="199"/>
      <c r="AC481" s="199"/>
      <c r="AD481" s="199"/>
      <c r="AE481" s="199"/>
      <c r="AF481" s="199"/>
      <c r="AG481" s="199"/>
      <c r="AH481" s="199"/>
      <c r="AI481" s="199"/>
      <c r="AJ481" s="199"/>
      <c r="AK481" s="199"/>
      <c r="AL481" s="199"/>
    </row>
    <row r="482" spans="2:38">
      <c r="B482" s="204"/>
      <c r="C482" s="205"/>
      <c r="D482" s="206"/>
      <c r="E482" s="209"/>
      <c r="F482" s="162"/>
      <c r="G482" s="162"/>
      <c r="H482" s="162"/>
      <c r="I482" s="162"/>
      <c r="J482" s="162"/>
      <c r="K482" s="162"/>
      <c r="L482" s="162"/>
      <c r="M482" s="163"/>
      <c r="N482" s="163"/>
      <c r="O482" s="163"/>
      <c r="P482" s="163"/>
      <c r="Q482" s="163"/>
      <c r="R482" s="163"/>
      <c r="S482" s="165"/>
      <c r="T482" s="165"/>
      <c r="U482" s="165"/>
      <c r="V482" s="165"/>
      <c r="W482" s="162"/>
      <c r="X482" s="164"/>
      <c r="Y482" s="162"/>
      <c r="Z482" s="199"/>
      <c r="AA482" s="199"/>
      <c r="AB482" s="199"/>
      <c r="AC482" s="199"/>
      <c r="AD482" s="199"/>
      <c r="AE482" s="199"/>
      <c r="AF482" s="199"/>
      <c r="AG482" s="199"/>
      <c r="AH482" s="199"/>
      <c r="AI482" s="199"/>
      <c r="AJ482" s="199"/>
      <c r="AK482" s="199"/>
      <c r="AL482" s="199"/>
    </row>
    <row r="483" spans="2:38">
      <c r="B483" s="204"/>
      <c r="C483" s="205"/>
      <c r="D483" s="206"/>
      <c r="E483" s="209"/>
      <c r="F483" s="162"/>
      <c r="G483" s="162"/>
      <c r="H483" s="162"/>
      <c r="I483" s="162"/>
      <c r="J483" s="162"/>
      <c r="K483" s="162"/>
      <c r="L483" s="162"/>
      <c r="M483" s="163"/>
      <c r="N483" s="163"/>
      <c r="O483" s="163"/>
      <c r="P483" s="163"/>
      <c r="Q483" s="163"/>
      <c r="R483" s="163"/>
      <c r="S483" s="165"/>
      <c r="T483" s="165"/>
      <c r="U483" s="165"/>
      <c r="V483" s="165"/>
      <c r="W483" s="162"/>
      <c r="X483" s="165"/>
      <c r="Y483" s="162"/>
      <c r="Z483" s="199"/>
      <c r="AA483" s="199"/>
      <c r="AB483" s="199"/>
      <c r="AC483" s="199"/>
      <c r="AD483" s="199"/>
      <c r="AE483" s="199"/>
      <c r="AF483" s="199"/>
      <c r="AG483" s="199"/>
      <c r="AH483" s="199"/>
      <c r="AI483" s="199"/>
      <c r="AJ483" s="199"/>
      <c r="AK483" s="199"/>
      <c r="AL483" s="199"/>
    </row>
    <row r="484" spans="2:38">
      <c r="B484" s="204"/>
      <c r="C484" s="205"/>
      <c r="D484" s="206"/>
      <c r="E484" s="209"/>
      <c r="F484" s="162"/>
      <c r="G484" s="162"/>
      <c r="H484" s="162"/>
      <c r="I484" s="162"/>
      <c r="J484" s="162"/>
      <c r="K484" s="162"/>
      <c r="L484" s="162"/>
      <c r="M484" s="163"/>
      <c r="N484" s="163"/>
      <c r="O484" s="163"/>
      <c r="P484" s="163"/>
      <c r="Q484" s="163"/>
      <c r="R484" s="163"/>
      <c r="S484" s="165"/>
      <c r="T484" s="165"/>
      <c r="U484" s="165"/>
      <c r="V484" s="165"/>
      <c r="W484" s="162"/>
      <c r="X484" s="165"/>
      <c r="Y484" s="162"/>
      <c r="Z484" s="199"/>
      <c r="AA484" s="199"/>
      <c r="AB484" s="199"/>
      <c r="AC484" s="199"/>
      <c r="AD484" s="199"/>
      <c r="AE484" s="199"/>
      <c r="AF484" s="199"/>
      <c r="AG484" s="199"/>
      <c r="AH484" s="199"/>
      <c r="AI484" s="199"/>
      <c r="AJ484" s="199"/>
      <c r="AK484" s="199"/>
      <c r="AL484" s="199"/>
    </row>
    <row r="485" spans="2:38">
      <c r="B485" s="204"/>
      <c r="C485" s="205"/>
      <c r="D485" s="206"/>
      <c r="E485" s="209"/>
      <c r="F485" s="162"/>
      <c r="G485" s="162"/>
      <c r="H485" s="162"/>
      <c r="I485" s="162"/>
      <c r="J485" s="162"/>
      <c r="K485" s="162"/>
      <c r="L485" s="162"/>
      <c r="M485" s="163"/>
      <c r="N485" s="163"/>
      <c r="O485" s="163"/>
      <c r="P485" s="163"/>
      <c r="Q485" s="163"/>
      <c r="R485" s="163"/>
      <c r="S485" s="165"/>
      <c r="T485" s="165"/>
      <c r="U485" s="165"/>
      <c r="V485" s="165"/>
      <c r="W485" s="162"/>
      <c r="X485" s="164"/>
      <c r="Y485" s="162"/>
      <c r="Z485" s="199"/>
      <c r="AA485" s="199"/>
      <c r="AB485" s="199"/>
      <c r="AC485" s="199"/>
      <c r="AD485" s="199"/>
      <c r="AE485" s="199"/>
      <c r="AF485" s="199"/>
      <c r="AG485" s="199"/>
      <c r="AH485" s="199"/>
      <c r="AI485" s="199"/>
      <c r="AJ485" s="199"/>
      <c r="AK485" s="199"/>
      <c r="AL485" s="199"/>
    </row>
    <row r="486" spans="2:38">
      <c r="B486" s="204"/>
      <c r="C486" s="205"/>
      <c r="D486" s="206"/>
      <c r="E486" s="209"/>
      <c r="F486" s="162"/>
      <c r="G486" s="162"/>
      <c r="H486" s="162"/>
      <c r="I486" s="162"/>
      <c r="J486" s="162"/>
      <c r="K486" s="162"/>
      <c r="L486" s="162"/>
      <c r="M486" s="163"/>
      <c r="N486" s="163"/>
      <c r="O486" s="163"/>
      <c r="P486" s="163"/>
      <c r="Q486" s="163"/>
      <c r="R486" s="163"/>
      <c r="S486" s="165"/>
      <c r="T486" s="165"/>
      <c r="U486" s="165"/>
      <c r="V486" s="165"/>
      <c r="W486" s="162"/>
      <c r="X486" s="164"/>
      <c r="Y486" s="162"/>
      <c r="Z486" s="199"/>
      <c r="AA486" s="199"/>
      <c r="AB486" s="199"/>
      <c r="AC486" s="199"/>
      <c r="AD486" s="199"/>
      <c r="AE486" s="199"/>
      <c r="AF486" s="199"/>
      <c r="AG486" s="199"/>
      <c r="AH486" s="199"/>
      <c r="AI486" s="199"/>
      <c r="AJ486" s="199"/>
      <c r="AK486" s="199"/>
      <c r="AL486" s="199"/>
    </row>
    <row r="487" spans="2:38">
      <c r="B487" s="204"/>
      <c r="C487" s="205"/>
      <c r="D487" s="206"/>
      <c r="E487" s="209"/>
      <c r="F487" s="162"/>
      <c r="G487" s="162"/>
      <c r="H487" s="162"/>
      <c r="I487" s="162"/>
      <c r="J487" s="162"/>
      <c r="K487" s="162"/>
      <c r="L487" s="162"/>
      <c r="M487" s="163"/>
      <c r="N487" s="163"/>
      <c r="O487" s="163"/>
      <c r="P487" s="163"/>
      <c r="Q487" s="163"/>
      <c r="R487" s="215"/>
      <c r="S487" s="165"/>
      <c r="T487" s="165"/>
      <c r="U487" s="165"/>
      <c r="V487" s="165"/>
      <c r="W487" s="162"/>
      <c r="X487" s="164"/>
      <c r="Y487" s="162"/>
      <c r="Z487" s="199"/>
      <c r="AA487" s="199"/>
      <c r="AB487" s="199"/>
      <c r="AC487" s="199"/>
      <c r="AD487" s="199"/>
      <c r="AE487" s="199"/>
      <c r="AF487" s="199"/>
      <c r="AG487" s="199"/>
      <c r="AH487" s="199"/>
      <c r="AI487" s="199"/>
      <c r="AJ487" s="199"/>
      <c r="AK487" s="199"/>
      <c r="AL487" s="199"/>
    </row>
    <row r="488" spans="2:38">
      <c r="B488" s="204"/>
      <c r="C488" s="205"/>
      <c r="D488" s="206"/>
      <c r="E488" s="209"/>
      <c r="F488" s="162"/>
      <c r="G488" s="162"/>
      <c r="H488" s="162"/>
      <c r="I488" s="162"/>
      <c r="J488" s="162"/>
      <c r="K488" s="162"/>
      <c r="L488" s="162"/>
      <c r="M488" s="163"/>
      <c r="N488" s="163"/>
      <c r="O488" s="163"/>
      <c r="P488" s="163"/>
      <c r="Q488" s="163"/>
      <c r="R488" s="163"/>
      <c r="S488" s="165"/>
      <c r="T488" s="165"/>
      <c r="U488" s="165"/>
      <c r="V488" s="165"/>
      <c r="W488" s="162"/>
      <c r="X488" s="164"/>
      <c r="Y488" s="162"/>
      <c r="Z488" s="199"/>
      <c r="AA488" s="199"/>
      <c r="AB488" s="199"/>
      <c r="AC488" s="199"/>
      <c r="AD488" s="199"/>
      <c r="AE488" s="199"/>
      <c r="AF488" s="199"/>
      <c r="AG488" s="199"/>
      <c r="AH488" s="199"/>
      <c r="AI488" s="199"/>
      <c r="AJ488" s="199"/>
      <c r="AK488" s="199"/>
      <c r="AL488" s="199"/>
    </row>
    <row r="489" spans="2:38">
      <c r="B489" s="204"/>
      <c r="C489" s="205"/>
      <c r="D489" s="206"/>
      <c r="E489" s="209"/>
      <c r="F489" s="162"/>
      <c r="G489" s="162"/>
      <c r="H489" s="162"/>
      <c r="I489" s="162"/>
      <c r="J489" s="162"/>
      <c r="K489" s="162"/>
      <c r="L489" s="162"/>
      <c r="M489" s="163"/>
      <c r="N489" s="163"/>
      <c r="O489" s="163"/>
      <c r="P489" s="163"/>
      <c r="Q489" s="163"/>
      <c r="R489" s="163"/>
      <c r="S489" s="165"/>
      <c r="T489" s="165"/>
      <c r="U489" s="165"/>
      <c r="V489" s="165"/>
      <c r="W489" s="162"/>
      <c r="X489" s="164"/>
      <c r="Y489" s="162"/>
      <c r="Z489" s="199"/>
      <c r="AA489" s="199"/>
      <c r="AB489" s="199"/>
      <c r="AC489" s="199"/>
      <c r="AD489" s="199"/>
      <c r="AE489" s="199"/>
      <c r="AF489" s="199"/>
      <c r="AG489" s="199"/>
      <c r="AH489" s="199"/>
      <c r="AI489" s="199"/>
      <c r="AJ489" s="199"/>
      <c r="AK489" s="199"/>
      <c r="AL489" s="199"/>
    </row>
    <row r="490" spans="2:38">
      <c r="B490" s="204"/>
      <c r="C490" s="205"/>
      <c r="D490" s="206"/>
      <c r="E490" s="209"/>
      <c r="F490" s="162"/>
      <c r="G490" s="162"/>
      <c r="H490" s="162"/>
      <c r="I490" s="162"/>
      <c r="J490" s="162"/>
      <c r="K490" s="162"/>
      <c r="L490" s="162"/>
      <c r="M490" s="163"/>
      <c r="N490" s="163"/>
      <c r="O490" s="163"/>
      <c r="P490" s="163"/>
      <c r="Q490" s="163"/>
      <c r="R490" s="163"/>
      <c r="S490" s="165"/>
      <c r="T490" s="165"/>
      <c r="U490" s="165"/>
      <c r="V490" s="165"/>
      <c r="W490" s="162"/>
      <c r="X490" s="164"/>
      <c r="Y490" s="162"/>
      <c r="Z490" s="199"/>
      <c r="AA490" s="199"/>
      <c r="AB490" s="199"/>
      <c r="AC490" s="199"/>
      <c r="AD490" s="199"/>
      <c r="AE490" s="199"/>
      <c r="AF490" s="199"/>
      <c r="AG490" s="199"/>
      <c r="AH490" s="199"/>
      <c r="AI490" s="199"/>
      <c r="AJ490" s="199"/>
      <c r="AK490" s="199"/>
      <c r="AL490" s="199"/>
    </row>
    <row r="491" spans="2:38">
      <c r="B491" s="204"/>
      <c r="C491" s="205"/>
      <c r="D491" s="206"/>
      <c r="E491" s="209"/>
      <c r="F491" s="162"/>
      <c r="G491" s="162"/>
      <c r="H491" s="162"/>
      <c r="I491" s="162"/>
      <c r="J491" s="162"/>
      <c r="K491" s="162"/>
      <c r="L491" s="162"/>
      <c r="M491" s="163"/>
      <c r="N491" s="163"/>
      <c r="O491" s="163"/>
      <c r="P491" s="163"/>
      <c r="Q491" s="163"/>
      <c r="R491" s="163"/>
      <c r="S491" s="165"/>
      <c r="T491" s="165"/>
      <c r="U491" s="165"/>
      <c r="V491" s="165"/>
      <c r="W491" s="162"/>
      <c r="X491" s="164"/>
      <c r="Y491" s="162"/>
      <c r="Z491" s="199"/>
      <c r="AA491" s="199"/>
      <c r="AB491" s="199"/>
      <c r="AC491" s="199"/>
      <c r="AD491" s="199"/>
      <c r="AE491" s="199"/>
      <c r="AF491" s="199"/>
      <c r="AG491" s="199"/>
      <c r="AH491" s="199"/>
      <c r="AI491" s="199"/>
      <c r="AJ491" s="199"/>
      <c r="AK491" s="199"/>
      <c r="AL491" s="199"/>
    </row>
    <row r="492" spans="2:38">
      <c r="B492" s="204"/>
      <c r="C492" s="205"/>
      <c r="D492" s="206"/>
      <c r="E492" s="209"/>
      <c r="F492" s="162"/>
      <c r="G492" s="162"/>
      <c r="H492" s="162"/>
      <c r="I492" s="162"/>
      <c r="J492" s="162"/>
      <c r="K492" s="162"/>
      <c r="L492" s="162"/>
      <c r="M492" s="163"/>
      <c r="N492" s="163"/>
      <c r="O492" s="163"/>
      <c r="P492" s="163"/>
      <c r="Q492" s="163"/>
      <c r="R492" s="163"/>
      <c r="S492" s="165"/>
      <c r="T492" s="165"/>
      <c r="U492" s="165"/>
      <c r="V492" s="165"/>
      <c r="W492" s="162"/>
      <c r="X492" s="164"/>
      <c r="Y492" s="162"/>
      <c r="Z492" s="199"/>
      <c r="AA492" s="199"/>
      <c r="AB492" s="199"/>
      <c r="AC492" s="199"/>
      <c r="AD492" s="199"/>
      <c r="AE492" s="199"/>
      <c r="AF492" s="199"/>
      <c r="AG492" s="199"/>
      <c r="AH492" s="199"/>
      <c r="AI492" s="199"/>
      <c r="AJ492" s="199"/>
      <c r="AK492" s="199"/>
      <c r="AL492" s="199"/>
    </row>
    <row r="493" spans="2:38">
      <c r="B493" s="204"/>
      <c r="C493" s="205"/>
      <c r="D493" s="206"/>
      <c r="E493" s="209"/>
      <c r="F493" s="162"/>
      <c r="G493" s="162"/>
      <c r="H493" s="162"/>
      <c r="I493" s="162"/>
      <c r="J493" s="162"/>
      <c r="K493" s="162"/>
      <c r="L493" s="162"/>
      <c r="M493" s="163"/>
      <c r="N493" s="163"/>
      <c r="O493" s="163"/>
      <c r="P493" s="163"/>
      <c r="Q493" s="163"/>
      <c r="R493" s="163"/>
      <c r="S493" s="165"/>
      <c r="T493" s="165"/>
      <c r="U493" s="165"/>
      <c r="V493" s="165"/>
      <c r="W493" s="162"/>
      <c r="X493" s="164"/>
      <c r="Y493" s="162"/>
      <c r="Z493" s="199"/>
      <c r="AA493" s="199"/>
      <c r="AB493" s="199"/>
      <c r="AC493" s="199"/>
      <c r="AD493" s="199"/>
      <c r="AE493" s="199"/>
      <c r="AF493" s="199"/>
      <c r="AG493" s="199"/>
      <c r="AH493" s="199"/>
      <c r="AI493" s="199"/>
      <c r="AJ493" s="199"/>
      <c r="AK493" s="199"/>
      <c r="AL493" s="199"/>
    </row>
    <row r="494" spans="2:38">
      <c r="B494" s="204"/>
      <c r="C494" s="205"/>
      <c r="D494" s="206"/>
      <c r="E494" s="209"/>
      <c r="F494" s="162"/>
      <c r="G494" s="162"/>
      <c r="H494" s="162"/>
      <c r="I494" s="162"/>
      <c r="J494" s="162"/>
      <c r="K494" s="162"/>
      <c r="L494" s="162"/>
      <c r="M494" s="163"/>
      <c r="N494" s="163"/>
      <c r="O494" s="163"/>
      <c r="P494" s="163"/>
      <c r="Q494" s="163"/>
      <c r="R494" s="163"/>
      <c r="S494" s="165"/>
      <c r="T494" s="165"/>
      <c r="U494" s="165"/>
      <c r="V494" s="165"/>
      <c r="W494" s="162"/>
      <c r="X494" s="164"/>
      <c r="Y494" s="162"/>
      <c r="Z494" s="199"/>
      <c r="AA494" s="199"/>
      <c r="AB494" s="199"/>
      <c r="AC494" s="199"/>
      <c r="AD494" s="199"/>
      <c r="AE494" s="199"/>
      <c r="AF494" s="199"/>
      <c r="AG494" s="199"/>
      <c r="AH494" s="199"/>
      <c r="AI494" s="199"/>
      <c r="AJ494" s="199"/>
      <c r="AK494" s="199"/>
      <c r="AL494" s="199"/>
    </row>
    <row r="495" spans="2:38">
      <c r="B495" s="204"/>
      <c r="C495" s="205"/>
      <c r="D495" s="206"/>
      <c r="E495" s="209"/>
      <c r="F495" s="162"/>
      <c r="G495" s="162"/>
      <c r="H495" s="162"/>
      <c r="I495" s="162"/>
      <c r="J495" s="162"/>
      <c r="K495" s="162"/>
      <c r="L495" s="162"/>
      <c r="M495" s="163"/>
      <c r="N495" s="163"/>
      <c r="O495" s="163"/>
      <c r="P495" s="163"/>
      <c r="Q495" s="163"/>
      <c r="R495" s="163"/>
      <c r="S495" s="165"/>
      <c r="T495" s="165"/>
      <c r="U495" s="165"/>
      <c r="V495" s="165"/>
      <c r="W495" s="162"/>
      <c r="X495" s="164"/>
      <c r="Y495" s="162"/>
      <c r="Z495" s="199"/>
      <c r="AA495" s="199"/>
      <c r="AB495" s="199"/>
      <c r="AC495" s="199"/>
      <c r="AD495" s="199"/>
      <c r="AE495" s="199"/>
      <c r="AF495" s="199"/>
      <c r="AG495" s="199"/>
      <c r="AH495" s="199"/>
      <c r="AI495" s="199"/>
      <c r="AJ495" s="199"/>
      <c r="AK495" s="199"/>
      <c r="AL495" s="199"/>
    </row>
    <row r="496" ht="17.6" spans="2:38">
      <c r="B496" s="204"/>
      <c r="C496" s="207"/>
      <c r="D496" s="208"/>
      <c r="E496" s="207"/>
      <c r="F496" s="162"/>
      <c r="G496" s="162"/>
      <c r="H496" s="162"/>
      <c r="I496" s="162"/>
      <c r="J496" s="162"/>
      <c r="K496" s="162"/>
      <c r="L496" s="162"/>
      <c r="M496" s="163"/>
      <c r="N496" s="163"/>
      <c r="O496" s="163"/>
      <c r="P496" s="163"/>
      <c r="Q496" s="163"/>
      <c r="R496" s="163"/>
      <c r="S496" s="165"/>
      <c r="T496" s="165"/>
      <c r="U496" s="165"/>
      <c r="V496" s="165"/>
      <c r="W496" s="162"/>
      <c r="X496" s="164"/>
      <c r="Y496" s="162"/>
      <c r="Z496" s="199"/>
      <c r="AA496" s="199"/>
      <c r="AB496" s="199"/>
      <c r="AC496" s="199"/>
      <c r="AD496" s="199"/>
      <c r="AE496" s="199"/>
      <c r="AF496" s="199"/>
      <c r="AG496" s="199"/>
      <c r="AH496" s="199"/>
      <c r="AI496" s="199"/>
      <c r="AJ496" s="199"/>
      <c r="AK496" s="199"/>
      <c r="AL496" s="199"/>
    </row>
    <row r="497" spans="2:38">
      <c r="B497" s="204"/>
      <c r="C497" s="205"/>
      <c r="D497" s="206"/>
      <c r="E497" s="209"/>
      <c r="F497" s="162"/>
      <c r="G497" s="162"/>
      <c r="H497" s="162"/>
      <c r="I497" s="162"/>
      <c r="J497" s="162"/>
      <c r="K497" s="162"/>
      <c r="L497" s="162"/>
      <c r="M497" s="163"/>
      <c r="N497" s="163"/>
      <c r="O497" s="163"/>
      <c r="P497" s="163"/>
      <c r="Q497" s="163"/>
      <c r="R497" s="163"/>
      <c r="S497" s="165"/>
      <c r="T497" s="165"/>
      <c r="U497" s="165"/>
      <c r="V497" s="165"/>
      <c r="W497" s="162"/>
      <c r="X497" s="164"/>
      <c r="Y497" s="162"/>
      <c r="Z497" s="199"/>
      <c r="AA497" s="199"/>
      <c r="AB497" s="199"/>
      <c r="AC497" s="199"/>
      <c r="AD497" s="199"/>
      <c r="AE497" s="199"/>
      <c r="AF497" s="199"/>
      <c r="AG497" s="199"/>
      <c r="AH497" s="199"/>
      <c r="AI497" s="199"/>
      <c r="AJ497" s="199"/>
      <c r="AK497" s="199"/>
      <c r="AL497" s="199"/>
    </row>
    <row r="498" spans="2:38">
      <c r="B498" s="204"/>
      <c r="C498" s="205"/>
      <c r="D498" s="206"/>
      <c r="E498" s="209"/>
      <c r="F498" s="162"/>
      <c r="G498" s="162"/>
      <c r="H498" s="162"/>
      <c r="I498" s="162"/>
      <c r="J498" s="162"/>
      <c r="K498" s="162"/>
      <c r="L498" s="162"/>
      <c r="M498" s="163"/>
      <c r="N498" s="163"/>
      <c r="O498" s="163"/>
      <c r="P498" s="163"/>
      <c r="Q498" s="163"/>
      <c r="R498" s="163"/>
      <c r="S498" s="165"/>
      <c r="T498" s="165"/>
      <c r="U498" s="165"/>
      <c r="V498" s="165"/>
      <c r="W498" s="162"/>
      <c r="X498" s="165"/>
      <c r="Y498" s="162"/>
      <c r="Z498" s="199"/>
      <c r="AA498" s="199"/>
      <c r="AB498" s="199"/>
      <c r="AC498" s="199"/>
      <c r="AD498" s="199"/>
      <c r="AE498" s="199"/>
      <c r="AF498" s="199"/>
      <c r="AG498" s="199"/>
      <c r="AH498" s="199"/>
      <c r="AI498" s="199"/>
      <c r="AJ498" s="199"/>
      <c r="AK498" s="199"/>
      <c r="AL498" s="199"/>
    </row>
    <row r="499" spans="2:38">
      <c r="B499" s="204"/>
      <c r="C499" s="205"/>
      <c r="D499" s="206"/>
      <c r="E499" s="209"/>
      <c r="F499" s="162"/>
      <c r="G499" s="162"/>
      <c r="H499" s="162"/>
      <c r="I499" s="162"/>
      <c r="J499" s="162"/>
      <c r="K499" s="162"/>
      <c r="L499" s="162"/>
      <c r="M499" s="163"/>
      <c r="N499" s="163"/>
      <c r="O499" s="163"/>
      <c r="P499" s="163"/>
      <c r="Q499" s="163"/>
      <c r="R499" s="163"/>
      <c r="S499" s="165"/>
      <c r="T499" s="165"/>
      <c r="U499" s="165"/>
      <c r="V499" s="165"/>
      <c r="W499" s="162"/>
      <c r="X499" s="164"/>
      <c r="Y499" s="162"/>
      <c r="Z499" s="199"/>
      <c r="AA499" s="199"/>
      <c r="AB499" s="199"/>
      <c r="AC499" s="199"/>
      <c r="AD499" s="199"/>
      <c r="AE499" s="199"/>
      <c r="AF499" s="199"/>
      <c r="AG499" s="199"/>
      <c r="AH499" s="199"/>
      <c r="AI499" s="199"/>
      <c r="AJ499" s="199"/>
      <c r="AK499" s="199"/>
      <c r="AL499" s="199"/>
    </row>
    <row r="500" spans="2:38">
      <c r="B500" s="204"/>
      <c r="C500" s="205"/>
      <c r="D500" s="206"/>
      <c r="E500" s="209"/>
      <c r="F500" s="162"/>
      <c r="G500" s="162"/>
      <c r="H500" s="162"/>
      <c r="I500" s="162"/>
      <c r="J500" s="162"/>
      <c r="K500" s="162"/>
      <c r="L500" s="162"/>
      <c r="M500" s="163"/>
      <c r="N500" s="163"/>
      <c r="O500" s="163"/>
      <c r="P500" s="163"/>
      <c r="Q500" s="163"/>
      <c r="R500" s="163"/>
      <c r="S500" s="165"/>
      <c r="T500" s="165"/>
      <c r="U500" s="165"/>
      <c r="V500" s="165"/>
      <c r="W500" s="162"/>
      <c r="X500" s="164"/>
      <c r="Y500" s="162"/>
      <c r="Z500" s="199"/>
      <c r="AA500" s="199"/>
      <c r="AB500" s="199"/>
      <c r="AC500" s="199"/>
      <c r="AD500" s="199"/>
      <c r="AE500" s="199"/>
      <c r="AF500" s="199"/>
      <c r="AG500" s="199"/>
      <c r="AH500" s="199"/>
      <c r="AI500" s="199"/>
      <c r="AJ500" s="199"/>
      <c r="AK500" s="199"/>
      <c r="AL500" s="199"/>
    </row>
    <row r="501" spans="2:38">
      <c r="B501" s="204"/>
      <c r="C501" s="205"/>
      <c r="D501" s="206"/>
      <c r="E501" s="209"/>
      <c r="F501" s="162"/>
      <c r="G501" s="162"/>
      <c r="H501" s="162"/>
      <c r="I501" s="162"/>
      <c r="J501" s="162"/>
      <c r="K501" s="162"/>
      <c r="L501" s="162"/>
      <c r="M501" s="163"/>
      <c r="N501" s="163"/>
      <c r="O501" s="163"/>
      <c r="P501" s="163"/>
      <c r="Q501" s="163"/>
      <c r="R501" s="163"/>
      <c r="S501" s="165"/>
      <c r="T501" s="165"/>
      <c r="U501" s="165"/>
      <c r="V501" s="165"/>
      <c r="W501" s="162"/>
      <c r="X501" s="164"/>
      <c r="Y501" s="162"/>
      <c r="Z501" s="199"/>
      <c r="AA501" s="199"/>
      <c r="AB501" s="199"/>
      <c r="AC501" s="199"/>
      <c r="AD501" s="199"/>
      <c r="AE501" s="199"/>
      <c r="AF501" s="199"/>
      <c r="AG501" s="199"/>
      <c r="AH501" s="199"/>
      <c r="AI501" s="199"/>
      <c r="AJ501" s="199"/>
      <c r="AK501" s="199"/>
      <c r="AL501" s="199"/>
    </row>
    <row r="502" spans="2:38">
      <c r="B502" s="204"/>
      <c r="C502" s="205"/>
      <c r="D502" s="206"/>
      <c r="E502" s="209"/>
      <c r="F502" s="162"/>
      <c r="G502" s="162"/>
      <c r="H502" s="162"/>
      <c r="I502" s="162"/>
      <c r="J502" s="162"/>
      <c r="K502" s="162"/>
      <c r="L502" s="162"/>
      <c r="M502" s="163"/>
      <c r="N502" s="163"/>
      <c r="O502" s="163"/>
      <c r="P502" s="163"/>
      <c r="Q502" s="163"/>
      <c r="R502" s="163"/>
      <c r="S502" s="165"/>
      <c r="T502" s="165"/>
      <c r="U502" s="165"/>
      <c r="V502" s="165"/>
      <c r="W502" s="162"/>
      <c r="X502" s="164"/>
      <c r="Y502" s="162"/>
      <c r="Z502" s="199"/>
      <c r="AA502" s="199"/>
      <c r="AB502" s="199"/>
      <c r="AC502" s="199"/>
      <c r="AD502" s="199"/>
      <c r="AE502" s="199"/>
      <c r="AF502" s="199"/>
      <c r="AG502" s="199"/>
      <c r="AH502" s="199"/>
      <c r="AI502" s="199"/>
      <c r="AJ502" s="199"/>
      <c r="AK502" s="199"/>
      <c r="AL502" s="199"/>
    </row>
    <row r="503" spans="2:38">
      <c r="B503" s="204"/>
      <c r="C503" s="205"/>
      <c r="D503" s="206"/>
      <c r="E503" s="209"/>
      <c r="F503" s="162"/>
      <c r="G503" s="162"/>
      <c r="H503" s="162"/>
      <c r="I503" s="162"/>
      <c r="J503" s="162"/>
      <c r="K503" s="162"/>
      <c r="L503" s="162"/>
      <c r="M503" s="163"/>
      <c r="N503" s="163"/>
      <c r="O503" s="163"/>
      <c r="P503" s="163"/>
      <c r="Q503" s="163"/>
      <c r="R503" s="163"/>
      <c r="S503" s="165"/>
      <c r="T503" s="165"/>
      <c r="U503" s="165"/>
      <c r="V503" s="165"/>
      <c r="W503" s="162"/>
      <c r="X503" s="164"/>
      <c r="Y503" s="162"/>
      <c r="Z503" s="199"/>
      <c r="AA503" s="199"/>
      <c r="AB503" s="199"/>
      <c r="AC503" s="199"/>
      <c r="AD503" s="199"/>
      <c r="AE503" s="199"/>
      <c r="AF503" s="199"/>
      <c r="AG503" s="199"/>
      <c r="AH503" s="199"/>
      <c r="AI503" s="199"/>
      <c r="AJ503" s="199"/>
      <c r="AK503" s="199"/>
      <c r="AL503" s="199"/>
    </row>
    <row r="504" spans="2:38">
      <c r="B504" s="204"/>
      <c r="C504" s="205"/>
      <c r="D504" s="206"/>
      <c r="E504" s="209"/>
      <c r="F504" s="162"/>
      <c r="G504" s="162"/>
      <c r="H504" s="162"/>
      <c r="I504" s="162"/>
      <c r="J504" s="162"/>
      <c r="K504" s="162"/>
      <c r="L504" s="162"/>
      <c r="M504" s="163"/>
      <c r="N504" s="163"/>
      <c r="O504" s="163"/>
      <c r="P504" s="163"/>
      <c r="Q504" s="163"/>
      <c r="R504" s="163"/>
      <c r="S504" s="165"/>
      <c r="T504" s="165"/>
      <c r="U504" s="165"/>
      <c r="V504" s="165"/>
      <c r="W504" s="162"/>
      <c r="X504" s="164"/>
      <c r="Y504" s="162"/>
      <c r="Z504" s="199"/>
      <c r="AA504" s="199"/>
      <c r="AB504" s="199"/>
      <c r="AC504" s="199"/>
      <c r="AD504" s="199"/>
      <c r="AE504" s="199"/>
      <c r="AF504" s="199"/>
      <c r="AG504" s="199"/>
      <c r="AH504" s="199"/>
      <c r="AI504" s="199"/>
      <c r="AJ504" s="199"/>
      <c r="AK504" s="199"/>
      <c r="AL504" s="199"/>
    </row>
    <row r="505" spans="2:38">
      <c r="B505" s="204"/>
      <c r="C505" s="205"/>
      <c r="D505" s="206"/>
      <c r="E505" s="209"/>
      <c r="F505" s="162"/>
      <c r="G505" s="162"/>
      <c r="H505" s="162"/>
      <c r="I505" s="162"/>
      <c r="J505" s="162"/>
      <c r="K505" s="162"/>
      <c r="L505" s="162"/>
      <c r="M505" s="163"/>
      <c r="N505" s="163"/>
      <c r="O505" s="163"/>
      <c r="P505" s="163"/>
      <c r="Q505" s="163"/>
      <c r="R505" s="163"/>
      <c r="S505" s="165"/>
      <c r="T505" s="165"/>
      <c r="U505" s="165"/>
      <c r="V505" s="165"/>
      <c r="W505" s="162"/>
      <c r="X505" s="164"/>
      <c r="Y505" s="162"/>
      <c r="Z505" s="199"/>
      <c r="AA505" s="199"/>
      <c r="AB505" s="199"/>
      <c r="AC505" s="199"/>
      <c r="AD505" s="199"/>
      <c r="AE505" s="199"/>
      <c r="AF505" s="199"/>
      <c r="AG505" s="199"/>
      <c r="AH505" s="199"/>
      <c r="AI505" s="199"/>
      <c r="AJ505" s="199"/>
      <c r="AK505" s="199"/>
      <c r="AL505" s="199"/>
    </row>
    <row r="506" spans="2:38">
      <c r="B506" s="204"/>
      <c r="C506" s="205"/>
      <c r="D506" s="206"/>
      <c r="E506" s="209"/>
      <c r="F506" s="162"/>
      <c r="G506" s="162"/>
      <c r="H506" s="162"/>
      <c r="I506" s="162"/>
      <c r="J506" s="162"/>
      <c r="K506" s="162"/>
      <c r="L506" s="162"/>
      <c r="M506" s="163"/>
      <c r="N506" s="163"/>
      <c r="O506" s="163"/>
      <c r="P506" s="163"/>
      <c r="Q506" s="163"/>
      <c r="R506" s="163"/>
      <c r="S506" s="165"/>
      <c r="T506" s="165"/>
      <c r="U506" s="165"/>
      <c r="V506" s="165"/>
      <c r="W506" s="162"/>
      <c r="X506" s="164"/>
      <c r="Y506" s="162"/>
      <c r="Z506" s="199"/>
      <c r="AA506" s="199"/>
      <c r="AB506" s="199"/>
      <c r="AC506" s="199"/>
      <c r="AD506" s="199"/>
      <c r="AE506" s="199"/>
      <c r="AF506" s="199"/>
      <c r="AG506" s="199"/>
      <c r="AH506" s="199"/>
      <c r="AI506" s="199"/>
      <c r="AJ506" s="199"/>
      <c r="AK506" s="199"/>
      <c r="AL506" s="199"/>
    </row>
    <row r="507" spans="2:38">
      <c r="B507" s="204"/>
      <c r="C507" s="205"/>
      <c r="D507" s="206"/>
      <c r="E507" s="209"/>
      <c r="F507" s="162"/>
      <c r="G507" s="162"/>
      <c r="H507" s="162"/>
      <c r="I507" s="162"/>
      <c r="J507" s="162"/>
      <c r="K507" s="162"/>
      <c r="L507" s="162"/>
      <c r="M507" s="163"/>
      <c r="N507" s="163"/>
      <c r="O507" s="163"/>
      <c r="P507" s="163"/>
      <c r="Q507" s="163"/>
      <c r="R507" s="163"/>
      <c r="S507" s="165"/>
      <c r="T507" s="165"/>
      <c r="U507" s="165"/>
      <c r="V507" s="165"/>
      <c r="W507" s="162"/>
      <c r="X507" s="164"/>
      <c r="Y507" s="162"/>
      <c r="Z507" s="199"/>
      <c r="AA507" s="199"/>
      <c r="AB507" s="199"/>
      <c r="AC507" s="199"/>
      <c r="AD507" s="199"/>
      <c r="AE507" s="199"/>
      <c r="AF507" s="199"/>
      <c r="AG507" s="199"/>
      <c r="AH507" s="199"/>
      <c r="AI507" s="199"/>
      <c r="AJ507" s="199"/>
      <c r="AK507" s="199"/>
      <c r="AL507" s="199"/>
    </row>
    <row r="508" spans="2:38">
      <c r="B508" s="204"/>
      <c r="C508" s="205"/>
      <c r="D508" s="206"/>
      <c r="E508" s="209"/>
      <c r="F508" s="162"/>
      <c r="G508" s="162"/>
      <c r="H508" s="162"/>
      <c r="I508" s="162"/>
      <c r="J508" s="162"/>
      <c r="K508" s="162"/>
      <c r="L508" s="162"/>
      <c r="M508" s="163"/>
      <c r="N508" s="163"/>
      <c r="O508" s="163"/>
      <c r="P508" s="163"/>
      <c r="Q508" s="163"/>
      <c r="R508" s="163"/>
      <c r="S508" s="165"/>
      <c r="T508" s="165"/>
      <c r="U508" s="165"/>
      <c r="V508" s="165"/>
      <c r="W508" s="162"/>
      <c r="X508" s="164"/>
      <c r="Y508" s="162"/>
      <c r="Z508" s="199"/>
      <c r="AA508" s="199"/>
      <c r="AB508" s="199"/>
      <c r="AC508" s="199"/>
      <c r="AD508" s="199"/>
      <c r="AE508" s="199"/>
      <c r="AF508" s="199"/>
      <c r="AG508" s="199"/>
      <c r="AH508" s="199"/>
      <c r="AI508" s="199"/>
      <c r="AJ508" s="199"/>
      <c r="AK508" s="199"/>
      <c r="AL508" s="199"/>
    </row>
    <row r="509" spans="2:38">
      <c r="B509" s="204"/>
      <c r="C509" s="205"/>
      <c r="D509" s="206"/>
      <c r="E509" s="209"/>
      <c r="F509" s="162"/>
      <c r="G509" s="162"/>
      <c r="H509" s="162"/>
      <c r="I509" s="162"/>
      <c r="J509" s="162"/>
      <c r="K509" s="162"/>
      <c r="L509" s="162"/>
      <c r="M509" s="163"/>
      <c r="N509" s="163"/>
      <c r="O509" s="163"/>
      <c r="P509" s="163"/>
      <c r="Q509" s="163"/>
      <c r="R509" s="163"/>
      <c r="S509" s="165"/>
      <c r="T509" s="165"/>
      <c r="U509" s="165"/>
      <c r="V509" s="165"/>
      <c r="W509" s="162"/>
      <c r="X509" s="164"/>
      <c r="Y509" s="162"/>
      <c r="Z509" s="199"/>
      <c r="AA509" s="199"/>
      <c r="AB509" s="199"/>
      <c r="AC509" s="199"/>
      <c r="AD509" s="199"/>
      <c r="AE509" s="199"/>
      <c r="AF509" s="199"/>
      <c r="AG509" s="199"/>
      <c r="AH509" s="199"/>
      <c r="AI509" s="199"/>
      <c r="AJ509" s="199"/>
      <c r="AK509" s="199"/>
      <c r="AL509" s="199"/>
    </row>
    <row r="510" spans="2:38">
      <c r="B510" s="204"/>
      <c r="C510" s="205"/>
      <c r="D510" s="206"/>
      <c r="E510" s="209"/>
      <c r="F510" s="162"/>
      <c r="G510" s="162"/>
      <c r="H510" s="162"/>
      <c r="I510" s="162"/>
      <c r="J510" s="162"/>
      <c r="K510" s="162"/>
      <c r="L510" s="162"/>
      <c r="M510" s="163"/>
      <c r="N510" s="163"/>
      <c r="O510" s="163"/>
      <c r="P510" s="163"/>
      <c r="Q510" s="163"/>
      <c r="R510" s="163"/>
      <c r="S510" s="165"/>
      <c r="T510" s="165"/>
      <c r="U510" s="165"/>
      <c r="V510" s="165"/>
      <c r="W510" s="162"/>
      <c r="X510" s="164"/>
      <c r="Y510" s="162"/>
      <c r="Z510" s="199"/>
      <c r="AA510" s="199"/>
      <c r="AB510" s="199"/>
      <c r="AC510" s="199"/>
      <c r="AD510" s="199"/>
      <c r="AE510" s="199"/>
      <c r="AF510" s="199"/>
      <c r="AG510" s="199"/>
      <c r="AH510" s="199"/>
      <c r="AI510" s="199"/>
      <c r="AJ510" s="199"/>
      <c r="AK510" s="199"/>
      <c r="AL510" s="199"/>
    </row>
    <row r="511" spans="2:38">
      <c r="B511" s="204"/>
      <c r="C511" s="205"/>
      <c r="D511" s="206"/>
      <c r="E511" s="209"/>
      <c r="F511" s="162"/>
      <c r="G511" s="162"/>
      <c r="H511" s="162"/>
      <c r="I511" s="162"/>
      <c r="J511" s="162"/>
      <c r="K511" s="162"/>
      <c r="L511" s="162"/>
      <c r="M511" s="163"/>
      <c r="N511" s="163"/>
      <c r="O511" s="163"/>
      <c r="P511" s="163"/>
      <c r="Q511" s="163"/>
      <c r="R511" s="163"/>
      <c r="S511" s="165"/>
      <c r="T511" s="165"/>
      <c r="U511" s="165"/>
      <c r="V511" s="165"/>
      <c r="W511" s="162"/>
      <c r="X511" s="164"/>
      <c r="Y511" s="162"/>
      <c r="Z511" s="199"/>
      <c r="AA511" s="199"/>
      <c r="AB511" s="199"/>
      <c r="AC511" s="199"/>
      <c r="AD511" s="199"/>
      <c r="AE511" s="199"/>
      <c r="AF511" s="199"/>
      <c r="AG511" s="199"/>
      <c r="AH511" s="199"/>
      <c r="AI511" s="199"/>
      <c r="AJ511" s="199"/>
      <c r="AK511" s="199"/>
      <c r="AL511" s="199"/>
    </row>
    <row r="512" spans="2:38">
      <c r="B512" s="204"/>
      <c r="C512" s="205"/>
      <c r="D512" s="206"/>
      <c r="E512" s="209"/>
      <c r="F512" s="162"/>
      <c r="G512" s="162"/>
      <c r="H512" s="162"/>
      <c r="I512" s="162"/>
      <c r="J512" s="162"/>
      <c r="K512" s="162"/>
      <c r="L512" s="162"/>
      <c r="M512" s="163"/>
      <c r="N512" s="163"/>
      <c r="O512" s="163"/>
      <c r="P512" s="163"/>
      <c r="Q512" s="163"/>
      <c r="R512" s="163"/>
      <c r="S512" s="164"/>
      <c r="T512" s="165"/>
      <c r="U512" s="165"/>
      <c r="V512" s="165"/>
      <c r="W512" s="162"/>
      <c r="X512" s="164"/>
      <c r="Y512" s="162"/>
      <c r="Z512" s="199"/>
      <c r="AA512" s="199"/>
      <c r="AB512" s="199"/>
      <c r="AC512" s="199"/>
      <c r="AD512" s="199"/>
      <c r="AE512" s="199"/>
      <c r="AF512" s="199"/>
      <c r="AG512" s="199"/>
      <c r="AH512" s="199"/>
      <c r="AI512" s="199"/>
      <c r="AJ512" s="199"/>
      <c r="AK512" s="199"/>
      <c r="AL512" s="199"/>
    </row>
    <row r="513" spans="2:25">
      <c r="B513" s="204"/>
      <c r="C513" s="205"/>
      <c r="D513" s="206"/>
      <c r="E513" s="209"/>
      <c r="F513" s="162"/>
      <c r="G513" s="162"/>
      <c r="H513" s="162"/>
      <c r="I513" s="162"/>
      <c r="J513" s="162"/>
      <c r="K513" s="162"/>
      <c r="L513" s="162"/>
      <c r="M513" s="163"/>
      <c r="N513" s="163"/>
      <c r="O513" s="163"/>
      <c r="P513" s="163"/>
      <c r="Q513" s="163"/>
      <c r="R513" s="163"/>
      <c r="S513" s="165"/>
      <c r="T513" s="165"/>
      <c r="U513" s="165"/>
      <c r="V513" s="165"/>
      <c r="W513" s="162"/>
      <c r="X513" s="164"/>
      <c r="Y513" s="162"/>
    </row>
    <row r="514" spans="2:25">
      <c r="B514" s="204"/>
      <c r="C514" s="205"/>
      <c r="D514" s="206"/>
      <c r="E514" s="209"/>
      <c r="F514" s="162"/>
      <c r="G514" s="162"/>
      <c r="H514" s="162"/>
      <c r="I514" s="162"/>
      <c r="J514" s="162"/>
      <c r="K514" s="162"/>
      <c r="L514" s="162"/>
      <c r="M514" s="163"/>
      <c r="N514" s="163"/>
      <c r="O514" s="163"/>
      <c r="P514" s="163"/>
      <c r="Q514" s="163"/>
      <c r="R514" s="163"/>
      <c r="S514" s="165"/>
      <c r="T514" s="165"/>
      <c r="U514" s="165"/>
      <c r="V514" s="165"/>
      <c r="W514" s="162"/>
      <c r="X514" s="164"/>
      <c r="Y514" s="162"/>
    </row>
    <row r="515" spans="2:25">
      <c r="B515" s="204"/>
      <c r="C515" s="205"/>
      <c r="D515" s="206"/>
      <c r="E515" s="209"/>
      <c r="F515" s="162"/>
      <c r="G515" s="162"/>
      <c r="H515" s="162"/>
      <c r="I515" s="162"/>
      <c r="J515" s="162"/>
      <c r="K515" s="162"/>
      <c r="L515" s="162"/>
      <c r="M515" s="163"/>
      <c r="N515" s="163"/>
      <c r="O515" s="163"/>
      <c r="P515" s="163"/>
      <c r="Q515" s="163"/>
      <c r="R515" s="163"/>
      <c r="S515" s="164"/>
      <c r="T515" s="165"/>
      <c r="U515" s="165"/>
      <c r="V515" s="165"/>
      <c r="W515" s="162"/>
      <c r="X515" s="164"/>
      <c r="Y515" s="162"/>
    </row>
    <row r="516" spans="2:25">
      <c r="B516" s="204"/>
      <c r="C516" s="205"/>
      <c r="D516" s="206"/>
      <c r="E516" s="209"/>
      <c r="F516" s="162"/>
      <c r="G516" s="162"/>
      <c r="H516" s="162"/>
      <c r="I516" s="162"/>
      <c r="J516" s="162"/>
      <c r="K516" s="162"/>
      <c r="L516" s="162"/>
      <c r="M516" s="163"/>
      <c r="N516" s="163"/>
      <c r="O516" s="163"/>
      <c r="P516" s="163"/>
      <c r="Q516" s="163"/>
      <c r="R516" s="163"/>
      <c r="S516" s="165"/>
      <c r="T516" s="165"/>
      <c r="U516" s="165"/>
      <c r="V516" s="165"/>
      <c r="W516" s="162"/>
      <c r="X516" s="164"/>
      <c r="Y516" s="162"/>
    </row>
    <row r="517" spans="2:25">
      <c r="B517" s="204"/>
      <c r="C517" s="205"/>
      <c r="D517" s="206"/>
      <c r="E517" s="209"/>
      <c r="F517" s="162"/>
      <c r="G517" s="162"/>
      <c r="H517" s="162"/>
      <c r="I517" s="162"/>
      <c r="J517" s="162"/>
      <c r="K517" s="162"/>
      <c r="L517" s="162"/>
      <c r="M517" s="163"/>
      <c r="N517" s="163"/>
      <c r="O517" s="163"/>
      <c r="P517" s="163"/>
      <c r="Q517" s="163"/>
      <c r="R517" s="163"/>
      <c r="S517" s="165"/>
      <c r="T517" s="165"/>
      <c r="U517" s="165"/>
      <c r="V517" s="165"/>
      <c r="W517" s="162"/>
      <c r="X517" s="164"/>
      <c r="Y517" s="162"/>
    </row>
    <row r="518" spans="2:25">
      <c r="B518" s="204"/>
      <c r="C518" s="205"/>
      <c r="D518" s="206"/>
      <c r="E518" s="209"/>
      <c r="F518" s="162"/>
      <c r="G518" s="162"/>
      <c r="H518" s="162"/>
      <c r="I518" s="162"/>
      <c r="J518" s="162"/>
      <c r="K518" s="162"/>
      <c r="L518" s="162"/>
      <c r="M518" s="163"/>
      <c r="N518" s="163"/>
      <c r="O518" s="163"/>
      <c r="P518" s="163"/>
      <c r="Q518" s="163"/>
      <c r="R518" s="163"/>
      <c r="S518" s="165"/>
      <c r="T518" s="165"/>
      <c r="U518" s="165"/>
      <c r="V518" s="165"/>
      <c r="W518" s="162"/>
      <c r="X518" s="165"/>
      <c r="Y518" s="162"/>
    </row>
    <row r="519" spans="2:25">
      <c r="B519" s="204"/>
      <c r="C519" s="205"/>
      <c r="D519" s="206"/>
      <c r="E519" s="209"/>
      <c r="F519" s="162"/>
      <c r="G519" s="162"/>
      <c r="H519" s="162"/>
      <c r="I519" s="162"/>
      <c r="J519" s="162"/>
      <c r="K519" s="162"/>
      <c r="L519" s="162"/>
      <c r="M519" s="163"/>
      <c r="N519" s="163"/>
      <c r="O519" s="163"/>
      <c r="P519" s="163"/>
      <c r="Q519" s="163"/>
      <c r="R519" s="163"/>
      <c r="S519" s="165"/>
      <c r="T519" s="165"/>
      <c r="U519" s="165"/>
      <c r="V519" s="165"/>
      <c r="W519" s="162"/>
      <c r="X519" s="164"/>
      <c r="Y519" s="162"/>
    </row>
    <row r="520" spans="2:25">
      <c r="B520" s="204"/>
      <c r="C520" s="205"/>
      <c r="D520" s="206"/>
      <c r="E520" s="209"/>
      <c r="F520" s="162"/>
      <c r="G520" s="162"/>
      <c r="H520" s="162"/>
      <c r="I520" s="162"/>
      <c r="J520" s="162"/>
      <c r="K520" s="162"/>
      <c r="L520" s="162"/>
      <c r="M520" s="163"/>
      <c r="N520" s="163"/>
      <c r="O520" s="163"/>
      <c r="P520" s="163"/>
      <c r="Q520" s="163"/>
      <c r="R520" s="163"/>
      <c r="S520" s="165"/>
      <c r="T520" s="165"/>
      <c r="U520" s="165"/>
      <c r="V520" s="165"/>
      <c r="W520" s="162"/>
      <c r="X520" s="164"/>
      <c r="Y520" s="162"/>
    </row>
    <row r="521" spans="2:25">
      <c r="B521" s="204"/>
      <c r="C521" s="205"/>
      <c r="D521" s="206"/>
      <c r="E521" s="209"/>
      <c r="F521" s="162"/>
      <c r="G521" s="162"/>
      <c r="H521" s="162"/>
      <c r="I521" s="162"/>
      <c r="J521" s="162"/>
      <c r="K521" s="162"/>
      <c r="L521" s="162"/>
      <c r="M521" s="163"/>
      <c r="N521" s="163"/>
      <c r="O521" s="163"/>
      <c r="P521" s="163"/>
      <c r="Q521" s="163"/>
      <c r="R521" s="163"/>
      <c r="S521" s="165"/>
      <c r="T521" s="165"/>
      <c r="U521" s="165"/>
      <c r="V521" s="165"/>
      <c r="W521" s="162"/>
      <c r="X521" s="165"/>
      <c r="Y521" s="162"/>
    </row>
    <row r="522" spans="2:25">
      <c r="B522" s="204"/>
      <c r="C522" s="205"/>
      <c r="D522" s="206"/>
      <c r="E522" s="209"/>
      <c r="F522" s="162"/>
      <c r="G522" s="162"/>
      <c r="H522" s="162"/>
      <c r="I522" s="162"/>
      <c r="J522" s="162"/>
      <c r="K522" s="162"/>
      <c r="L522" s="162"/>
      <c r="M522" s="163"/>
      <c r="N522" s="163"/>
      <c r="O522" s="163"/>
      <c r="P522" s="163"/>
      <c r="Q522" s="163"/>
      <c r="R522" s="163"/>
      <c r="S522" s="165"/>
      <c r="T522" s="165"/>
      <c r="U522" s="165"/>
      <c r="V522" s="165"/>
      <c r="W522" s="162"/>
      <c r="X522" s="164"/>
      <c r="Y522" s="162"/>
    </row>
    <row r="523" spans="2:25">
      <c r="B523" s="204"/>
      <c r="C523" s="205"/>
      <c r="D523" s="206"/>
      <c r="E523" s="209"/>
      <c r="F523" s="162"/>
      <c r="G523" s="162"/>
      <c r="H523" s="162"/>
      <c r="I523" s="162"/>
      <c r="J523" s="162"/>
      <c r="K523" s="162"/>
      <c r="L523" s="162"/>
      <c r="M523" s="163"/>
      <c r="N523" s="163"/>
      <c r="O523" s="163"/>
      <c r="P523" s="163"/>
      <c r="Q523" s="163"/>
      <c r="R523" s="163"/>
      <c r="S523" s="165"/>
      <c r="T523" s="165"/>
      <c r="U523" s="165"/>
      <c r="V523" s="165"/>
      <c r="W523" s="162"/>
      <c r="X523" s="164"/>
      <c r="Y523" s="162"/>
    </row>
    <row r="524" spans="2:25">
      <c r="B524" s="204"/>
      <c r="C524" s="205"/>
      <c r="D524" s="206"/>
      <c r="E524" s="209"/>
      <c r="F524" s="162"/>
      <c r="G524" s="162"/>
      <c r="H524" s="162"/>
      <c r="I524" s="162"/>
      <c r="J524" s="162"/>
      <c r="K524" s="162"/>
      <c r="L524" s="162"/>
      <c r="M524" s="163"/>
      <c r="N524" s="163"/>
      <c r="O524" s="163"/>
      <c r="P524" s="163"/>
      <c r="Q524" s="163"/>
      <c r="R524" s="163"/>
      <c r="S524" s="165"/>
      <c r="T524" s="165"/>
      <c r="U524" s="165"/>
      <c r="V524" s="165"/>
      <c r="W524" s="162"/>
      <c r="X524" s="164"/>
      <c r="Y524" s="162"/>
    </row>
    <row r="525" spans="2:25">
      <c r="B525" s="204"/>
      <c r="C525" s="205"/>
      <c r="D525" s="206"/>
      <c r="E525" s="209"/>
      <c r="F525" s="162"/>
      <c r="G525" s="162"/>
      <c r="H525" s="162"/>
      <c r="I525" s="162"/>
      <c r="J525" s="162"/>
      <c r="K525" s="162"/>
      <c r="L525" s="162"/>
      <c r="M525" s="163"/>
      <c r="N525" s="163"/>
      <c r="O525" s="163"/>
      <c r="P525" s="163"/>
      <c r="Q525" s="163"/>
      <c r="R525" s="163"/>
      <c r="S525" s="165"/>
      <c r="T525" s="165"/>
      <c r="U525" s="165"/>
      <c r="V525" s="165"/>
      <c r="W525" s="162"/>
      <c r="X525" s="164"/>
      <c r="Y525" s="162"/>
    </row>
    <row r="526" spans="2:25">
      <c r="B526" s="204"/>
      <c r="C526" s="205"/>
      <c r="D526" s="206"/>
      <c r="E526" s="209"/>
      <c r="F526" s="162"/>
      <c r="G526" s="162"/>
      <c r="H526" s="162"/>
      <c r="I526" s="162"/>
      <c r="J526" s="162"/>
      <c r="K526" s="162"/>
      <c r="L526" s="162"/>
      <c r="M526" s="163"/>
      <c r="N526" s="163"/>
      <c r="O526" s="163"/>
      <c r="P526" s="163"/>
      <c r="Q526" s="163"/>
      <c r="R526" s="163"/>
      <c r="S526" s="165"/>
      <c r="T526" s="165"/>
      <c r="U526" s="165"/>
      <c r="V526" s="165"/>
      <c r="W526" s="162"/>
      <c r="X526" s="164"/>
      <c r="Y526" s="162"/>
    </row>
    <row r="527" spans="2:25">
      <c r="B527" s="204"/>
      <c r="C527" s="205"/>
      <c r="D527" s="206"/>
      <c r="E527" s="209"/>
      <c r="F527" s="162"/>
      <c r="G527" s="162"/>
      <c r="H527" s="162"/>
      <c r="I527" s="162"/>
      <c r="J527" s="162"/>
      <c r="K527" s="162"/>
      <c r="L527" s="162"/>
      <c r="M527" s="163"/>
      <c r="N527" s="163"/>
      <c r="O527" s="163"/>
      <c r="P527" s="163"/>
      <c r="Q527" s="163"/>
      <c r="R527" s="163"/>
      <c r="S527" s="165"/>
      <c r="T527" s="165"/>
      <c r="U527" s="165"/>
      <c r="V527" s="165"/>
      <c r="W527" s="162"/>
      <c r="X527" s="164"/>
      <c r="Y527" s="162"/>
    </row>
    <row r="528" spans="2:25">
      <c r="B528" s="204"/>
      <c r="C528" s="205"/>
      <c r="D528" s="206"/>
      <c r="E528" s="209"/>
      <c r="F528" s="162"/>
      <c r="G528" s="162"/>
      <c r="H528" s="162"/>
      <c r="I528" s="162"/>
      <c r="J528" s="162"/>
      <c r="K528" s="162"/>
      <c r="L528" s="162"/>
      <c r="M528" s="163"/>
      <c r="N528" s="163"/>
      <c r="O528" s="163"/>
      <c r="P528" s="163"/>
      <c r="Q528" s="163"/>
      <c r="R528" s="163"/>
      <c r="S528" s="165"/>
      <c r="T528" s="165"/>
      <c r="U528" s="165"/>
      <c r="V528" s="165"/>
      <c r="W528" s="162"/>
      <c r="X528" s="164"/>
      <c r="Y528" s="162"/>
    </row>
    <row r="529" spans="2:25">
      <c r="B529" s="204"/>
      <c r="C529" s="205"/>
      <c r="D529" s="206"/>
      <c r="E529" s="209"/>
      <c r="F529" s="162"/>
      <c r="G529" s="162"/>
      <c r="H529" s="162"/>
      <c r="I529" s="162"/>
      <c r="J529" s="162"/>
      <c r="K529" s="162"/>
      <c r="L529" s="162"/>
      <c r="M529" s="163"/>
      <c r="N529" s="163"/>
      <c r="O529" s="163"/>
      <c r="P529" s="163"/>
      <c r="Q529" s="163"/>
      <c r="R529" s="163"/>
      <c r="S529" s="165"/>
      <c r="T529" s="165"/>
      <c r="U529" s="165"/>
      <c r="V529" s="165"/>
      <c r="W529" s="162"/>
      <c r="X529" s="164"/>
      <c r="Y529" s="162"/>
    </row>
    <row r="530" ht="17.6" spans="2:25">
      <c r="B530" s="204"/>
      <c r="C530" s="205"/>
      <c r="D530" s="206"/>
      <c r="E530" s="209"/>
      <c r="F530" s="210"/>
      <c r="G530" s="210"/>
      <c r="H530" s="211"/>
      <c r="I530" s="199"/>
      <c r="J530" s="199"/>
      <c r="K530" s="199"/>
      <c r="L530" s="199"/>
      <c r="M530" s="199"/>
      <c r="N530" s="199"/>
      <c r="O530" s="199"/>
      <c r="P530" s="199"/>
      <c r="Q530" s="199"/>
      <c r="R530" s="199"/>
      <c r="S530" s="199"/>
      <c r="T530" s="199"/>
      <c r="U530" s="199"/>
      <c r="V530" s="199"/>
      <c r="W530" s="199"/>
      <c r="X530" s="199"/>
      <c r="Y530" s="199"/>
    </row>
    <row r="531" spans="2:25">
      <c r="B531" s="204"/>
      <c r="C531" s="205"/>
      <c r="D531" s="206"/>
      <c r="E531" s="209"/>
      <c r="F531" s="162"/>
      <c r="G531" s="162"/>
      <c r="H531" s="162"/>
      <c r="I531" s="162"/>
      <c r="J531" s="162"/>
      <c r="K531" s="162"/>
      <c r="L531" s="162"/>
      <c r="M531" s="163"/>
      <c r="N531" s="163"/>
      <c r="O531" s="163"/>
      <c r="P531" s="163"/>
      <c r="Q531" s="163"/>
      <c r="R531" s="163"/>
      <c r="S531" s="165"/>
      <c r="T531" s="165"/>
      <c r="U531" s="165"/>
      <c r="V531" s="165"/>
      <c r="W531" s="162"/>
      <c r="X531" s="164"/>
      <c r="Y531" s="162"/>
    </row>
    <row r="532" spans="2:25">
      <c r="B532" s="204"/>
      <c r="C532" s="205"/>
      <c r="D532" s="206"/>
      <c r="E532" s="209"/>
      <c r="F532" s="162"/>
      <c r="G532" s="162"/>
      <c r="H532" s="162"/>
      <c r="I532" s="162"/>
      <c r="J532" s="162"/>
      <c r="K532" s="162"/>
      <c r="L532" s="162"/>
      <c r="M532" s="163"/>
      <c r="N532" s="163"/>
      <c r="O532" s="163"/>
      <c r="P532" s="163"/>
      <c r="Q532" s="163"/>
      <c r="R532" s="163"/>
      <c r="S532" s="165"/>
      <c r="T532" s="165"/>
      <c r="U532" s="165"/>
      <c r="V532" s="165"/>
      <c r="W532" s="162"/>
      <c r="X532" s="164"/>
      <c r="Y532" s="162"/>
    </row>
    <row r="533" spans="2:25">
      <c r="B533" s="204"/>
      <c r="C533" s="205"/>
      <c r="D533" s="206"/>
      <c r="E533" s="209"/>
      <c r="F533" s="162"/>
      <c r="G533" s="162"/>
      <c r="H533" s="162"/>
      <c r="I533" s="162"/>
      <c r="J533" s="162"/>
      <c r="K533" s="162"/>
      <c r="L533" s="162"/>
      <c r="M533" s="163"/>
      <c r="N533" s="163"/>
      <c r="O533" s="163"/>
      <c r="P533" s="163"/>
      <c r="Q533" s="163"/>
      <c r="R533" s="163"/>
      <c r="S533" s="165"/>
      <c r="T533" s="165"/>
      <c r="U533" s="165"/>
      <c r="V533" s="165"/>
      <c r="W533" s="162"/>
      <c r="X533" s="164"/>
      <c r="Y533" s="162"/>
    </row>
    <row r="534" spans="2:25">
      <c r="B534" s="204"/>
      <c r="C534" s="205"/>
      <c r="D534" s="206"/>
      <c r="E534" s="209"/>
      <c r="F534" s="162"/>
      <c r="G534" s="162"/>
      <c r="H534" s="162"/>
      <c r="I534" s="162"/>
      <c r="J534" s="162"/>
      <c r="K534" s="162"/>
      <c r="L534" s="162"/>
      <c r="M534" s="163"/>
      <c r="N534" s="163"/>
      <c r="O534" s="163"/>
      <c r="P534" s="163"/>
      <c r="Q534" s="163"/>
      <c r="R534" s="163"/>
      <c r="S534" s="165"/>
      <c r="T534" s="165"/>
      <c r="U534" s="165"/>
      <c r="V534" s="165"/>
      <c r="W534" s="162"/>
      <c r="X534" s="164"/>
      <c r="Y534" s="162"/>
    </row>
    <row r="535" spans="2:25">
      <c r="B535" s="204"/>
      <c r="C535" s="205"/>
      <c r="D535" s="206"/>
      <c r="E535" s="209"/>
      <c r="F535" s="162"/>
      <c r="G535" s="162"/>
      <c r="H535" s="162"/>
      <c r="I535" s="162"/>
      <c r="J535" s="162"/>
      <c r="K535" s="162"/>
      <c r="L535" s="162"/>
      <c r="M535" s="163"/>
      <c r="N535" s="163"/>
      <c r="O535" s="163"/>
      <c r="P535" s="163"/>
      <c r="Q535" s="163"/>
      <c r="R535" s="163"/>
      <c r="S535" s="165"/>
      <c r="T535" s="165"/>
      <c r="U535" s="165"/>
      <c r="V535" s="165"/>
      <c r="W535" s="162"/>
      <c r="X535" s="164"/>
      <c r="Y535" s="162"/>
    </row>
    <row r="536" spans="2:25">
      <c r="B536" s="204"/>
      <c r="C536" s="205"/>
      <c r="D536" s="206"/>
      <c r="E536" s="209"/>
      <c r="F536" s="162"/>
      <c r="G536" s="162"/>
      <c r="H536" s="162"/>
      <c r="I536" s="162"/>
      <c r="J536" s="162"/>
      <c r="K536" s="162"/>
      <c r="L536" s="162"/>
      <c r="M536" s="163"/>
      <c r="N536" s="163"/>
      <c r="O536" s="163"/>
      <c r="P536" s="163"/>
      <c r="Q536" s="163"/>
      <c r="R536" s="163"/>
      <c r="S536" s="165"/>
      <c r="T536" s="165"/>
      <c r="U536" s="165"/>
      <c r="V536" s="165"/>
      <c r="W536" s="162"/>
      <c r="X536" s="164"/>
      <c r="Y536" s="162"/>
    </row>
    <row r="537" spans="2:25">
      <c r="B537" s="204"/>
      <c r="C537" s="205"/>
      <c r="D537" s="206"/>
      <c r="E537" s="209"/>
      <c r="F537" s="162"/>
      <c r="G537" s="162"/>
      <c r="H537" s="162"/>
      <c r="I537" s="162"/>
      <c r="J537" s="162"/>
      <c r="K537" s="162"/>
      <c r="L537" s="162"/>
      <c r="M537" s="163"/>
      <c r="N537" s="163"/>
      <c r="O537" s="163"/>
      <c r="P537" s="163"/>
      <c r="Q537" s="163"/>
      <c r="R537" s="163"/>
      <c r="S537" s="165"/>
      <c r="T537" s="165"/>
      <c r="U537" s="165"/>
      <c r="V537" s="165"/>
      <c r="W537" s="162"/>
      <c r="X537" s="164"/>
      <c r="Y537" s="162"/>
    </row>
    <row r="538" spans="2:25">
      <c r="B538" s="204"/>
      <c r="C538" s="205"/>
      <c r="D538" s="206"/>
      <c r="E538" s="209"/>
      <c r="F538" s="162"/>
      <c r="G538" s="162"/>
      <c r="H538" s="162"/>
      <c r="I538" s="162"/>
      <c r="J538" s="162"/>
      <c r="K538" s="162"/>
      <c r="L538" s="162"/>
      <c r="M538" s="163"/>
      <c r="N538" s="163"/>
      <c r="O538" s="163"/>
      <c r="P538" s="163"/>
      <c r="Q538" s="163"/>
      <c r="R538" s="163"/>
      <c r="S538" s="165"/>
      <c r="T538" s="165"/>
      <c r="U538" s="165"/>
      <c r="V538" s="165"/>
      <c r="W538" s="162"/>
      <c r="X538" s="164"/>
      <c r="Y538" s="162"/>
    </row>
    <row r="539" spans="2:25">
      <c r="B539" s="204"/>
      <c r="C539" s="205"/>
      <c r="D539" s="206"/>
      <c r="E539" s="209"/>
      <c r="F539" s="162"/>
      <c r="G539" s="162"/>
      <c r="H539" s="162"/>
      <c r="I539" s="162"/>
      <c r="J539" s="162"/>
      <c r="K539" s="162"/>
      <c r="L539" s="162"/>
      <c r="M539" s="163"/>
      <c r="N539" s="163"/>
      <c r="O539" s="163"/>
      <c r="P539" s="163"/>
      <c r="Q539" s="163"/>
      <c r="R539" s="163"/>
      <c r="S539" s="165"/>
      <c r="T539" s="165"/>
      <c r="U539" s="165"/>
      <c r="V539" s="165"/>
      <c r="W539" s="162"/>
      <c r="X539" s="164"/>
      <c r="Y539" s="162"/>
    </row>
    <row r="540" spans="2:25">
      <c r="B540" s="204"/>
      <c r="C540" s="205"/>
      <c r="D540" s="206"/>
      <c r="E540" s="209"/>
      <c r="F540" s="162"/>
      <c r="G540" s="162"/>
      <c r="H540" s="162"/>
      <c r="I540" s="162"/>
      <c r="J540" s="162"/>
      <c r="K540" s="162"/>
      <c r="L540" s="162"/>
      <c r="M540" s="163"/>
      <c r="N540" s="163"/>
      <c r="O540" s="163"/>
      <c r="P540" s="163"/>
      <c r="Q540" s="163"/>
      <c r="R540" s="163"/>
      <c r="S540" s="165"/>
      <c r="T540" s="165"/>
      <c r="U540" s="165"/>
      <c r="V540" s="165"/>
      <c r="W540" s="162"/>
      <c r="X540" s="165"/>
      <c r="Y540" s="162"/>
    </row>
    <row r="541" spans="2:25">
      <c r="B541" s="204"/>
      <c r="C541" s="205"/>
      <c r="D541" s="206"/>
      <c r="E541" s="209"/>
      <c r="F541" s="162"/>
      <c r="G541" s="162"/>
      <c r="H541" s="162"/>
      <c r="I541" s="162"/>
      <c r="J541" s="162"/>
      <c r="K541" s="162"/>
      <c r="L541" s="162"/>
      <c r="M541" s="163"/>
      <c r="N541" s="163"/>
      <c r="O541" s="163"/>
      <c r="P541" s="163"/>
      <c r="Q541" s="163"/>
      <c r="R541" s="163"/>
      <c r="S541" s="165"/>
      <c r="T541" s="165"/>
      <c r="U541" s="165"/>
      <c r="V541" s="165"/>
      <c r="W541" s="162"/>
      <c r="X541" s="164"/>
      <c r="Y541" s="162"/>
    </row>
    <row r="542" spans="2:25">
      <c r="B542" s="204"/>
      <c r="C542" s="205"/>
      <c r="D542" s="206"/>
      <c r="E542" s="209"/>
      <c r="F542" s="162"/>
      <c r="G542" s="162"/>
      <c r="H542" s="162"/>
      <c r="I542" s="162"/>
      <c r="J542" s="162"/>
      <c r="K542" s="162"/>
      <c r="L542" s="162"/>
      <c r="M542" s="163"/>
      <c r="N542" s="163"/>
      <c r="O542" s="163"/>
      <c r="P542" s="163"/>
      <c r="Q542" s="163"/>
      <c r="R542" s="163"/>
      <c r="S542" s="165"/>
      <c r="T542" s="165"/>
      <c r="U542" s="165"/>
      <c r="V542" s="165"/>
      <c r="W542" s="162"/>
      <c r="X542" s="164"/>
      <c r="Y542" s="162"/>
    </row>
    <row r="543" spans="2:25">
      <c r="B543" s="204"/>
      <c r="C543" s="205"/>
      <c r="D543" s="206"/>
      <c r="E543" s="209"/>
      <c r="F543" s="162"/>
      <c r="G543" s="162"/>
      <c r="H543" s="162"/>
      <c r="I543" s="162"/>
      <c r="J543" s="162"/>
      <c r="K543" s="162"/>
      <c r="L543" s="162"/>
      <c r="M543" s="163"/>
      <c r="N543" s="163"/>
      <c r="O543" s="163"/>
      <c r="P543" s="163"/>
      <c r="Q543" s="163"/>
      <c r="R543" s="163"/>
      <c r="S543" s="165"/>
      <c r="T543" s="165"/>
      <c r="U543" s="165"/>
      <c r="V543" s="165"/>
      <c r="W543" s="162"/>
      <c r="X543" s="164"/>
      <c r="Y543" s="162"/>
    </row>
    <row r="544" spans="2:25">
      <c r="B544" s="204"/>
      <c r="C544" s="205"/>
      <c r="D544" s="206"/>
      <c r="E544" s="209"/>
      <c r="F544" s="162"/>
      <c r="G544" s="162"/>
      <c r="H544" s="162"/>
      <c r="I544" s="162"/>
      <c r="J544" s="162"/>
      <c r="K544" s="162"/>
      <c r="L544" s="162"/>
      <c r="M544" s="163"/>
      <c r="N544" s="163"/>
      <c r="O544" s="163"/>
      <c r="P544" s="163"/>
      <c r="Q544" s="163"/>
      <c r="R544" s="163"/>
      <c r="S544" s="165"/>
      <c r="T544" s="165"/>
      <c r="U544" s="165"/>
      <c r="V544" s="165"/>
      <c r="W544" s="162"/>
      <c r="X544" s="164"/>
      <c r="Y544" s="162"/>
    </row>
    <row r="545" spans="2:25">
      <c r="B545" s="204"/>
      <c r="C545" s="205"/>
      <c r="D545" s="206"/>
      <c r="E545" s="209"/>
      <c r="F545" s="162"/>
      <c r="G545" s="162"/>
      <c r="H545" s="162"/>
      <c r="I545" s="162"/>
      <c r="J545" s="162"/>
      <c r="K545" s="162"/>
      <c r="L545" s="162"/>
      <c r="M545" s="163"/>
      <c r="N545" s="163"/>
      <c r="O545" s="163"/>
      <c r="P545" s="163"/>
      <c r="Q545" s="163"/>
      <c r="R545" s="163"/>
      <c r="S545" s="165"/>
      <c r="T545" s="165"/>
      <c r="U545" s="165"/>
      <c r="V545" s="165"/>
      <c r="W545" s="162"/>
      <c r="X545" s="164"/>
      <c r="Y545" s="162"/>
    </row>
    <row r="546" spans="2:25">
      <c r="B546" s="204"/>
      <c r="C546" s="205"/>
      <c r="D546" s="206"/>
      <c r="E546" s="209"/>
      <c r="F546" s="162"/>
      <c r="G546" s="162"/>
      <c r="H546" s="162"/>
      <c r="I546" s="162"/>
      <c r="J546" s="162"/>
      <c r="K546" s="162"/>
      <c r="L546" s="162"/>
      <c r="M546" s="163"/>
      <c r="N546" s="163"/>
      <c r="O546" s="163"/>
      <c r="P546" s="163"/>
      <c r="Q546" s="163"/>
      <c r="R546" s="163"/>
      <c r="S546" s="165"/>
      <c r="T546" s="165"/>
      <c r="U546" s="165"/>
      <c r="V546" s="165"/>
      <c r="W546" s="162"/>
      <c r="X546" s="164"/>
      <c r="Y546" s="162"/>
    </row>
    <row r="547" spans="2:25">
      <c r="B547" s="204"/>
      <c r="C547" s="205"/>
      <c r="D547" s="206"/>
      <c r="E547" s="209"/>
      <c r="F547" s="162"/>
      <c r="G547" s="162"/>
      <c r="H547" s="162"/>
      <c r="I547" s="162"/>
      <c r="J547" s="162"/>
      <c r="K547" s="162"/>
      <c r="L547" s="162"/>
      <c r="M547" s="163"/>
      <c r="N547" s="163"/>
      <c r="O547" s="163"/>
      <c r="P547" s="163"/>
      <c r="Q547" s="163"/>
      <c r="R547" s="163"/>
      <c r="S547" s="165"/>
      <c r="T547" s="165"/>
      <c r="U547" s="165"/>
      <c r="V547" s="165"/>
      <c r="W547" s="162"/>
      <c r="X547" s="164"/>
      <c r="Y547" s="162"/>
    </row>
    <row r="548" ht="17.6" spans="2:25">
      <c r="B548" s="204"/>
      <c r="C548" s="205"/>
      <c r="D548" s="206"/>
      <c r="E548" s="209"/>
      <c r="F548" s="210"/>
      <c r="G548" s="210"/>
      <c r="H548" s="211"/>
      <c r="I548" s="199"/>
      <c r="J548" s="199"/>
      <c r="K548" s="199"/>
      <c r="L548" s="199"/>
      <c r="M548" s="199"/>
      <c r="N548" s="199"/>
      <c r="O548" s="199"/>
      <c r="P548" s="199"/>
      <c r="Q548" s="199"/>
      <c r="R548" s="199"/>
      <c r="S548" s="199"/>
      <c r="T548" s="199"/>
      <c r="U548" s="199"/>
      <c r="V548" s="199"/>
      <c r="W548" s="199"/>
      <c r="X548" s="199"/>
      <c r="Y548" s="199"/>
    </row>
    <row r="549" spans="2:25">
      <c r="B549" s="204"/>
      <c r="C549" s="205"/>
      <c r="D549" s="206"/>
      <c r="E549" s="209"/>
      <c r="F549" s="162"/>
      <c r="G549" s="162"/>
      <c r="H549" s="162"/>
      <c r="I549" s="162"/>
      <c r="J549" s="162"/>
      <c r="K549" s="162"/>
      <c r="L549" s="162"/>
      <c r="M549" s="163"/>
      <c r="N549" s="163"/>
      <c r="O549" s="163"/>
      <c r="P549" s="163"/>
      <c r="Q549" s="163"/>
      <c r="R549" s="163"/>
      <c r="S549" s="165"/>
      <c r="T549" s="165"/>
      <c r="U549" s="165"/>
      <c r="V549" s="165"/>
      <c r="W549" s="162"/>
      <c r="X549" s="164"/>
      <c r="Y549" s="162"/>
    </row>
    <row r="550" spans="2:25">
      <c r="B550" s="204"/>
      <c r="C550" s="205"/>
      <c r="D550" s="206"/>
      <c r="E550" s="209"/>
      <c r="F550" s="162"/>
      <c r="G550" s="162"/>
      <c r="H550" s="162"/>
      <c r="I550" s="162"/>
      <c r="J550" s="162"/>
      <c r="K550" s="162"/>
      <c r="L550" s="162"/>
      <c r="M550" s="163"/>
      <c r="N550" s="163"/>
      <c r="O550" s="163"/>
      <c r="P550" s="163"/>
      <c r="Q550" s="163"/>
      <c r="R550" s="163"/>
      <c r="S550" s="165"/>
      <c r="T550" s="165"/>
      <c r="U550" s="165"/>
      <c r="V550" s="165"/>
      <c r="W550" s="162"/>
      <c r="X550" s="164"/>
      <c r="Y550" s="162"/>
    </row>
    <row r="551" spans="2:25">
      <c r="B551" s="204"/>
      <c r="C551" s="205"/>
      <c r="D551" s="206"/>
      <c r="E551" s="209"/>
      <c r="F551" s="162"/>
      <c r="G551" s="162"/>
      <c r="H551" s="162"/>
      <c r="I551" s="162"/>
      <c r="J551" s="162"/>
      <c r="K551" s="162"/>
      <c r="L551" s="162"/>
      <c r="M551" s="163"/>
      <c r="N551" s="163"/>
      <c r="O551" s="163"/>
      <c r="P551" s="163"/>
      <c r="Q551" s="163"/>
      <c r="R551" s="163"/>
      <c r="S551" s="165"/>
      <c r="T551" s="165"/>
      <c r="U551" s="165"/>
      <c r="V551" s="165"/>
      <c r="W551" s="162"/>
      <c r="X551" s="164"/>
      <c r="Y551" s="162"/>
    </row>
    <row r="552" spans="2:25">
      <c r="B552" s="204"/>
      <c r="C552" s="205"/>
      <c r="D552" s="206"/>
      <c r="E552" s="209"/>
      <c r="F552" s="162"/>
      <c r="G552" s="162"/>
      <c r="H552" s="162"/>
      <c r="I552" s="162"/>
      <c r="J552" s="162"/>
      <c r="K552" s="162"/>
      <c r="L552" s="162"/>
      <c r="M552" s="163"/>
      <c r="N552" s="163"/>
      <c r="O552" s="163"/>
      <c r="P552" s="163"/>
      <c r="Q552" s="163"/>
      <c r="R552" s="163"/>
      <c r="S552" s="165"/>
      <c r="T552" s="165"/>
      <c r="U552" s="165"/>
      <c r="V552" s="165"/>
      <c r="W552" s="162"/>
      <c r="X552" s="164"/>
      <c r="Y552" s="162"/>
    </row>
    <row r="553" spans="2:25">
      <c r="B553" s="204"/>
      <c r="C553" s="205"/>
      <c r="D553" s="206"/>
      <c r="E553" s="209"/>
      <c r="F553" s="199"/>
      <c r="G553" s="199"/>
      <c r="H553" s="199"/>
      <c r="I553" s="199"/>
      <c r="J553" s="199"/>
      <c r="K553" s="199"/>
      <c r="L553" s="199"/>
      <c r="M553" s="199"/>
      <c r="N553" s="199"/>
      <c r="O553" s="199"/>
      <c r="P553" s="199"/>
      <c r="Q553" s="199"/>
      <c r="R553" s="199"/>
      <c r="S553" s="199"/>
      <c r="T553" s="199"/>
      <c r="U553" s="199"/>
      <c r="V553" s="199"/>
      <c r="W553" s="199"/>
      <c r="X553" s="199"/>
      <c r="Y553" s="199"/>
    </row>
    <row r="554" spans="2:25">
      <c r="B554" s="204"/>
      <c r="C554" s="205"/>
      <c r="D554" s="206"/>
      <c r="E554" s="209"/>
      <c r="F554" s="199"/>
      <c r="G554" s="199"/>
      <c r="H554" s="199"/>
      <c r="I554" s="199"/>
      <c r="J554" s="199"/>
      <c r="K554" s="199"/>
      <c r="L554" s="199"/>
      <c r="M554" s="199"/>
      <c r="N554" s="199"/>
      <c r="O554" s="199"/>
      <c r="P554" s="199"/>
      <c r="Q554" s="199"/>
      <c r="R554" s="199"/>
      <c r="S554" s="199"/>
      <c r="T554" s="199"/>
      <c r="U554" s="199"/>
      <c r="V554" s="199"/>
      <c r="W554" s="199"/>
      <c r="X554" s="199"/>
      <c r="Y554" s="199"/>
    </row>
    <row r="555" spans="2:25">
      <c r="B555" s="204"/>
      <c r="C555" s="205"/>
      <c r="D555" s="206"/>
      <c r="E555" s="209"/>
      <c r="F555" s="199"/>
      <c r="G555" s="199"/>
      <c r="H555" s="199"/>
      <c r="I555" s="199"/>
      <c r="J555" s="199"/>
      <c r="K555" s="199"/>
      <c r="L555" s="199"/>
      <c r="M555" s="199"/>
      <c r="N555" s="199"/>
      <c r="O555" s="199"/>
      <c r="P555" s="199"/>
      <c r="Q555" s="199"/>
      <c r="R555" s="199"/>
      <c r="S555" s="199"/>
      <c r="T555" s="199"/>
      <c r="U555" s="199"/>
      <c r="V555" s="199"/>
      <c r="W555" s="199"/>
      <c r="X555" s="199"/>
      <c r="Y555" s="199"/>
    </row>
    <row r="556" ht="17.6" spans="2:25">
      <c r="B556" s="204"/>
      <c r="C556" s="207"/>
      <c r="D556" s="208"/>
      <c r="E556" s="207"/>
      <c r="F556" s="199"/>
      <c r="G556" s="199"/>
      <c r="H556" s="199"/>
      <c r="I556" s="199"/>
      <c r="J556" s="199"/>
      <c r="K556" s="199"/>
      <c r="L556" s="199"/>
      <c r="M556" s="199"/>
      <c r="N556" s="199"/>
      <c r="O556" s="199"/>
      <c r="P556" s="199"/>
      <c r="Q556" s="199"/>
      <c r="R556" s="199"/>
      <c r="S556" s="199"/>
      <c r="T556" s="199"/>
      <c r="U556" s="199"/>
      <c r="V556" s="199"/>
      <c r="W556" s="199"/>
      <c r="X556" s="199"/>
      <c r="Y556" s="199"/>
    </row>
    <row r="557" spans="2:25">
      <c r="B557" s="204"/>
      <c r="C557" s="205"/>
      <c r="D557" s="206"/>
      <c r="E557" s="209"/>
      <c r="F557" s="199"/>
      <c r="G557" s="199"/>
      <c r="H557" s="199"/>
      <c r="I557" s="199"/>
      <c r="J557" s="199"/>
      <c r="K557" s="199"/>
      <c r="L557" s="199"/>
      <c r="M557" s="199"/>
      <c r="N557" s="199"/>
      <c r="O557" s="199"/>
      <c r="P557" s="199"/>
      <c r="Q557" s="199"/>
      <c r="R557" s="199"/>
      <c r="S557" s="199"/>
      <c r="T557" s="199"/>
      <c r="U557" s="199"/>
      <c r="V557" s="199"/>
      <c r="W557" s="199"/>
      <c r="X557" s="199"/>
      <c r="Y557" s="199"/>
    </row>
    <row r="558" spans="2:25">
      <c r="B558" s="204"/>
      <c r="C558" s="205"/>
      <c r="D558" s="206"/>
      <c r="E558" s="209"/>
      <c r="F558" s="199"/>
      <c r="G558" s="199"/>
      <c r="H558" s="199"/>
      <c r="I558" s="199"/>
      <c r="J558" s="199"/>
      <c r="K558" s="199"/>
      <c r="L558" s="199"/>
      <c r="M558" s="199"/>
      <c r="N558" s="199"/>
      <c r="O558" s="199"/>
      <c r="P558" s="199"/>
      <c r="Q558" s="199"/>
      <c r="R558" s="199"/>
      <c r="S558" s="199"/>
      <c r="T558" s="199"/>
      <c r="U558" s="199"/>
      <c r="V558" s="199"/>
      <c r="W558" s="199"/>
      <c r="X558" s="199"/>
      <c r="Y558" s="199"/>
    </row>
    <row r="559" spans="2:25">
      <c r="B559" s="204"/>
      <c r="C559" s="205"/>
      <c r="D559" s="206"/>
      <c r="E559" s="209"/>
      <c r="F559" s="199"/>
      <c r="G559" s="199"/>
      <c r="H559" s="199"/>
      <c r="I559" s="199"/>
      <c r="J559" s="199"/>
      <c r="K559" s="199"/>
      <c r="L559" s="199"/>
      <c r="M559" s="199"/>
      <c r="N559" s="199"/>
      <c r="O559" s="199"/>
      <c r="P559" s="199"/>
      <c r="Q559" s="199"/>
      <c r="R559" s="199"/>
      <c r="S559" s="199"/>
      <c r="T559" s="199"/>
      <c r="U559" s="199"/>
      <c r="V559" s="199"/>
      <c r="W559" s="199"/>
      <c r="X559" s="199"/>
      <c r="Y559" s="199"/>
    </row>
    <row r="560" spans="2:25">
      <c r="B560" s="204"/>
      <c r="C560" s="205"/>
      <c r="D560" s="206"/>
      <c r="E560" s="209"/>
      <c r="F560" s="199"/>
      <c r="G560" s="199"/>
      <c r="H560" s="199"/>
      <c r="I560" s="199"/>
      <c r="J560" s="199"/>
      <c r="K560" s="199"/>
      <c r="L560" s="199"/>
      <c r="M560" s="199"/>
      <c r="N560" s="199"/>
      <c r="O560" s="199"/>
      <c r="P560" s="199"/>
      <c r="Q560" s="199"/>
      <c r="R560" s="199"/>
      <c r="S560" s="199"/>
      <c r="T560" s="199"/>
      <c r="U560" s="199"/>
      <c r="V560" s="199"/>
      <c r="W560" s="199"/>
      <c r="X560" s="199"/>
      <c r="Y560" s="199"/>
    </row>
    <row r="561" spans="2:25">
      <c r="B561" s="204"/>
      <c r="C561" s="205"/>
      <c r="D561" s="206"/>
      <c r="E561" s="209"/>
      <c r="F561" s="199"/>
      <c r="G561" s="199"/>
      <c r="H561" s="199"/>
      <c r="I561" s="199"/>
      <c r="J561" s="199"/>
      <c r="K561" s="199"/>
      <c r="L561" s="199"/>
      <c r="M561" s="199"/>
      <c r="N561" s="199"/>
      <c r="O561" s="199"/>
      <c r="P561" s="199"/>
      <c r="Q561" s="199"/>
      <c r="R561" s="199"/>
      <c r="S561" s="199"/>
      <c r="T561" s="199"/>
      <c r="U561" s="199"/>
      <c r="V561" s="199"/>
      <c r="W561" s="199"/>
      <c r="X561" s="199"/>
      <c r="Y561" s="199"/>
    </row>
    <row r="562" spans="2:25">
      <c r="B562" s="204"/>
      <c r="C562" s="205"/>
      <c r="D562" s="206"/>
      <c r="E562" s="209"/>
      <c r="F562" s="199"/>
      <c r="G562" s="199"/>
      <c r="H562" s="199"/>
      <c r="I562" s="199"/>
      <c r="J562" s="199"/>
      <c r="K562" s="199"/>
      <c r="L562" s="199"/>
      <c r="M562" s="199"/>
      <c r="N562" s="199"/>
      <c r="O562" s="199"/>
      <c r="P562" s="199"/>
      <c r="Q562" s="199"/>
      <c r="R562" s="199"/>
      <c r="S562" s="199"/>
      <c r="T562" s="199"/>
      <c r="U562" s="199"/>
      <c r="V562" s="199"/>
      <c r="W562" s="199"/>
      <c r="X562" s="199"/>
      <c r="Y562" s="199"/>
    </row>
    <row r="563" spans="2:25">
      <c r="B563" s="204"/>
      <c r="C563" s="205"/>
      <c r="D563" s="206"/>
      <c r="E563" s="209"/>
      <c r="F563" s="199"/>
      <c r="G563" s="199"/>
      <c r="H563" s="199"/>
      <c r="I563" s="199"/>
      <c r="J563" s="199"/>
      <c r="K563" s="199"/>
      <c r="L563" s="199"/>
      <c r="M563" s="199"/>
      <c r="N563" s="199"/>
      <c r="O563" s="199"/>
      <c r="P563" s="199"/>
      <c r="Q563" s="199"/>
      <c r="R563" s="199"/>
      <c r="S563" s="199"/>
      <c r="T563" s="199"/>
      <c r="U563" s="199"/>
      <c r="V563" s="199"/>
      <c r="W563" s="199"/>
      <c r="X563" s="199"/>
      <c r="Y563" s="199"/>
    </row>
    <row r="564" spans="2:25">
      <c r="B564" s="204"/>
      <c r="C564" s="205"/>
      <c r="D564" s="206"/>
      <c r="E564" s="209"/>
      <c r="F564" s="199"/>
      <c r="G564" s="199"/>
      <c r="H564" s="199"/>
      <c r="I564" s="199"/>
      <c r="J564" s="199"/>
      <c r="K564" s="199"/>
      <c r="L564" s="199"/>
      <c r="M564" s="199"/>
      <c r="N564" s="199"/>
      <c r="O564" s="199"/>
      <c r="P564" s="199"/>
      <c r="Q564" s="199"/>
      <c r="R564" s="199"/>
      <c r="S564" s="199"/>
      <c r="T564" s="199"/>
      <c r="U564" s="199"/>
      <c r="V564" s="199"/>
      <c r="W564" s="199"/>
      <c r="X564" s="199"/>
      <c r="Y564" s="199"/>
    </row>
    <row r="565" spans="2:25">
      <c r="B565" s="204"/>
      <c r="C565" s="205"/>
      <c r="D565" s="206"/>
      <c r="E565" s="209"/>
      <c r="F565" s="199"/>
      <c r="G565" s="199"/>
      <c r="H565" s="199"/>
      <c r="I565" s="199"/>
      <c r="J565" s="199"/>
      <c r="K565" s="199"/>
      <c r="L565" s="199"/>
      <c r="M565" s="199"/>
      <c r="N565" s="199"/>
      <c r="O565" s="199"/>
      <c r="P565" s="199"/>
      <c r="Q565" s="199"/>
      <c r="R565" s="199"/>
      <c r="S565" s="199"/>
      <c r="T565" s="199"/>
      <c r="U565" s="199"/>
      <c r="V565" s="199"/>
      <c r="W565" s="199"/>
      <c r="X565" s="199"/>
      <c r="Y565" s="199"/>
    </row>
    <row r="566" spans="2:25">
      <c r="B566" s="204"/>
      <c r="C566" s="205"/>
      <c r="D566" s="206"/>
      <c r="E566" s="209"/>
      <c r="F566" s="199"/>
      <c r="G566" s="199"/>
      <c r="H566" s="199"/>
      <c r="I566" s="199"/>
      <c r="J566" s="199"/>
      <c r="K566" s="199"/>
      <c r="L566" s="199"/>
      <c r="M566" s="199"/>
      <c r="N566" s="199"/>
      <c r="O566" s="199"/>
      <c r="P566" s="199"/>
      <c r="Q566" s="199"/>
      <c r="R566" s="199"/>
      <c r="S566" s="199"/>
      <c r="T566" s="199"/>
      <c r="U566" s="199"/>
      <c r="V566" s="199"/>
      <c r="W566" s="199"/>
      <c r="X566" s="199"/>
      <c r="Y566" s="199"/>
    </row>
    <row r="567" spans="2:25">
      <c r="B567" s="204"/>
      <c r="C567" s="205"/>
      <c r="D567" s="206"/>
      <c r="E567" s="209"/>
      <c r="F567" s="199"/>
      <c r="G567" s="199"/>
      <c r="H567" s="199"/>
      <c r="I567" s="199"/>
      <c r="J567" s="199"/>
      <c r="K567" s="199"/>
      <c r="L567" s="199"/>
      <c r="M567" s="199"/>
      <c r="N567" s="199"/>
      <c r="O567" s="199"/>
      <c r="P567" s="199"/>
      <c r="Q567" s="199"/>
      <c r="R567" s="199"/>
      <c r="S567" s="199"/>
      <c r="T567" s="199"/>
      <c r="U567" s="199"/>
      <c r="V567" s="199"/>
      <c r="W567" s="199"/>
      <c r="X567" s="199"/>
      <c r="Y567" s="199"/>
    </row>
    <row r="568" spans="2:25">
      <c r="B568" s="204"/>
      <c r="C568" s="205"/>
      <c r="D568" s="206"/>
      <c r="E568" s="209"/>
      <c r="F568" s="199"/>
      <c r="G568" s="199"/>
      <c r="H568" s="199"/>
      <c r="I568" s="199"/>
      <c r="J568" s="199"/>
      <c r="K568" s="199"/>
      <c r="L568" s="199"/>
      <c r="M568" s="199"/>
      <c r="N568" s="199"/>
      <c r="O568" s="199"/>
      <c r="P568" s="199"/>
      <c r="Q568" s="199"/>
      <c r="R568" s="199"/>
      <c r="S568" s="199"/>
      <c r="T568" s="199"/>
      <c r="U568" s="199"/>
      <c r="V568" s="199"/>
      <c r="W568" s="199"/>
      <c r="X568" s="199"/>
      <c r="Y568" s="199"/>
    </row>
    <row r="569" spans="2:25">
      <c r="B569" s="204"/>
      <c r="C569" s="205"/>
      <c r="D569" s="206"/>
      <c r="E569" s="209"/>
      <c r="F569" s="199"/>
      <c r="G569" s="199"/>
      <c r="H569" s="199"/>
      <c r="I569" s="199"/>
      <c r="J569" s="199"/>
      <c r="K569" s="199"/>
      <c r="L569" s="199"/>
      <c r="M569" s="199"/>
      <c r="N569" s="199"/>
      <c r="O569" s="199"/>
      <c r="P569" s="199"/>
      <c r="Q569" s="199"/>
      <c r="R569" s="199"/>
      <c r="S569" s="199"/>
      <c r="T569" s="199"/>
      <c r="U569" s="199"/>
      <c r="V569" s="199"/>
      <c r="W569" s="199"/>
      <c r="X569" s="199"/>
      <c r="Y569" s="199"/>
    </row>
    <row r="570" spans="2:25">
      <c r="B570" s="204"/>
      <c r="C570" s="205"/>
      <c r="D570" s="206"/>
      <c r="E570" s="209"/>
      <c r="F570" s="199"/>
      <c r="G570" s="199"/>
      <c r="H570" s="199"/>
      <c r="I570" s="199"/>
      <c r="J570" s="199"/>
      <c r="K570" s="199"/>
      <c r="L570" s="199"/>
      <c r="M570" s="199"/>
      <c r="N570" s="199"/>
      <c r="O570" s="199"/>
      <c r="P570" s="199"/>
      <c r="Q570" s="199"/>
      <c r="R570" s="199"/>
      <c r="S570" s="199"/>
      <c r="T570" s="199"/>
      <c r="U570" s="199"/>
      <c r="V570" s="199"/>
      <c r="W570" s="199"/>
      <c r="X570" s="199"/>
      <c r="Y570" s="199"/>
    </row>
    <row r="571" spans="2:25">
      <c r="B571" s="204"/>
      <c r="C571" s="205"/>
      <c r="D571" s="206"/>
      <c r="E571" s="209"/>
      <c r="F571" s="199"/>
      <c r="G571" s="199"/>
      <c r="H571" s="199"/>
      <c r="I571" s="199"/>
      <c r="J571" s="199"/>
      <c r="K571" s="199"/>
      <c r="L571" s="199"/>
      <c r="M571" s="199"/>
      <c r="N571" s="199"/>
      <c r="O571" s="199"/>
      <c r="P571" s="199"/>
      <c r="Q571" s="199"/>
      <c r="R571" s="199"/>
      <c r="S571" s="199"/>
      <c r="T571" s="199"/>
      <c r="U571" s="199"/>
      <c r="V571" s="199"/>
      <c r="W571" s="199"/>
      <c r="X571" s="199"/>
      <c r="Y571" s="199"/>
    </row>
    <row r="572" spans="2:25">
      <c r="B572" s="204"/>
      <c r="C572" s="205"/>
      <c r="D572" s="206"/>
      <c r="E572" s="209"/>
      <c r="F572" s="199"/>
      <c r="G572" s="199"/>
      <c r="H572" s="199"/>
      <c r="I572" s="199"/>
      <c r="J572" s="199"/>
      <c r="K572" s="199"/>
      <c r="L572" s="199"/>
      <c r="M572" s="199"/>
      <c r="N572" s="199"/>
      <c r="O572" s="199"/>
      <c r="P572" s="199"/>
      <c r="Q572" s="199"/>
      <c r="R572" s="199"/>
      <c r="S572" s="199"/>
      <c r="T572" s="199"/>
      <c r="U572" s="199"/>
      <c r="V572" s="199"/>
      <c r="W572" s="199"/>
      <c r="X572" s="199"/>
      <c r="Y572" s="199"/>
    </row>
    <row r="573" spans="2:25">
      <c r="B573" s="204"/>
      <c r="C573" s="205"/>
      <c r="D573" s="206"/>
      <c r="E573" s="209"/>
      <c r="F573" s="199"/>
      <c r="G573" s="199"/>
      <c r="H573" s="199"/>
      <c r="I573" s="199"/>
      <c r="J573" s="199"/>
      <c r="K573" s="199"/>
      <c r="L573" s="199"/>
      <c r="M573" s="199"/>
      <c r="N573" s="199"/>
      <c r="O573" s="199"/>
      <c r="P573" s="199"/>
      <c r="Q573" s="199"/>
      <c r="R573" s="199"/>
      <c r="S573" s="199"/>
      <c r="T573" s="199"/>
      <c r="U573" s="199"/>
      <c r="V573" s="199"/>
      <c r="W573" s="199"/>
      <c r="X573" s="199"/>
      <c r="Y573" s="199"/>
    </row>
    <row r="574" ht="17.6" spans="2:25">
      <c r="B574" s="204"/>
      <c r="C574" s="207"/>
      <c r="D574" s="208"/>
      <c r="E574" s="207"/>
      <c r="F574" s="199"/>
      <c r="G574" s="199"/>
      <c r="H574" s="199"/>
      <c r="I574" s="199"/>
      <c r="J574" s="199"/>
      <c r="K574" s="199"/>
      <c r="L574" s="199"/>
      <c r="M574" s="199"/>
      <c r="N574" s="199"/>
      <c r="O574" s="199"/>
      <c r="P574" s="199"/>
      <c r="Q574" s="199"/>
      <c r="R574" s="199"/>
      <c r="S574" s="199"/>
      <c r="T574" s="199"/>
      <c r="U574" s="199"/>
      <c r="V574" s="199"/>
      <c r="W574" s="199"/>
      <c r="X574" s="199"/>
      <c r="Y574" s="199"/>
    </row>
    <row r="575" spans="2:25">
      <c r="B575" s="204"/>
      <c r="C575" s="205"/>
      <c r="D575" s="206"/>
      <c r="E575" s="209"/>
      <c r="F575" s="199"/>
      <c r="G575" s="199"/>
      <c r="H575" s="199"/>
      <c r="I575" s="199"/>
      <c r="J575" s="199"/>
      <c r="K575" s="199"/>
      <c r="L575" s="199"/>
      <c r="M575" s="199"/>
      <c r="N575" s="199"/>
      <c r="O575" s="199"/>
      <c r="P575" s="199"/>
      <c r="Q575" s="199"/>
      <c r="R575" s="199"/>
      <c r="S575" s="199"/>
      <c r="T575" s="199"/>
      <c r="U575" s="199"/>
      <c r="V575" s="199"/>
      <c r="W575" s="199"/>
      <c r="X575" s="199"/>
      <c r="Y575" s="199"/>
    </row>
    <row r="576" spans="2:25">
      <c r="B576" s="204"/>
      <c r="C576" s="205"/>
      <c r="D576" s="206"/>
      <c r="E576" s="209"/>
      <c r="F576" s="199"/>
      <c r="G576" s="199"/>
      <c r="H576" s="199"/>
      <c r="I576" s="199"/>
      <c r="J576" s="199"/>
      <c r="K576" s="199"/>
      <c r="L576" s="199"/>
      <c r="M576" s="199"/>
      <c r="N576" s="199"/>
      <c r="O576" s="199"/>
      <c r="P576" s="199"/>
      <c r="Q576" s="199"/>
      <c r="R576" s="199"/>
      <c r="S576" s="199"/>
      <c r="T576" s="199"/>
      <c r="U576" s="199"/>
      <c r="V576" s="199"/>
      <c r="W576" s="199"/>
      <c r="X576" s="199"/>
      <c r="Y576" s="199"/>
    </row>
    <row r="577" spans="2:5">
      <c r="B577" s="161"/>
      <c r="C577" s="166"/>
      <c r="D577" s="154"/>
      <c r="E577" s="144"/>
    </row>
    <row r="578" spans="2:5">
      <c r="B578" s="161"/>
      <c r="C578" s="166"/>
      <c r="D578" s="154"/>
      <c r="E578" s="144"/>
    </row>
  </sheetData>
  <sortState ref="C456:Y468">
    <sortCondition ref="E456:E468" descending="1"/>
  </sortState>
  <mergeCells count="32">
    <mergeCell ref="A1:A11"/>
    <mergeCell ref="A12:A25"/>
    <mergeCell ref="A26:A38"/>
    <mergeCell ref="A39:A51"/>
    <mergeCell ref="A52:A64"/>
    <mergeCell ref="A65:A79"/>
    <mergeCell ref="A80:A93"/>
    <mergeCell ref="A94:A105"/>
    <mergeCell ref="A106:A117"/>
    <mergeCell ref="A118:A129"/>
    <mergeCell ref="A130:A143"/>
    <mergeCell ref="A144:A154"/>
    <mergeCell ref="A155:A164"/>
    <mergeCell ref="A165:A178"/>
    <mergeCell ref="A179:A190"/>
    <mergeCell ref="A191:A204"/>
    <mergeCell ref="A205:A215"/>
    <mergeCell ref="A216:A228"/>
    <mergeCell ref="A229:A240"/>
    <mergeCell ref="A241:A256"/>
    <mergeCell ref="A257:A270"/>
    <mergeCell ref="A271:A284"/>
    <mergeCell ref="A285:A297"/>
    <mergeCell ref="A298:A309"/>
    <mergeCell ref="A310:A322"/>
    <mergeCell ref="A323:A332"/>
    <mergeCell ref="A333:A344"/>
    <mergeCell ref="A345:A354"/>
    <mergeCell ref="A355:A366"/>
    <mergeCell ref="A367:A377"/>
    <mergeCell ref="A378:A391"/>
    <mergeCell ref="A392:A402"/>
  </mergeCells>
  <pageMargins left="0.7" right="0.7"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115"/>
  <sheetViews>
    <sheetView zoomScale="125" zoomScaleNormal="125" workbookViewId="0">
      <selection activeCell="F108" sqref="F108"/>
    </sheetView>
  </sheetViews>
  <sheetFormatPr defaultColWidth="11" defaultRowHeight="15.2"/>
  <cols>
    <col min="1" max="3" width="11" style="151"/>
    <col min="4" max="17" width="6.66071428571429" style="151" customWidth="1"/>
    <col min="18" max="22" width="11" style="151"/>
    <col min="23" max="23" width="34.1607142857143" style="151" customWidth="1"/>
    <col min="24" max="16384" width="11" style="151"/>
  </cols>
  <sheetData>
    <row r="1" spans="1:25">
      <c r="A1" s="174" t="s">
        <v>1417</v>
      </c>
      <c r="B1" s="153">
        <v>245</v>
      </c>
      <c r="C1" s="154" t="s">
        <v>895</v>
      </c>
      <c r="D1" s="144">
        <v>39</v>
      </c>
      <c r="E1" s="145">
        <v>95</v>
      </c>
      <c r="F1" s="145">
        <v>69</v>
      </c>
      <c r="G1" s="145">
        <v>91</v>
      </c>
      <c r="H1" s="145">
        <v>77</v>
      </c>
      <c r="I1" s="145">
        <v>92</v>
      </c>
      <c r="J1" s="145">
        <f t="shared" ref="J1:J32" si="0">SUM(E1:I1)</f>
        <v>424</v>
      </c>
      <c r="K1" s="145">
        <v>125</v>
      </c>
      <c r="L1" s="147" t="s">
        <v>130</v>
      </c>
      <c r="M1" s="147" t="s">
        <v>114</v>
      </c>
      <c r="N1" s="147" t="s">
        <v>115</v>
      </c>
      <c r="O1" s="147" t="s">
        <v>124</v>
      </c>
      <c r="P1" s="147" t="s">
        <v>114</v>
      </c>
      <c r="Q1" s="160" t="s">
        <v>123</v>
      </c>
      <c r="R1" s="158" t="s">
        <v>896</v>
      </c>
      <c r="S1" s="148" t="s">
        <v>118</v>
      </c>
      <c r="T1" s="148" t="s">
        <v>119</v>
      </c>
      <c r="U1" s="148" t="s">
        <v>120</v>
      </c>
      <c r="V1" s="145">
        <f t="shared" ref="V1:V32" si="1">E1+F1</f>
        <v>164</v>
      </c>
      <c r="W1" s="172" t="s">
        <v>897</v>
      </c>
      <c r="X1" s="145">
        <f t="shared" ref="X1:X32" si="2">E1+F1+G1</f>
        <v>255</v>
      </c>
      <c r="Y1" s="184"/>
    </row>
    <row r="2" spans="1:25">
      <c r="A2" s="174"/>
      <c r="B2" s="153">
        <v>142</v>
      </c>
      <c r="C2" s="154" t="s">
        <v>612</v>
      </c>
      <c r="D2" s="144">
        <v>39</v>
      </c>
      <c r="E2" s="177">
        <v>93</v>
      </c>
      <c r="F2" s="145">
        <v>54</v>
      </c>
      <c r="G2" s="145">
        <v>100</v>
      </c>
      <c r="H2" s="145">
        <v>104</v>
      </c>
      <c r="I2" s="145">
        <v>102</v>
      </c>
      <c r="J2" s="145">
        <f t="shared" si="0"/>
        <v>453</v>
      </c>
      <c r="K2" s="145">
        <v>75</v>
      </c>
      <c r="L2" s="147" t="s">
        <v>130</v>
      </c>
      <c r="M2" s="147" t="s">
        <v>115</v>
      </c>
      <c r="N2" s="160" t="s">
        <v>123</v>
      </c>
      <c r="O2" s="147" t="s">
        <v>130</v>
      </c>
      <c r="P2" s="147" t="s">
        <v>130</v>
      </c>
      <c r="Q2" s="147" t="s">
        <v>114</v>
      </c>
      <c r="R2" s="148" t="s">
        <v>139</v>
      </c>
      <c r="S2" s="148" t="s">
        <v>118</v>
      </c>
      <c r="T2" s="148" t="s">
        <v>119</v>
      </c>
      <c r="U2" s="148" t="s">
        <v>120</v>
      </c>
      <c r="V2" s="145">
        <f t="shared" si="1"/>
        <v>147</v>
      </c>
      <c r="W2" s="172"/>
      <c r="X2" s="145">
        <f t="shared" si="2"/>
        <v>247</v>
      </c>
      <c r="Y2" s="184"/>
    </row>
    <row r="3" spans="1:25">
      <c r="A3" s="174"/>
      <c r="B3" s="153">
        <v>491</v>
      </c>
      <c r="C3" s="154" t="s">
        <v>788</v>
      </c>
      <c r="D3" s="144">
        <v>38</v>
      </c>
      <c r="E3" s="145">
        <v>89</v>
      </c>
      <c r="F3" s="145">
        <v>105</v>
      </c>
      <c r="G3" s="145">
        <v>59</v>
      </c>
      <c r="H3" s="145">
        <v>58</v>
      </c>
      <c r="I3" s="145">
        <v>66</v>
      </c>
      <c r="J3" s="145">
        <f t="shared" si="0"/>
        <v>377</v>
      </c>
      <c r="K3" s="145">
        <v>42</v>
      </c>
      <c r="L3" s="147" t="s">
        <v>114</v>
      </c>
      <c r="M3" s="147" t="s">
        <v>115</v>
      </c>
      <c r="N3" s="147" t="s">
        <v>114</v>
      </c>
      <c r="O3" s="147" t="s">
        <v>115</v>
      </c>
      <c r="P3" s="147" t="s">
        <v>130</v>
      </c>
      <c r="Q3" s="147" t="s">
        <v>130</v>
      </c>
      <c r="R3" s="158" t="s">
        <v>270</v>
      </c>
      <c r="S3" s="148" t="s">
        <v>118</v>
      </c>
      <c r="T3" s="148" t="s">
        <v>119</v>
      </c>
      <c r="U3" s="148" t="s">
        <v>126</v>
      </c>
      <c r="V3" s="145">
        <f t="shared" si="1"/>
        <v>194</v>
      </c>
      <c r="W3" s="148" t="s">
        <v>271</v>
      </c>
      <c r="X3" s="145">
        <f t="shared" si="2"/>
        <v>253</v>
      </c>
      <c r="Y3" s="184"/>
    </row>
    <row r="4" spans="1:25">
      <c r="A4" s="174"/>
      <c r="B4" s="153">
        <v>198</v>
      </c>
      <c r="C4" s="154" t="s">
        <v>1006</v>
      </c>
      <c r="D4" s="144">
        <v>38</v>
      </c>
      <c r="E4" s="145">
        <v>94</v>
      </c>
      <c r="F4" s="145">
        <v>96</v>
      </c>
      <c r="G4" s="145">
        <v>62</v>
      </c>
      <c r="H4" s="145">
        <v>54</v>
      </c>
      <c r="I4" s="145">
        <v>62</v>
      </c>
      <c r="J4" s="145">
        <f t="shared" si="0"/>
        <v>368</v>
      </c>
      <c r="K4" s="145">
        <v>91</v>
      </c>
      <c r="L4" s="147" t="s">
        <v>115</v>
      </c>
      <c r="M4" s="147" t="s">
        <v>114</v>
      </c>
      <c r="N4" s="147" t="s">
        <v>114</v>
      </c>
      <c r="O4" s="147" t="s">
        <v>115</v>
      </c>
      <c r="P4" s="147" t="s">
        <v>114</v>
      </c>
      <c r="Q4" s="147" t="s">
        <v>115</v>
      </c>
      <c r="R4" s="158" t="s">
        <v>534</v>
      </c>
      <c r="S4" s="148" t="s">
        <v>132</v>
      </c>
      <c r="T4" s="148" t="s">
        <v>119</v>
      </c>
      <c r="U4" s="148" t="s">
        <v>126</v>
      </c>
      <c r="V4" s="145">
        <f t="shared" si="1"/>
        <v>190</v>
      </c>
      <c r="W4" s="148" t="s">
        <v>535</v>
      </c>
      <c r="X4" s="145">
        <f t="shared" si="2"/>
        <v>252</v>
      </c>
      <c r="Y4" s="184"/>
    </row>
    <row r="5" spans="1:25">
      <c r="A5" s="174"/>
      <c r="B5" s="153">
        <v>394</v>
      </c>
      <c r="C5" s="156" t="s">
        <v>209</v>
      </c>
      <c r="D5" s="144">
        <v>37</v>
      </c>
      <c r="E5" s="145">
        <v>96</v>
      </c>
      <c r="F5" s="145">
        <v>97</v>
      </c>
      <c r="G5" s="145">
        <v>85</v>
      </c>
      <c r="H5" s="145">
        <v>94</v>
      </c>
      <c r="I5" s="145">
        <v>71</v>
      </c>
      <c r="J5" s="145">
        <f t="shared" si="0"/>
        <v>443</v>
      </c>
      <c r="K5" s="145">
        <v>100</v>
      </c>
      <c r="L5" s="160" t="s">
        <v>123</v>
      </c>
      <c r="M5" s="147" t="s">
        <v>130</v>
      </c>
      <c r="N5" s="147" t="s">
        <v>115</v>
      </c>
      <c r="O5" s="147" t="s">
        <v>130</v>
      </c>
      <c r="P5" s="147" t="s">
        <v>115</v>
      </c>
      <c r="Q5" s="147" t="s">
        <v>124</v>
      </c>
      <c r="R5" s="180" t="s">
        <v>210</v>
      </c>
      <c r="S5" s="148" t="s">
        <v>132</v>
      </c>
      <c r="T5" s="148" t="s">
        <v>136</v>
      </c>
      <c r="U5" s="148" t="s">
        <v>126</v>
      </c>
      <c r="V5" s="145">
        <f t="shared" si="1"/>
        <v>193</v>
      </c>
      <c r="W5" s="148" t="s">
        <v>211</v>
      </c>
      <c r="X5" s="145">
        <f t="shared" si="2"/>
        <v>278</v>
      </c>
      <c r="Y5" s="184"/>
    </row>
    <row r="6" spans="1:25">
      <c r="A6" s="174"/>
      <c r="B6" s="153">
        <v>72</v>
      </c>
      <c r="C6" s="154" t="s">
        <v>246</v>
      </c>
      <c r="D6" s="144">
        <v>36</v>
      </c>
      <c r="E6" s="145">
        <v>98</v>
      </c>
      <c r="F6" s="145">
        <v>73</v>
      </c>
      <c r="G6" s="145">
        <v>75</v>
      </c>
      <c r="H6" s="145">
        <v>67</v>
      </c>
      <c r="I6" s="145">
        <v>59</v>
      </c>
      <c r="J6" s="145">
        <f t="shared" si="0"/>
        <v>372</v>
      </c>
      <c r="K6" s="145">
        <v>1</v>
      </c>
      <c r="L6" s="147" t="s">
        <v>114</v>
      </c>
      <c r="M6" s="147" t="s">
        <v>115</v>
      </c>
      <c r="N6" s="160" t="s">
        <v>116</v>
      </c>
      <c r="O6" s="147" t="s">
        <v>114</v>
      </c>
      <c r="P6" s="147" t="s">
        <v>115</v>
      </c>
      <c r="Q6" s="147" t="s">
        <v>114</v>
      </c>
      <c r="R6" s="158" t="s">
        <v>247</v>
      </c>
      <c r="S6" s="148" t="s">
        <v>132</v>
      </c>
      <c r="T6" s="148" t="s">
        <v>119</v>
      </c>
      <c r="U6" s="148" t="s">
        <v>126</v>
      </c>
      <c r="V6" s="145">
        <f t="shared" si="1"/>
        <v>171</v>
      </c>
      <c r="W6" s="172" t="s">
        <v>248</v>
      </c>
      <c r="X6" s="145">
        <f t="shared" si="2"/>
        <v>246</v>
      </c>
      <c r="Y6" s="184"/>
    </row>
    <row r="7" spans="1:25">
      <c r="A7" s="174"/>
      <c r="B7" s="153">
        <v>148</v>
      </c>
      <c r="C7" s="156" t="s">
        <v>780</v>
      </c>
      <c r="D7" s="144">
        <v>35</v>
      </c>
      <c r="E7" s="145">
        <v>91</v>
      </c>
      <c r="F7" s="145">
        <v>98</v>
      </c>
      <c r="G7" s="145">
        <v>79</v>
      </c>
      <c r="H7" s="145">
        <v>65</v>
      </c>
      <c r="I7" s="145">
        <v>68</v>
      </c>
      <c r="J7" s="145">
        <f t="shared" si="0"/>
        <v>401</v>
      </c>
      <c r="K7" s="145">
        <v>145</v>
      </c>
      <c r="L7" s="147" t="s">
        <v>115</v>
      </c>
      <c r="M7" s="147" t="s">
        <v>114</v>
      </c>
      <c r="N7" s="147" t="s">
        <v>130</v>
      </c>
      <c r="O7" s="147" t="s">
        <v>115</v>
      </c>
      <c r="P7" s="147" t="s">
        <v>130</v>
      </c>
      <c r="Q7" s="147" t="s">
        <v>124</v>
      </c>
      <c r="R7" s="158" t="s">
        <v>534</v>
      </c>
      <c r="S7" s="148" t="s">
        <v>175</v>
      </c>
      <c r="T7" s="148" t="s">
        <v>145</v>
      </c>
      <c r="U7" s="148" t="s">
        <v>250</v>
      </c>
      <c r="V7" s="145">
        <f t="shared" si="1"/>
        <v>189</v>
      </c>
      <c r="W7" s="172" t="s">
        <v>781</v>
      </c>
      <c r="X7" s="145">
        <f t="shared" si="2"/>
        <v>268</v>
      </c>
      <c r="Y7" s="184"/>
    </row>
    <row r="8" spans="1:25">
      <c r="A8" s="174"/>
      <c r="B8" s="153">
        <v>225</v>
      </c>
      <c r="C8" s="154" t="s">
        <v>881</v>
      </c>
      <c r="D8" s="144">
        <v>35</v>
      </c>
      <c r="E8" s="145">
        <v>92</v>
      </c>
      <c r="F8" s="145">
        <v>88</v>
      </c>
      <c r="G8" s="145">
        <v>80</v>
      </c>
      <c r="H8" s="145">
        <v>99</v>
      </c>
      <c r="I8" s="145">
        <v>104</v>
      </c>
      <c r="J8" s="145">
        <f t="shared" si="0"/>
        <v>463</v>
      </c>
      <c r="K8" s="145">
        <v>60</v>
      </c>
      <c r="L8" s="147" t="s">
        <v>115</v>
      </c>
      <c r="M8" s="147" t="s">
        <v>115</v>
      </c>
      <c r="N8" s="147" t="s">
        <v>114</v>
      </c>
      <c r="O8" s="147" t="s">
        <v>114</v>
      </c>
      <c r="P8" s="147" t="s">
        <v>114</v>
      </c>
      <c r="Q8" s="147" t="s">
        <v>114</v>
      </c>
      <c r="R8" s="171" t="s">
        <v>626</v>
      </c>
      <c r="S8" s="148" t="s">
        <v>119</v>
      </c>
      <c r="T8" s="148" t="s">
        <v>145</v>
      </c>
      <c r="U8" s="148" t="s">
        <v>126</v>
      </c>
      <c r="V8" s="145">
        <f t="shared" si="1"/>
        <v>180</v>
      </c>
      <c r="W8" s="172" t="s">
        <v>627</v>
      </c>
      <c r="X8" s="145">
        <f t="shared" si="2"/>
        <v>260</v>
      </c>
      <c r="Y8" s="184"/>
    </row>
    <row r="9" spans="1:25">
      <c r="A9" s="174"/>
      <c r="B9" s="153">
        <v>10</v>
      </c>
      <c r="C9" s="156" t="s">
        <v>656</v>
      </c>
      <c r="D9" s="144">
        <v>35</v>
      </c>
      <c r="E9" s="145">
        <v>100</v>
      </c>
      <c r="F9" s="145">
        <v>82</v>
      </c>
      <c r="G9" s="145">
        <v>86</v>
      </c>
      <c r="H9" s="145">
        <v>100</v>
      </c>
      <c r="I9" s="145">
        <v>87</v>
      </c>
      <c r="J9" s="145">
        <f t="shared" si="0"/>
        <v>455</v>
      </c>
      <c r="K9" s="145">
        <v>85</v>
      </c>
      <c r="L9" s="147" t="s">
        <v>124</v>
      </c>
      <c r="M9" s="160" t="s">
        <v>123</v>
      </c>
      <c r="N9" s="147" t="s">
        <v>130</v>
      </c>
      <c r="O9" s="147" t="s">
        <v>115</v>
      </c>
      <c r="P9" s="147" t="s">
        <v>130</v>
      </c>
      <c r="Q9" s="147" t="s">
        <v>130</v>
      </c>
      <c r="R9" s="171" t="s">
        <v>626</v>
      </c>
      <c r="S9" s="148" t="s">
        <v>119</v>
      </c>
      <c r="T9" s="148" t="s">
        <v>136</v>
      </c>
      <c r="U9" s="148" t="s">
        <v>148</v>
      </c>
      <c r="V9" s="145">
        <f t="shared" si="1"/>
        <v>182</v>
      </c>
      <c r="W9" s="172" t="s">
        <v>627</v>
      </c>
      <c r="X9" s="145">
        <f t="shared" si="2"/>
        <v>268</v>
      </c>
      <c r="Y9" s="184"/>
    </row>
    <row r="10" spans="1:25">
      <c r="A10" s="174"/>
      <c r="B10" s="153">
        <v>492</v>
      </c>
      <c r="C10" s="154" t="s">
        <v>764</v>
      </c>
      <c r="D10" s="144">
        <v>34</v>
      </c>
      <c r="E10" s="145">
        <v>96</v>
      </c>
      <c r="F10" s="145">
        <v>88</v>
      </c>
      <c r="G10" s="145">
        <v>66</v>
      </c>
      <c r="H10" s="145">
        <v>65</v>
      </c>
      <c r="I10" s="145">
        <v>70</v>
      </c>
      <c r="J10" s="145">
        <f t="shared" si="0"/>
        <v>385</v>
      </c>
      <c r="K10" s="145">
        <v>42</v>
      </c>
      <c r="L10" s="147" t="s">
        <v>115</v>
      </c>
      <c r="M10" s="147" t="s">
        <v>115</v>
      </c>
      <c r="N10" s="147" t="s">
        <v>114</v>
      </c>
      <c r="O10" s="160" t="s">
        <v>123</v>
      </c>
      <c r="P10" s="147" t="s">
        <v>130</v>
      </c>
      <c r="Q10" s="147" t="s">
        <v>114</v>
      </c>
      <c r="R10" s="158" t="s">
        <v>189</v>
      </c>
      <c r="S10" s="148" t="s">
        <v>132</v>
      </c>
      <c r="T10" s="148" t="s">
        <v>119</v>
      </c>
      <c r="U10" s="148" t="s">
        <v>126</v>
      </c>
      <c r="V10" s="145">
        <f t="shared" si="1"/>
        <v>184</v>
      </c>
      <c r="W10" s="172" t="s">
        <v>765</v>
      </c>
      <c r="X10" s="145">
        <f t="shared" si="2"/>
        <v>250</v>
      </c>
      <c r="Y10" s="184"/>
    </row>
    <row r="11" spans="1:25">
      <c r="A11" s="174"/>
      <c r="B11" s="153">
        <v>182</v>
      </c>
      <c r="C11" s="154" t="s">
        <v>177</v>
      </c>
      <c r="D11" s="144">
        <v>34</v>
      </c>
      <c r="E11" s="145">
        <v>99</v>
      </c>
      <c r="F11" s="145">
        <v>84</v>
      </c>
      <c r="G11" s="145">
        <v>77</v>
      </c>
      <c r="H11" s="145">
        <v>66</v>
      </c>
      <c r="I11" s="145">
        <v>83</v>
      </c>
      <c r="J11" s="145">
        <f t="shared" si="0"/>
        <v>409</v>
      </c>
      <c r="K11" s="145">
        <v>91</v>
      </c>
      <c r="L11" s="160" t="s">
        <v>123</v>
      </c>
      <c r="M11" s="147" t="s">
        <v>115</v>
      </c>
      <c r="N11" s="147" t="s">
        <v>130</v>
      </c>
      <c r="O11" s="147" t="s">
        <v>114</v>
      </c>
      <c r="P11" s="147" t="s">
        <v>115</v>
      </c>
      <c r="Q11" s="147" t="s">
        <v>115</v>
      </c>
      <c r="R11" s="158" t="s">
        <v>178</v>
      </c>
      <c r="S11" s="148" t="s">
        <v>132</v>
      </c>
      <c r="T11" s="148" t="s">
        <v>119</v>
      </c>
      <c r="U11" s="148" t="s">
        <v>120</v>
      </c>
      <c r="V11" s="145">
        <f t="shared" si="1"/>
        <v>183</v>
      </c>
      <c r="W11" s="148" t="s">
        <v>179</v>
      </c>
      <c r="X11" s="145">
        <f t="shared" si="2"/>
        <v>260</v>
      </c>
      <c r="Y11" s="184"/>
    </row>
    <row r="12" spans="1:25">
      <c r="A12" s="174"/>
      <c r="B12" s="153">
        <v>458</v>
      </c>
      <c r="C12" s="154" t="s">
        <v>862</v>
      </c>
      <c r="D12" s="144">
        <v>33</v>
      </c>
      <c r="E12" s="145">
        <v>89</v>
      </c>
      <c r="F12" s="145">
        <v>100</v>
      </c>
      <c r="G12" s="145">
        <v>51</v>
      </c>
      <c r="H12" s="145">
        <v>33</v>
      </c>
      <c r="I12" s="145">
        <v>45</v>
      </c>
      <c r="J12" s="145">
        <f t="shared" si="0"/>
        <v>318</v>
      </c>
      <c r="K12" s="145">
        <v>11</v>
      </c>
      <c r="L12" s="147" t="s">
        <v>130</v>
      </c>
      <c r="M12" s="147" t="s">
        <v>115</v>
      </c>
      <c r="N12" s="147" t="s">
        <v>114</v>
      </c>
      <c r="O12" s="147" t="s">
        <v>115</v>
      </c>
      <c r="P12" s="147" t="s">
        <v>130</v>
      </c>
      <c r="Q12" s="147" t="s">
        <v>130</v>
      </c>
      <c r="R12" s="148" t="s">
        <v>490</v>
      </c>
      <c r="S12" s="148" t="s">
        <v>132</v>
      </c>
      <c r="T12" s="148" t="s">
        <v>119</v>
      </c>
      <c r="U12" s="148" t="s">
        <v>250</v>
      </c>
      <c r="V12" s="145">
        <f t="shared" si="1"/>
        <v>189</v>
      </c>
      <c r="W12" s="149"/>
      <c r="X12" s="145">
        <f t="shared" si="2"/>
        <v>240</v>
      </c>
      <c r="Y12" s="184"/>
    </row>
    <row r="13" spans="1:25">
      <c r="A13" s="174"/>
      <c r="B13" s="153">
        <v>301</v>
      </c>
      <c r="C13" s="156" t="s">
        <v>220</v>
      </c>
      <c r="D13" s="144">
        <v>32</v>
      </c>
      <c r="E13" s="145">
        <v>82</v>
      </c>
      <c r="F13" s="145">
        <v>103</v>
      </c>
      <c r="G13" s="145">
        <v>66</v>
      </c>
      <c r="H13" s="145">
        <v>49</v>
      </c>
      <c r="I13" s="145">
        <v>34</v>
      </c>
      <c r="J13" s="145">
        <f t="shared" si="0"/>
        <v>334</v>
      </c>
      <c r="K13" s="145">
        <v>115</v>
      </c>
      <c r="L13" s="147" t="s">
        <v>115</v>
      </c>
      <c r="M13" s="147" t="s">
        <v>114</v>
      </c>
      <c r="N13" s="147" t="s">
        <v>114</v>
      </c>
      <c r="O13" s="147" t="s">
        <v>114</v>
      </c>
      <c r="P13" s="147" t="s">
        <v>115</v>
      </c>
      <c r="Q13" s="147" t="s">
        <v>114</v>
      </c>
      <c r="R13" s="158" t="s">
        <v>270</v>
      </c>
      <c r="S13" s="148" t="s">
        <v>175</v>
      </c>
      <c r="T13" s="148" t="s">
        <v>145</v>
      </c>
      <c r="U13" s="148" t="s">
        <v>126</v>
      </c>
      <c r="V13" s="145">
        <f t="shared" si="1"/>
        <v>185</v>
      </c>
      <c r="W13" s="148" t="s">
        <v>271</v>
      </c>
      <c r="X13" s="145">
        <f t="shared" si="2"/>
        <v>251</v>
      </c>
      <c r="Y13" s="184"/>
    </row>
    <row r="14" spans="1:25">
      <c r="A14" s="174"/>
      <c r="B14" s="153">
        <v>98</v>
      </c>
      <c r="C14" s="154" t="s">
        <v>347</v>
      </c>
      <c r="D14" s="144">
        <v>32</v>
      </c>
      <c r="E14" s="145">
        <v>83</v>
      </c>
      <c r="F14" s="145">
        <v>102</v>
      </c>
      <c r="G14" s="145">
        <v>54</v>
      </c>
      <c r="H14" s="145">
        <v>42</v>
      </c>
      <c r="I14" s="145">
        <v>85</v>
      </c>
      <c r="J14" s="145">
        <f t="shared" si="0"/>
        <v>366</v>
      </c>
      <c r="K14" s="145">
        <v>75</v>
      </c>
      <c r="L14" s="147" t="s">
        <v>114</v>
      </c>
      <c r="M14" s="147" t="s">
        <v>115</v>
      </c>
      <c r="N14" s="147" t="s">
        <v>130</v>
      </c>
      <c r="O14" s="147" t="s">
        <v>130</v>
      </c>
      <c r="P14" s="147" t="s">
        <v>124</v>
      </c>
      <c r="Q14" s="147" t="s">
        <v>114</v>
      </c>
      <c r="R14" s="158" t="s">
        <v>270</v>
      </c>
      <c r="S14" s="148" t="s">
        <v>118</v>
      </c>
      <c r="T14" s="148" t="s">
        <v>119</v>
      </c>
      <c r="U14" s="148" t="s">
        <v>126</v>
      </c>
      <c r="V14" s="145">
        <f t="shared" si="1"/>
        <v>185</v>
      </c>
      <c r="W14" s="148" t="s">
        <v>271</v>
      </c>
      <c r="X14" s="145">
        <f t="shared" si="2"/>
        <v>239</v>
      </c>
      <c r="Y14" s="184"/>
    </row>
    <row r="15" spans="1:25">
      <c r="A15" s="174"/>
      <c r="B15" s="153">
        <v>40</v>
      </c>
      <c r="C15" s="154" t="s">
        <v>789</v>
      </c>
      <c r="D15" s="144">
        <v>32</v>
      </c>
      <c r="E15" s="145">
        <v>97</v>
      </c>
      <c r="F15" s="178">
        <v>43</v>
      </c>
      <c r="G15" s="145">
        <v>68</v>
      </c>
      <c r="H15" s="145">
        <v>66</v>
      </c>
      <c r="I15" s="145">
        <v>65</v>
      </c>
      <c r="J15" s="145">
        <f t="shared" si="0"/>
        <v>339</v>
      </c>
      <c r="K15" s="145">
        <v>23</v>
      </c>
      <c r="L15" s="147" t="s">
        <v>114</v>
      </c>
      <c r="M15" s="147" t="s">
        <v>115</v>
      </c>
      <c r="N15" s="160" t="s">
        <v>123</v>
      </c>
      <c r="O15" s="147" t="s">
        <v>115</v>
      </c>
      <c r="P15" s="147" t="s">
        <v>130</v>
      </c>
      <c r="Q15" s="147" t="s">
        <v>124</v>
      </c>
      <c r="R15" s="158" t="s">
        <v>790</v>
      </c>
      <c r="S15" s="148" t="s">
        <v>132</v>
      </c>
      <c r="T15" s="148" t="s">
        <v>119</v>
      </c>
      <c r="U15" s="148" t="s">
        <v>126</v>
      </c>
      <c r="V15" s="145">
        <f t="shared" si="1"/>
        <v>140</v>
      </c>
      <c r="W15" s="148" t="s">
        <v>791</v>
      </c>
      <c r="X15" s="145">
        <f t="shared" si="2"/>
        <v>208</v>
      </c>
      <c r="Y15" s="184"/>
    </row>
    <row r="16" spans="1:25">
      <c r="A16" s="174"/>
      <c r="B16" s="153">
        <v>279</v>
      </c>
      <c r="C16" s="156" t="s">
        <v>1026</v>
      </c>
      <c r="D16" s="144">
        <v>31</v>
      </c>
      <c r="E16" s="145">
        <v>83</v>
      </c>
      <c r="F16" s="145">
        <v>97</v>
      </c>
      <c r="G16" s="145">
        <v>91</v>
      </c>
      <c r="H16" s="145">
        <v>82</v>
      </c>
      <c r="I16" s="145">
        <v>54</v>
      </c>
      <c r="J16" s="145">
        <f t="shared" si="0"/>
        <v>407</v>
      </c>
      <c r="K16" s="145">
        <v>140</v>
      </c>
      <c r="L16" s="160" t="s">
        <v>123</v>
      </c>
      <c r="M16" s="147" t="s">
        <v>115</v>
      </c>
      <c r="N16" s="147" t="s">
        <v>115</v>
      </c>
      <c r="O16" s="147" t="s">
        <v>114</v>
      </c>
      <c r="P16" s="147" t="s">
        <v>114</v>
      </c>
      <c r="Q16" s="147" t="s">
        <v>114</v>
      </c>
      <c r="R16" s="148" t="s">
        <v>461</v>
      </c>
      <c r="S16" s="148" t="s">
        <v>175</v>
      </c>
      <c r="T16" s="148" t="s">
        <v>145</v>
      </c>
      <c r="U16" s="148" t="s">
        <v>148</v>
      </c>
      <c r="V16" s="145">
        <f t="shared" si="1"/>
        <v>180</v>
      </c>
      <c r="W16" s="149"/>
      <c r="X16" s="145">
        <f t="shared" si="2"/>
        <v>271</v>
      </c>
      <c r="Y16" s="184"/>
    </row>
    <row r="17" spans="1:25">
      <c r="A17" s="174"/>
      <c r="B17" s="153">
        <v>681</v>
      </c>
      <c r="C17" s="154" t="s">
        <v>113</v>
      </c>
      <c r="D17" s="144">
        <v>31</v>
      </c>
      <c r="E17" s="145">
        <v>97</v>
      </c>
      <c r="F17" s="145">
        <v>83</v>
      </c>
      <c r="G17" s="145">
        <v>79</v>
      </c>
      <c r="H17" s="145">
        <v>68</v>
      </c>
      <c r="I17" s="145">
        <v>87</v>
      </c>
      <c r="J17" s="145">
        <f t="shared" si="0"/>
        <v>414</v>
      </c>
      <c r="K17" s="145">
        <v>88</v>
      </c>
      <c r="L17" s="147" t="s">
        <v>114</v>
      </c>
      <c r="M17" s="147" t="s">
        <v>115</v>
      </c>
      <c r="N17" s="147" t="s">
        <v>114</v>
      </c>
      <c r="O17" s="147" t="s">
        <v>115</v>
      </c>
      <c r="P17" s="160" t="s">
        <v>116</v>
      </c>
      <c r="Q17" s="147" t="s">
        <v>115</v>
      </c>
      <c r="R17" s="158" t="s">
        <v>117</v>
      </c>
      <c r="S17" s="148" t="s">
        <v>118</v>
      </c>
      <c r="T17" s="148" t="s">
        <v>119</v>
      </c>
      <c r="U17" s="148" t="s">
        <v>120</v>
      </c>
      <c r="V17" s="145">
        <f t="shared" si="1"/>
        <v>180</v>
      </c>
      <c r="W17" s="172" t="s">
        <v>121</v>
      </c>
      <c r="X17" s="145">
        <f t="shared" si="2"/>
        <v>259</v>
      </c>
      <c r="Y17" s="184"/>
    </row>
    <row r="18" spans="1:25">
      <c r="A18" s="174"/>
      <c r="B18" s="153">
        <v>377</v>
      </c>
      <c r="C18" s="154" t="s">
        <v>772</v>
      </c>
      <c r="D18" s="144">
        <v>31</v>
      </c>
      <c r="E18" s="145">
        <v>96</v>
      </c>
      <c r="F18" s="145">
        <v>82</v>
      </c>
      <c r="G18" s="145">
        <v>76</v>
      </c>
      <c r="H18" s="145">
        <v>74</v>
      </c>
      <c r="I18" s="145">
        <v>69</v>
      </c>
      <c r="J18" s="145">
        <f t="shared" si="0"/>
        <v>397</v>
      </c>
      <c r="K18" s="145">
        <v>145</v>
      </c>
      <c r="L18" s="147" t="s">
        <v>115</v>
      </c>
      <c r="M18" s="147" t="s">
        <v>114</v>
      </c>
      <c r="N18" s="147" t="s">
        <v>130</v>
      </c>
      <c r="O18" s="160" t="s">
        <v>123</v>
      </c>
      <c r="P18" s="147" t="s">
        <v>130</v>
      </c>
      <c r="Q18" s="147" t="s">
        <v>124</v>
      </c>
      <c r="R18" s="158" t="s">
        <v>773</v>
      </c>
      <c r="S18" s="148" t="s">
        <v>132</v>
      </c>
      <c r="T18" s="148" t="s">
        <v>145</v>
      </c>
      <c r="U18" s="148" t="s">
        <v>126</v>
      </c>
      <c r="V18" s="145">
        <f t="shared" si="1"/>
        <v>178</v>
      </c>
      <c r="W18" s="148" t="s">
        <v>774</v>
      </c>
      <c r="X18" s="145">
        <f t="shared" si="2"/>
        <v>254</v>
      </c>
      <c r="Y18" s="184"/>
    </row>
    <row r="19" spans="1:25">
      <c r="A19" s="174"/>
      <c r="B19" s="153">
        <v>248</v>
      </c>
      <c r="C19" s="154" t="s">
        <v>960</v>
      </c>
      <c r="D19" s="144">
        <v>31</v>
      </c>
      <c r="E19" s="145">
        <v>93</v>
      </c>
      <c r="F19" s="145">
        <v>77</v>
      </c>
      <c r="G19" s="145">
        <v>85</v>
      </c>
      <c r="H19" s="145">
        <v>92</v>
      </c>
      <c r="I19" s="145">
        <v>75</v>
      </c>
      <c r="J19" s="145">
        <f t="shared" si="0"/>
        <v>422</v>
      </c>
      <c r="K19" s="145">
        <v>90</v>
      </c>
      <c r="L19" s="147" t="s">
        <v>115</v>
      </c>
      <c r="M19" s="147" t="s">
        <v>114</v>
      </c>
      <c r="N19" s="160" t="s">
        <v>123</v>
      </c>
      <c r="O19" s="147" t="s">
        <v>115</v>
      </c>
      <c r="P19" s="147" t="s">
        <v>114</v>
      </c>
      <c r="Q19" s="147" t="s">
        <v>130</v>
      </c>
      <c r="R19" s="158" t="s">
        <v>189</v>
      </c>
      <c r="S19" s="148" t="s">
        <v>119</v>
      </c>
      <c r="T19" s="148" t="s">
        <v>136</v>
      </c>
      <c r="U19" s="148" t="s">
        <v>126</v>
      </c>
      <c r="V19" s="145">
        <f t="shared" si="1"/>
        <v>170</v>
      </c>
      <c r="W19" s="172" t="s">
        <v>765</v>
      </c>
      <c r="X19" s="145">
        <f t="shared" si="2"/>
        <v>255</v>
      </c>
      <c r="Y19" s="184"/>
    </row>
    <row r="20" spans="1:25">
      <c r="A20" s="174" t="s">
        <v>1418</v>
      </c>
      <c r="B20" s="153">
        <v>157</v>
      </c>
      <c r="C20" s="156" t="s">
        <v>273</v>
      </c>
      <c r="D20" s="144">
        <v>31</v>
      </c>
      <c r="E20" s="145">
        <v>87</v>
      </c>
      <c r="F20" s="145">
        <v>105</v>
      </c>
      <c r="G20" s="145">
        <v>72</v>
      </c>
      <c r="H20" s="145">
        <v>21</v>
      </c>
      <c r="I20" s="145">
        <v>13</v>
      </c>
      <c r="J20" s="145">
        <f t="shared" si="0"/>
        <v>298</v>
      </c>
      <c r="K20" s="145">
        <v>30</v>
      </c>
      <c r="L20" s="147" t="s">
        <v>130</v>
      </c>
      <c r="M20" s="147" t="s">
        <v>124</v>
      </c>
      <c r="N20" s="147" t="s">
        <v>114</v>
      </c>
      <c r="O20" s="147" t="s">
        <v>115</v>
      </c>
      <c r="P20" s="147" t="s">
        <v>115</v>
      </c>
      <c r="Q20" s="147" t="s">
        <v>130</v>
      </c>
      <c r="R20" s="158" t="s">
        <v>274</v>
      </c>
      <c r="S20" s="148" t="s">
        <v>275</v>
      </c>
      <c r="T20" s="148" t="s">
        <v>145</v>
      </c>
      <c r="U20" s="148" t="s">
        <v>250</v>
      </c>
      <c r="V20" s="145">
        <f t="shared" si="1"/>
        <v>192</v>
      </c>
      <c r="W20" s="148" t="s">
        <v>276</v>
      </c>
      <c r="X20" s="145">
        <f t="shared" si="2"/>
        <v>264</v>
      </c>
      <c r="Y20" s="184"/>
    </row>
    <row r="21" spans="1:25">
      <c r="A21" s="174"/>
      <c r="B21" s="153">
        <v>80</v>
      </c>
      <c r="C21" s="156" t="s">
        <v>173</v>
      </c>
      <c r="D21" s="144">
        <v>30</v>
      </c>
      <c r="E21" s="145">
        <v>96</v>
      </c>
      <c r="F21" s="145">
        <v>90</v>
      </c>
      <c r="G21" s="145">
        <v>104</v>
      </c>
      <c r="H21" s="145">
        <v>76</v>
      </c>
      <c r="I21" s="145">
        <v>84</v>
      </c>
      <c r="J21" s="145">
        <f t="shared" si="0"/>
        <v>450</v>
      </c>
      <c r="K21" s="145">
        <v>25</v>
      </c>
      <c r="L21" s="147" t="s">
        <v>130</v>
      </c>
      <c r="M21" s="147" t="s">
        <v>114</v>
      </c>
      <c r="N21" s="160" t="s">
        <v>123</v>
      </c>
      <c r="O21" s="147" t="s">
        <v>130</v>
      </c>
      <c r="P21" s="147" t="s">
        <v>115</v>
      </c>
      <c r="Q21" s="147" t="s">
        <v>124</v>
      </c>
      <c r="R21" s="158" t="s">
        <v>174</v>
      </c>
      <c r="S21" s="148" t="s">
        <v>175</v>
      </c>
      <c r="T21" s="148" t="s">
        <v>145</v>
      </c>
      <c r="U21" s="148" t="s">
        <v>120</v>
      </c>
      <c r="V21" s="145">
        <f t="shared" si="1"/>
        <v>186</v>
      </c>
      <c r="W21" s="148" t="s">
        <v>176</v>
      </c>
      <c r="X21" s="145">
        <f t="shared" si="2"/>
        <v>290</v>
      </c>
      <c r="Y21" s="184"/>
    </row>
    <row r="22" spans="1:25">
      <c r="A22" s="174"/>
      <c r="B22" s="153">
        <v>365</v>
      </c>
      <c r="C22" s="154" t="s">
        <v>188</v>
      </c>
      <c r="D22" s="144">
        <v>30</v>
      </c>
      <c r="E22" s="145">
        <v>96</v>
      </c>
      <c r="F22" s="145">
        <v>72</v>
      </c>
      <c r="G22" s="145">
        <v>96</v>
      </c>
      <c r="H22" s="145">
        <v>95</v>
      </c>
      <c r="I22" s="145">
        <v>79</v>
      </c>
      <c r="J22" s="145">
        <f t="shared" si="0"/>
        <v>438</v>
      </c>
      <c r="K22" s="145">
        <v>90</v>
      </c>
      <c r="L22" s="147" t="s">
        <v>114</v>
      </c>
      <c r="M22" s="147" t="s">
        <v>115</v>
      </c>
      <c r="N22" s="147" t="s">
        <v>114</v>
      </c>
      <c r="O22" s="147" t="s">
        <v>130</v>
      </c>
      <c r="P22" s="147" t="s">
        <v>115</v>
      </c>
      <c r="Q22" s="160" t="s">
        <v>116</v>
      </c>
      <c r="R22" s="158" t="s">
        <v>189</v>
      </c>
      <c r="S22" s="148" t="s">
        <v>119</v>
      </c>
      <c r="T22" s="148" t="s">
        <v>145</v>
      </c>
      <c r="U22" s="148" t="s">
        <v>126</v>
      </c>
      <c r="V22" s="145">
        <f t="shared" si="1"/>
        <v>168</v>
      </c>
      <c r="W22" s="183" t="s">
        <v>190</v>
      </c>
      <c r="X22" s="145">
        <f t="shared" si="2"/>
        <v>264</v>
      </c>
      <c r="Y22" s="184"/>
    </row>
    <row r="23" spans="1:25">
      <c r="A23" s="174"/>
      <c r="B23" s="153">
        <v>270</v>
      </c>
      <c r="C23" s="154" t="s">
        <v>684</v>
      </c>
      <c r="D23" s="144">
        <v>30</v>
      </c>
      <c r="E23" s="145">
        <v>95</v>
      </c>
      <c r="F23" s="145">
        <v>89</v>
      </c>
      <c r="G23" s="145">
        <v>91</v>
      </c>
      <c r="H23" s="145">
        <v>69</v>
      </c>
      <c r="I23" s="145">
        <v>82</v>
      </c>
      <c r="J23" s="145">
        <f t="shared" si="0"/>
        <v>426</v>
      </c>
      <c r="K23" s="145">
        <v>5</v>
      </c>
      <c r="L23" s="147" t="s">
        <v>115</v>
      </c>
      <c r="M23" s="147" t="s">
        <v>114</v>
      </c>
      <c r="N23" s="147" t="s">
        <v>115</v>
      </c>
      <c r="O23" s="160" t="s">
        <v>123</v>
      </c>
      <c r="P23" s="147" t="s">
        <v>130</v>
      </c>
      <c r="Q23" s="147" t="s">
        <v>124</v>
      </c>
      <c r="R23" s="158" t="s">
        <v>174</v>
      </c>
      <c r="S23" s="148" t="s">
        <v>119</v>
      </c>
      <c r="T23" s="148" t="s">
        <v>136</v>
      </c>
      <c r="U23" s="148" t="s">
        <v>120</v>
      </c>
      <c r="V23" s="145">
        <f t="shared" si="1"/>
        <v>184</v>
      </c>
      <c r="W23" s="148" t="s">
        <v>176</v>
      </c>
      <c r="X23" s="145">
        <f t="shared" si="2"/>
        <v>275</v>
      </c>
      <c r="Y23" s="184"/>
    </row>
    <row r="24" spans="1:25">
      <c r="A24" s="174"/>
      <c r="B24" s="153">
        <v>671</v>
      </c>
      <c r="C24" s="154" t="s">
        <v>939</v>
      </c>
      <c r="D24" s="144">
        <v>30</v>
      </c>
      <c r="E24" s="145">
        <v>95</v>
      </c>
      <c r="F24" s="145">
        <v>84</v>
      </c>
      <c r="G24" s="145">
        <v>82</v>
      </c>
      <c r="H24" s="145">
        <v>74</v>
      </c>
      <c r="I24" s="145">
        <v>79</v>
      </c>
      <c r="J24" s="145">
        <f t="shared" si="0"/>
        <v>414</v>
      </c>
      <c r="K24" s="145">
        <v>64</v>
      </c>
      <c r="L24" s="147" t="s">
        <v>115</v>
      </c>
      <c r="M24" s="160" t="s">
        <v>123</v>
      </c>
      <c r="N24" s="147" t="s">
        <v>114</v>
      </c>
      <c r="O24" s="147" t="s">
        <v>130</v>
      </c>
      <c r="P24" s="147" t="s">
        <v>114</v>
      </c>
      <c r="Q24" s="147" t="s">
        <v>115</v>
      </c>
      <c r="R24" s="148" t="s">
        <v>915</v>
      </c>
      <c r="S24" s="148" t="s">
        <v>118</v>
      </c>
      <c r="T24" s="148" t="s">
        <v>119</v>
      </c>
      <c r="U24" s="148" t="s">
        <v>120</v>
      </c>
      <c r="V24" s="145">
        <f t="shared" si="1"/>
        <v>179</v>
      </c>
      <c r="W24" s="149"/>
      <c r="X24" s="145">
        <f t="shared" si="2"/>
        <v>261</v>
      </c>
      <c r="Y24" s="184"/>
    </row>
    <row r="25" spans="1:25">
      <c r="A25" s="174"/>
      <c r="B25" s="153">
        <v>207</v>
      </c>
      <c r="C25" s="156" t="s">
        <v>887</v>
      </c>
      <c r="D25" s="144">
        <v>30</v>
      </c>
      <c r="E25" s="145">
        <v>84</v>
      </c>
      <c r="F25" s="145">
        <v>94</v>
      </c>
      <c r="G25" s="145">
        <v>74</v>
      </c>
      <c r="H25" s="145">
        <v>53</v>
      </c>
      <c r="I25" s="145">
        <v>96</v>
      </c>
      <c r="J25" s="145">
        <f t="shared" si="0"/>
        <v>401</v>
      </c>
      <c r="K25" s="145">
        <v>48</v>
      </c>
      <c r="L25" s="147" t="s">
        <v>114</v>
      </c>
      <c r="M25" s="147" t="s">
        <v>124</v>
      </c>
      <c r="N25" s="147" t="s">
        <v>114</v>
      </c>
      <c r="O25" s="160" t="s">
        <v>123</v>
      </c>
      <c r="P25" s="147" t="s">
        <v>114</v>
      </c>
      <c r="Q25" s="147" t="s">
        <v>124</v>
      </c>
      <c r="R25" s="148" t="s">
        <v>655</v>
      </c>
      <c r="S25" s="148" t="s">
        <v>132</v>
      </c>
      <c r="T25" s="148" t="s">
        <v>136</v>
      </c>
      <c r="U25" s="148" t="s">
        <v>120</v>
      </c>
      <c r="V25" s="145">
        <f t="shared" si="1"/>
        <v>178</v>
      </c>
      <c r="W25" s="149"/>
      <c r="X25" s="145">
        <f t="shared" si="2"/>
        <v>252</v>
      </c>
      <c r="Y25" s="184"/>
    </row>
    <row r="26" spans="1:25">
      <c r="A26" s="174"/>
      <c r="B26" s="153">
        <v>258</v>
      </c>
      <c r="C26" s="154" t="s">
        <v>840</v>
      </c>
      <c r="D26" s="144">
        <v>30</v>
      </c>
      <c r="E26" s="145">
        <v>80</v>
      </c>
      <c r="F26" s="145">
        <v>106</v>
      </c>
      <c r="G26" s="145">
        <v>56</v>
      </c>
      <c r="H26" s="145">
        <v>37</v>
      </c>
      <c r="I26" s="145">
        <v>53</v>
      </c>
      <c r="J26" s="145">
        <f t="shared" si="0"/>
        <v>332</v>
      </c>
      <c r="K26" s="145">
        <v>138</v>
      </c>
      <c r="L26" s="147" t="s">
        <v>115</v>
      </c>
      <c r="M26" s="147" t="s">
        <v>115</v>
      </c>
      <c r="N26" s="147" t="s">
        <v>114</v>
      </c>
      <c r="O26" s="147" t="s">
        <v>114</v>
      </c>
      <c r="P26" s="147" t="s">
        <v>130</v>
      </c>
      <c r="Q26" s="147" t="s">
        <v>124</v>
      </c>
      <c r="R26" s="158" t="s">
        <v>749</v>
      </c>
      <c r="S26" s="148" t="s">
        <v>119</v>
      </c>
      <c r="T26" s="148" t="s">
        <v>145</v>
      </c>
      <c r="U26" s="148" t="s">
        <v>250</v>
      </c>
      <c r="V26" s="145">
        <f t="shared" si="1"/>
        <v>186</v>
      </c>
      <c r="W26" s="149"/>
      <c r="X26" s="145">
        <f t="shared" si="2"/>
        <v>242</v>
      </c>
      <c r="Y26" s="184"/>
    </row>
    <row r="27" spans="1:25">
      <c r="A27" s="174"/>
      <c r="B27" s="153">
        <v>184</v>
      </c>
      <c r="C27" s="154" t="s">
        <v>898</v>
      </c>
      <c r="D27" s="144">
        <v>28</v>
      </c>
      <c r="E27" s="145">
        <v>98</v>
      </c>
      <c r="F27" s="145">
        <v>77</v>
      </c>
      <c r="G27" s="145">
        <v>90</v>
      </c>
      <c r="H27" s="145">
        <v>93</v>
      </c>
      <c r="I27" s="145">
        <v>91</v>
      </c>
      <c r="J27" s="145">
        <f t="shared" si="0"/>
        <v>449</v>
      </c>
      <c r="K27" s="145">
        <v>25</v>
      </c>
      <c r="L27" s="147" t="s">
        <v>115</v>
      </c>
      <c r="M27" s="160" t="s">
        <v>123</v>
      </c>
      <c r="N27" s="147" t="s">
        <v>114</v>
      </c>
      <c r="O27" s="147" t="s">
        <v>115</v>
      </c>
      <c r="P27" s="147" t="s">
        <v>114</v>
      </c>
      <c r="Q27" s="147" t="s">
        <v>124</v>
      </c>
      <c r="R27" s="158" t="s">
        <v>174</v>
      </c>
      <c r="S27" s="148" t="s">
        <v>119</v>
      </c>
      <c r="T27" s="148" t="s">
        <v>145</v>
      </c>
      <c r="U27" s="148" t="s">
        <v>120</v>
      </c>
      <c r="V27" s="145">
        <f t="shared" si="1"/>
        <v>175</v>
      </c>
      <c r="W27" s="148" t="s">
        <v>176</v>
      </c>
      <c r="X27" s="145">
        <f t="shared" si="2"/>
        <v>265</v>
      </c>
      <c r="Y27" s="184"/>
    </row>
    <row r="28" spans="1:25">
      <c r="A28" s="174"/>
      <c r="B28" s="153">
        <v>23</v>
      </c>
      <c r="C28" s="154" t="s">
        <v>995</v>
      </c>
      <c r="D28" s="144">
        <v>28</v>
      </c>
      <c r="E28" s="145">
        <v>94</v>
      </c>
      <c r="F28" s="145">
        <v>79</v>
      </c>
      <c r="G28" s="145">
        <v>85</v>
      </c>
      <c r="H28" s="145">
        <v>62</v>
      </c>
      <c r="I28" s="145">
        <v>65</v>
      </c>
      <c r="J28" s="145">
        <f t="shared" si="0"/>
        <v>385</v>
      </c>
      <c r="K28" s="145">
        <v>21</v>
      </c>
      <c r="L28" s="147" t="s">
        <v>115</v>
      </c>
      <c r="M28" s="160" t="s">
        <v>123</v>
      </c>
      <c r="N28" s="147" t="s">
        <v>130</v>
      </c>
      <c r="O28" s="147" t="s">
        <v>114</v>
      </c>
      <c r="P28" s="147" t="s">
        <v>114</v>
      </c>
      <c r="Q28" s="147" t="s">
        <v>130</v>
      </c>
      <c r="R28" s="158" t="s">
        <v>996</v>
      </c>
      <c r="S28" s="148" t="s">
        <v>118</v>
      </c>
      <c r="T28" s="148" t="s">
        <v>119</v>
      </c>
      <c r="U28" s="148" t="s">
        <v>126</v>
      </c>
      <c r="V28" s="145">
        <f t="shared" si="1"/>
        <v>173</v>
      </c>
      <c r="W28" s="172" t="s">
        <v>997</v>
      </c>
      <c r="X28" s="145">
        <f t="shared" si="2"/>
        <v>258</v>
      </c>
      <c r="Y28" s="184"/>
    </row>
    <row r="29" spans="1:25">
      <c r="A29" s="174"/>
      <c r="B29" s="153">
        <v>306</v>
      </c>
      <c r="C29" s="154" t="s">
        <v>138</v>
      </c>
      <c r="D29" s="144">
        <v>28</v>
      </c>
      <c r="E29" s="145">
        <v>94</v>
      </c>
      <c r="F29" s="145">
        <v>49</v>
      </c>
      <c r="G29" s="145">
        <v>102</v>
      </c>
      <c r="H29" s="145">
        <v>102</v>
      </c>
      <c r="I29" s="145">
        <v>69</v>
      </c>
      <c r="J29" s="145">
        <f t="shared" si="0"/>
        <v>416</v>
      </c>
      <c r="K29" s="145">
        <v>129</v>
      </c>
      <c r="L29" s="147" t="s">
        <v>114</v>
      </c>
      <c r="M29" s="147" t="s">
        <v>115</v>
      </c>
      <c r="N29" s="147" t="s">
        <v>130</v>
      </c>
      <c r="O29" s="147" t="s">
        <v>114</v>
      </c>
      <c r="P29" s="160" t="s">
        <v>123</v>
      </c>
      <c r="Q29" s="147" t="s">
        <v>124</v>
      </c>
      <c r="R29" s="148" t="s">
        <v>139</v>
      </c>
      <c r="S29" s="148" t="s">
        <v>132</v>
      </c>
      <c r="T29" s="148" t="s">
        <v>119</v>
      </c>
      <c r="U29" s="148" t="s">
        <v>120</v>
      </c>
      <c r="V29" s="145">
        <f t="shared" si="1"/>
        <v>143</v>
      </c>
      <c r="W29" s="149"/>
      <c r="X29" s="145">
        <f t="shared" si="2"/>
        <v>245</v>
      </c>
      <c r="Y29" s="184"/>
    </row>
    <row r="30" spans="1:25">
      <c r="A30" s="174"/>
      <c r="B30" s="153">
        <v>560</v>
      </c>
      <c r="C30" s="175" t="s">
        <v>872</v>
      </c>
      <c r="D30" s="144">
        <v>27</v>
      </c>
      <c r="E30" s="145">
        <v>78</v>
      </c>
      <c r="F30" s="145">
        <v>107</v>
      </c>
      <c r="G30" s="145">
        <v>30</v>
      </c>
      <c r="H30" s="145">
        <v>21</v>
      </c>
      <c r="I30" s="145">
        <v>33</v>
      </c>
      <c r="J30" s="145">
        <f t="shared" si="0"/>
        <v>269</v>
      </c>
      <c r="K30" s="145">
        <v>32</v>
      </c>
      <c r="L30" s="147" t="s">
        <v>114</v>
      </c>
      <c r="M30" s="147" t="s">
        <v>130</v>
      </c>
      <c r="N30" s="147" t="s">
        <v>130</v>
      </c>
      <c r="O30" s="179" t="s">
        <v>115</v>
      </c>
      <c r="P30" s="147" t="s">
        <v>130</v>
      </c>
      <c r="Q30" s="147" t="s">
        <v>124</v>
      </c>
      <c r="R30" s="148" t="s">
        <v>749</v>
      </c>
      <c r="S30" s="148" t="s">
        <v>119</v>
      </c>
      <c r="T30" s="148" t="s">
        <v>119</v>
      </c>
      <c r="U30" s="148" t="s">
        <v>250</v>
      </c>
      <c r="V30" s="145">
        <f t="shared" si="1"/>
        <v>185</v>
      </c>
      <c r="W30" s="149"/>
      <c r="X30" s="145">
        <f t="shared" si="2"/>
        <v>215</v>
      </c>
      <c r="Y30" s="184"/>
    </row>
    <row r="31" spans="1:25">
      <c r="A31" s="174"/>
      <c r="B31" s="153">
        <v>1</v>
      </c>
      <c r="C31" s="154" t="s">
        <v>905</v>
      </c>
      <c r="D31" s="144">
        <v>26</v>
      </c>
      <c r="E31" s="145">
        <v>88</v>
      </c>
      <c r="F31" s="145">
        <v>65</v>
      </c>
      <c r="G31" s="145">
        <v>96</v>
      </c>
      <c r="H31" s="145">
        <v>110</v>
      </c>
      <c r="I31" s="145">
        <v>87</v>
      </c>
      <c r="J31" s="145">
        <f t="shared" si="0"/>
        <v>446</v>
      </c>
      <c r="K31" s="145">
        <v>65</v>
      </c>
      <c r="L31" s="147" t="s">
        <v>115</v>
      </c>
      <c r="M31" s="147" t="s">
        <v>115</v>
      </c>
      <c r="N31" s="147" t="s">
        <v>114</v>
      </c>
      <c r="O31" s="147" t="s">
        <v>130</v>
      </c>
      <c r="P31" s="147" t="s">
        <v>114</v>
      </c>
      <c r="Q31" s="147" t="s">
        <v>130</v>
      </c>
      <c r="R31" s="148" t="s">
        <v>139</v>
      </c>
      <c r="S31" s="148" t="s">
        <v>132</v>
      </c>
      <c r="T31" s="148" t="s">
        <v>136</v>
      </c>
      <c r="U31" s="148" t="s">
        <v>126</v>
      </c>
      <c r="V31" s="145">
        <f t="shared" si="1"/>
        <v>153</v>
      </c>
      <c r="W31" s="149"/>
      <c r="X31" s="145">
        <f t="shared" si="2"/>
        <v>249</v>
      </c>
      <c r="Y31" s="184"/>
    </row>
    <row r="32" spans="1:25">
      <c r="A32" s="174"/>
      <c r="B32" s="153">
        <v>553</v>
      </c>
      <c r="C32" s="154" t="s">
        <v>1030</v>
      </c>
      <c r="D32" s="144">
        <v>25</v>
      </c>
      <c r="E32" s="145">
        <v>96</v>
      </c>
      <c r="F32" s="145">
        <v>85</v>
      </c>
      <c r="G32" s="145">
        <v>54</v>
      </c>
      <c r="H32" s="145">
        <v>30</v>
      </c>
      <c r="I32" s="145">
        <v>52</v>
      </c>
      <c r="J32" s="145">
        <f t="shared" si="0"/>
        <v>317</v>
      </c>
      <c r="K32" s="145">
        <v>35</v>
      </c>
      <c r="L32" s="147" t="s">
        <v>115</v>
      </c>
      <c r="M32" s="147" t="s">
        <v>114</v>
      </c>
      <c r="N32" s="147" t="s">
        <v>114</v>
      </c>
      <c r="O32" s="147" t="s">
        <v>115</v>
      </c>
      <c r="P32" s="147" t="s">
        <v>114</v>
      </c>
      <c r="Q32" s="147" t="s">
        <v>130</v>
      </c>
      <c r="R32" s="148" t="s">
        <v>184</v>
      </c>
      <c r="S32" s="148" t="s">
        <v>119</v>
      </c>
      <c r="T32" s="148" t="s">
        <v>119</v>
      </c>
      <c r="U32" s="148" t="s">
        <v>250</v>
      </c>
      <c r="V32" s="145">
        <f t="shared" si="1"/>
        <v>181</v>
      </c>
      <c r="W32" s="149"/>
      <c r="X32" s="145">
        <f t="shared" si="2"/>
        <v>235</v>
      </c>
      <c r="Y32" s="184"/>
    </row>
    <row r="33" spans="1:25">
      <c r="A33" s="174"/>
      <c r="B33" s="153">
        <v>427</v>
      </c>
      <c r="C33" s="154" t="s">
        <v>941</v>
      </c>
      <c r="D33" s="144">
        <v>25</v>
      </c>
      <c r="E33" s="145">
        <v>93</v>
      </c>
      <c r="F33" s="145">
        <v>85</v>
      </c>
      <c r="G33" s="145">
        <v>80</v>
      </c>
      <c r="H33" s="145">
        <v>67</v>
      </c>
      <c r="I33" s="145">
        <v>78</v>
      </c>
      <c r="J33" s="145">
        <f t="shared" ref="J33:J64" si="3">SUM(E33:I33)</f>
        <v>403</v>
      </c>
      <c r="K33" s="145">
        <v>1</v>
      </c>
      <c r="L33" s="147" t="s">
        <v>115</v>
      </c>
      <c r="M33" s="147" t="s">
        <v>114</v>
      </c>
      <c r="N33" s="147" t="s">
        <v>114</v>
      </c>
      <c r="O33" s="147" t="s">
        <v>115</v>
      </c>
      <c r="P33" s="147" t="s">
        <v>114</v>
      </c>
      <c r="Q33" s="147" t="s">
        <v>130</v>
      </c>
      <c r="R33" s="148" t="s">
        <v>915</v>
      </c>
      <c r="S33" s="148" t="s">
        <v>118</v>
      </c>
      <c r="T33" s="148" t="s">
        <v>119</v>
      </c>
      <c r="U33" s="148" t="s">
        <v>120</v>
      </c>
      <c r="V33" s="145">
        <f t="shared" ref="V33:V64" si="4">E33+F33</f>
        <v>178</v>
      </c>
      <c r="W33" s="149"/>
      <c r="X33" s="145">
        <f t="shared" ref="X33:X64" si="5">E33+F33+G33</f>
        <v>258</v>
      </c>
      <c r="Y33" s="184"/>
    </row>
    <row r="34" spans="1:25">
      <c r="A34" s="174"/>
      <c r="B34" s="153">
        <v>426</v>
      </c>
      <c r="C34" s="154" t="s">
        <v>834</v>
      </c>
      <c r="D34" s="144">
        <v>25</v>
      </c>
      <c r="E34" s="145">
        <v>91</v>
      </c>
      <c r="F34" s="145">
        <v>91</v>
      </c>
      <c r="G34" s="145">
        <v>64</v>
      </c>
      <c r="H34" s="145">
        <v>61</v>
      </c>
      <c r="I34" s="145">
        <v>56</v>
      </c>
      <c r="J34" s="145">
        <f t="shared" si="3"/>
        <v>363</v>
      </c>
      <c r="K34" s="145">
        <v>149</v>
      </c>
      <c r="L34" s="147" t="s">
        <v>114</v>
      </c>
      <c r="M34" s="147" t="s">
        <v>130</v>
      </c>
      <c r="N34" s="147" t="s">
        <v>115</v>
      </c>
      <c r="O34" s="147" t="s">
        <v>115</v>
      </c>
      <c r="P34" s="147" t="s">
        <v>130</v>
      </c>
      <c r="Q34" s="147" t="s">
        <v>124</v>
      </c>
      <c r="R34" s="148" t="s">
        <v>562</v>
      </c>
      <c r="S34" s="148" t="s">
        <v>118</v>
      </c>
      <c r="T34" s="148" t="s">
        <v>119</v>
      </c>
      <c r="U34" s="148" t="s">
        <v>126</v>
      </c>
      <c r="V34" s="145">
        <f t="shared" si="4"/>
        <v>182</v>
      </c>
      <c r="W34" s="149"/>
      <c r="X34" s="145">
        <f t="shared" si="5"/>
        <v>246</v>
      </c>
      <c r="Y34" s="184"/>
    </row>
    <row r="35" spans="1:25">
      <c r="A35" s="174"/>
      <c r="B35" s="153">
        <v>582</v>
      </c>
      <c r="C35" s="154" t="s">
        <v>645</v>
      </c>
      <c r="D35" s="144">
        <v>25</v>
      </c>
      <c r="E35" s="145">
        <v>91</v>
      </c>
      <c r="F35" s="145">
        <v>80</v>
      </c>
      <c r="G35" s="145">
        <v>79</v>
      </c>
      <c r="H35" s="145">
        <v>94</v>
      </c>
      <c r="I35" s="145">
        <v>89</v>
      </c>
      <c r="J35" s="145">
        <f t="shared" si="3"/>
        <v>433</v>
      </c>
      <c r="K35" s="145">
        <v>55</v>
      </c>
      <c r="L35" s="147" t="s">
        <v>114</v>
      </c>
      <c r="M35" s="147" t="s">
        <v>115</v>
      </c>
      <c r="N35" s="147" t="s">
        <v>115</v>
      </c>
      <c r="O35" s="147" t="s">
        <v>114</v>
      </c>
      <c r="P35" s="147" t="s">
        <v>130</v>
      </c>
      <c r="Q35" s="147" t="s">
        <v>114</v>
      </c>
      <c r="R35" s="148" t="s">
        <v>461</v>
      </c>
      <c r="S35" s="148" t="s">
        <v>132</v>
      </c>
      <c r="T35" s="148" t="s">
        <v>136</v>
      </c>
      <c r="U35" s="148" t="s">
        <v>126</v>
      </c>
      <c r="V35" s="145">
        <f t="shared" si="4"/>
        <v>171</v>
      </c>
      <c r="W35" s="149"/>
      <c r="X35" s="145">
        <f t="shared" si="5"/>
        <v>250</v>
      </c>
      <c r="Y35" s="184"/>
    </row>
    <row r="36" spans="1:25">
      <c r="A36" s="174"/>
      <c r="B36" s="153">
        <v>217</v>
      </c>
      <c r="C36" s="154" t="s">
        <v>1040</v>
      </c>
      <c r="D36" s="144">
        <v>25</v>
      </c>
      <c r="E36" s="145">
        <v>90</v>
      </c>
      <c r="F36" s="145">
        <v>95</v>
      </c>
      <c r="G36" s="145">
        <v>50</v>
      </c>
      <c r="H36" s="145">
        <v>40</v>
      </c>
      <c r="I36" s="145">
        <v>44</v>
      </c>
      <c r="J36" s="145">
        <f t="shared" si="3"/>
        <v>319</v>
      </c>
      <c r="K36" s="145">
        <v>92</v>
      </c>
      <c r="L36" s="147" t="s">
        <v>114</v>
      </c>
      <c r="M36" s="147" t="s">
        <v>130</v>
      </c>
      <c r="N36" s="147" t="s">
        <v>115</v>
      </c>
      <c r="O36" s="147" t="s">
        <v>114</v>
      </c>
      <c r="P36" s="147" t="s">
        <v>114</v>
      </c>
      <c r="Q36" s="147" t="s">
        <v>115</v>
      </c>
      <c r="R36" s="158" t="s">
        <v>431</v>
      </c>
      <c r="S36" s="148" t="s">
        <v>119</v>
      </c>
      <c r="T36" s="148" t="s">
        <v>119</v>
      </c>
      <c r="U36" s="148" t="s">
        <v>250</v>
      </c>
      <c r="V36" s="145">
        <f t="shared" si="4"/>
        <v>185</v>
      </c>
      <c r="W36" s="172" t="s">
        <v>1041</v>
      </c>
      <c r="X36" s="145">
        <f t="shared" si="5"/>
        <v>235</v>
      </c>
      <c r="Y36" s="184"/>
    </row>
    <row r="37" spans="1:25">
      <c r="A37" s="174"/>
      <c r="B37" s="153">
        <v>455</v>
      </c>
      <c r="C37" s="154" t="s">
        <v>903</v>
      </c>
      <c r="D37" s="144">
        <v>25</v>
      </c>
      <c r="E37" s="145">
        <v>84</v>
      </c>
      <c r="F37" s="145">
        <v>53</v>
      </c>
      <c r="G37" s="145">
        <v>97</v>
      </c>
      <c r="H37" s="145">
        <v>103</v>
      </c>
      <c r="I37" s="145">
        <v>88</v>
      </c>
      <c r="J37" s="145">
        <f t="shared" si="3"/>
        <v>425</v>
      </c>
      <c r="K37" s="145">
        <v>14</v>
      </c>
      <c r="L37" s="147" t="s">
        <v>130</v>
      </c>
      <c r="M37" s="147" t="s">
        <v>115</v>
      </c>
      <c r="N37" s="147" t="s">
        <v>114</v>
      </c>
      <c r="O37" s="147" t="s">
        <v>130</v>
      </c>
      <c r="P37" s="147" t="s">
        <v>114</v>
      </c>
      <c r="Q37" s="147" t="s">
        <v>114</v>
      </c>
      <c r="R37" s="148" t="s">
        <v>139</v>
      </c>
      <c r="S37" s="148" t="s">
        <v>132</v>
      </c>
      <c r="T37" s="148" t="s">
        <v>136</v>
      </c>
      <c r="U37" s="148" t="s">
        <v>120</v>
      </c>
      <c r="V37" s="145">
        <f t="shared" si="4"/>
        <v>137</v>
      </c>
      <c r="W37" s="149"/>
      <c r="X37" s="145">
        <f t="shared" si="5"/>
        <v>234</v>
      </c>
      <c r="Y37" s="184"/>
    </row>
    <row r="38" spans="1:25">
      <c r="A38" s="174"/>
      <c r="B38" s="153">
        <v>486</v>
      </c>
      <c r="C38" s="175" t="s">
        <v>128</v>
      </c>
      <c r="D38" s="144">
        <v>24</v>
      </c>
      <c r="E38" s="145">
        <v>97</v>
      </c>
      <c r="F38" s="145">
        <v>70</v>
      </c>
      <c r="G38" s="145">
        <v>98</v>
      </c>
      <c r="H38" s="145">
        <v>76</v>
      </c>
      <c r="I38" s="145">
        <v>89</v>
      </c>
      <c r="J38" s="145">
        <f t="shared" si="3"/>
        <v>430</v>
      </c>
      <c r="K38" s="145">
        <v>48</v>
      </c>
      <c r="L38" s="147" t="s">
        <v>115</v>
      </c>
      <c r="M38" s="147" t="s">
        <v>114</v>
      </c>
      <c r="N38" s="147" t="s">
        <v>114</v>
      </c>
      <c r="O38" s="147" t="s">
        <v>115</v>
      </c>
      <c r="P38" s="160" t="s">
        <v>123</v>
      </c>
      <c r="Q38" s="147" t="s">
        <v>114</v>
      </c>
      <c r="R38" s="181" t="s">
        <v>125</v>
      </c>
      <c r="S38" s="148" t="s">
        <v>118</v>
      </c>
      <c r="T38" s="148" t="s">
        <v>119</v>
      </c>
      <c r="U38" s="148" t="s">
        <v>120</v>
      </c>
      <c r="V38" s="145">
        <f t="shared" si="4"/>
        <v>167</v>
      </c>
      <c r="W38" s="148" t="s">
        <v>127</v>
      </c>
      <c r="X38" s="145">
        <f t="shared" si="5"/>
        <v>265</v>
      </c>
      <c r="Y38" s="184"/>
    </row>
    <row r="39" spans="1:25">
      <c r="A39" s="174"/>
      <c r="B39" s="153">
        <v>119</v>
      </c>
      <c r="C39" s="154" t="s">
        <v>122</v>
      </c>
      <c r="D39" s="144">
        <v>24</v>
      </c>
      <c r="E39" s="145">
        <v>96</v>
      </c>
      <c r="F39" s="145">
        <v>68</v>
      </c>
      <c r="G39" s="145">
        <v>90</v>
      </c>
      <c r="H39" s="145">
        <v>94</v>
      </c>
      <c r="I39" s="145">
        <v>94</v>
      </c>
      <c r="J39" s="145">
        <f t="shared" si="3"/>
        <v>442</v>
      </c>
      <c r="K39" s="145">
        <v>8</v>
      </c>
      <c r="L39" s="147" t="s">
        <v>115</v>
      </c>
      <c r="M39" s="147" t="s">
        <v>115</v>
      </c>
      <c r="N39" s="147" t="s">
        <v>114</v>
      </c>
      <c r="O39" s="147" t="s">
        <v>114</v>
      </c>
      <c r="P39" s="160" t="s">
        <v>123</v>
      </c>
      <c r="Q39" s="147" t="s">
        <v>124</v>
      </c>
      <c r="R39" s="158" t="s">
        <v>125</v>
      </c>
      <c r="S39" s="148" t="s">
        <v>119</v>
      </c>
      <c r="T39" s="148" t="s">
        <v>119</v>
      </c>
      <c r="U39" s="148" t="s">
        <v>126</v>
      </c>
      <c r="V39" s="145">
        <f t="shared" si="4"/>
        <v>164</v>
      </c>
      <c r="W39" s="148" t="s">
        <v>127</v>
      </c>
      <c r="X39" s="145">
        <f t="shared" si="5"/>
        <v>254</v>
      </c>
      <c r="Y39" s="184"/>
    </row>
    <row r="40" spans="1:25">
      <c r="A40" s="174"/>
      <c r="B40" s="153">
        <v>36</v>
      </c>
      <c r="C40" s="154" t="s">
        <v>739</v>
      </c>
      <c r="D40" s="144">
        <v>23</v>
      </c>
      <c r="E40" s="145">
        <v>93</v>
      </c>
      <c r="F40" s="145">
        <v>86</v>
      </c>
      <c r="G40" s="145">
        <v>59</v>
      </c>
      <c r="H40" s="145">
        <v>55</v>
      </c>
      <c r="I40" s="145">
        <v>73</v>
      </c>
      <c r="J40" s="145">
        <f t="shared" si="3"/>
        <v>366</v>
      </c>
      <c r="K40" s="145">
        <v>23</v>
      </c>
      <c r="L40" s="147" t="s">
        <v>115</v>
      </c>
      <c r="M40" s="147" t="s">
        <v>115</v>
      </c>
      <c r="N40" s="147" t="s">
        <v>114</v>
      </c>
      <c r="O40" s="147" t="s">
        <v>130</v>
      </c>
      <c r="P40" s="147" t="s">
        <v>130</v>
      </c>
      <c r="Q40" s="147" t="s">
        <v>124</v>
      </c>
      <c r="R40" s="148" t="s">
        <v>184</v>
      </c>
      <c r="S40" s="148" t="s">
        <v>132</v>
      </c>
      <c r="T40" s="148" t="s">
        <v>119</v>
      </c>
      <c r="U40" s="148" t="s">
        <v>126</v>
      </c>
      <c r="V40" s="145">
        <f t="shared" si="4"/>
        <v>179</v>
      </c>
      <c r="W40" s="149"/>
      <c r="X40" s="145">
        <f t="shared" si="5"/>
        <v>238</v>
      </c>
      <c r="Y40" s="184"/>
    </row>
    <row r="41" spans="1:25">
      <c r="A41" s="174"/>
      <c r="B41" s="153">
        <v>114</v>
      </c>
      <c r="C41" s="154" t="s">
        <v>1027</v>
      </c>
      <c r="D41" s="144">
        <v>23</v>
      </c>
      <c r="E41" s="145">
        <v>92</v>
      </c>
      <c r="F41" s="145">
        <v>88</v>
      </c>
      <c r="G41" s="145">
        <v>84</v>
      </c>
      <c r="H41" s="145">
        <v>90</v>
      </c>
      <c r="I41" s="145">
        <v>54</v>
      </c>
      <c r="J41" s="145">
        <f t="shared" si="3"/>
        <v>408</v>
      </c>
      <c r="K41" s="145">
        <v>16</v>
      </c>
      <c r="L41" s="147" t="s">
        <v>115</v>
      </c>
      <c r="M41" s="147" t="s">
        <v>115</v>
      </c>
      <c r="N41" s="147" t="s">
        <v>114</v>
      </c>
      <c r="O41" s="147" t="s">
        <v>130</v>
      </c>
      <c r="P41" s="147" t="s">
        <v>114</v>
      </c>
      <c r="Q41" s="147" t="s">
        <v>114</v>
      </c>
      <c r="R41" s="148" t="s">
        <v>411</v>
      </c>
      <c r="S41" s="148" t="s">
        <v>132</v>
      </c>
      <c r="T41" s="148" t="s">
        <v>136</v>
      </c>
      <c r="U41" s="148" t="s">
        <v>126</v>
      </c>
      <c r="V41" s="145">
        <f t="shared" si="4"/>
        <v>180</v>
      </c>
      <c r="W41" s="149"/>
      <c r="X41" s="145">
        <f t="shared" si="5"/>
        <v>264</v>
      </c>
      <c r="Y41" s="184"/>
    </row>
    <row r="42" spans="1:25">
      <c r="A42" s="174"/>
      <c r="B42" s="153">
        <v>404</v>
      </c>
      <c r="C42" s="154" t="s">
        <v>625</v>
      </c>
      <c r="D42" s="144">
        <v>23</v>
      </c>
      <c r="E42" s="145">
        <v>91</v>
      </c>
      <c r="F42" s="145">
        <v>77</v>
      </c>
      <c r="G42" s="145">
        <v>90</v>
      </c>
      <c r="H42" s="145">
        <v>91</v>
      </c>
      <c r="I42" s="145">
        <v>94</v>
      </c>
      <c r="J42" s="145">
        <f t="shared" si="3"/>
        <v>443</v>
      </c>
      <c r="K42" s="145">
        <v>10</v>
      </c>
      <c r="L42" s="147" t="s">
        <v>114</v>
      </c>
      <c r="M42" s="147" t="s">
        <v>115</v>
      </c>
      <c r="N42" s="147" t="s">
        <v>114</v>
      </c>
      <c r="O42" s="147" t="s">
        <v>115</v>
      </c>
      <c r="P42" s="147" t="s">
        <v>130</v>
      </c>
      <c r="Q42" s="147" t="s">
        <v>124</v>
      </c>
      <c r="R42" s="171" t="s">
        <v>626</v>
      </c>
      <c r="S42" s="148" t="s">
        <v>119</v>
      </c>
      <c r="T42" s="148" t="s">
        <v>145</v>
      </c>
      <c r="U42" s="148" t="s">
        <v>120</v>
      </c>
      <c r="V42" s="145">
        <f t="shared" si="4"/>
        <v>168</v>
      </c>
      <c r="W42" s="172" t="s">
        <v>627</v>
      </c>
      <c r="X42" s="145">
        <f t="shared" si="5"/>
        <v>258</v>
      </c>
      <c r="Y42" s="184"/>
    </row>
    <row r="43" spans="1:25">
      <c r="A43" s="174"/>
      <c r="B43" s="153">
        <v>454</v>
      </c>
      <c r="C43" s="154" t="s">
        <v>1054</v>
      </c>
      <c r="D43" s="144">
        <v>22</v>
      </c>
      <c r="E43" s="145">
        <v>98</v>
      </c>
      <c r="F43" s="145">
        <v>74</v>
      </c>
      <c r="G43" s="145">
        <v>80</v>
      </c>
      <c r="H43" s="145">
        <v>76</v>
      </c>
      <c r="I43" s="145">
        <v>31</v>
      </c>
      <c r="J43" s="145">
        <f t="shared" si="3"/>
        <v>359</v>
      </c>
      <c r="K43" s="145">
        <v>14</v>
      </c>
      <c r="L43" s="147" t="s">
        <v>115</v>
      </c>
      <c r="M43" s="147" t="s">
        <v>115</v>
      </c>
      <c r="N43" s="147" t="s">
        <v>114</v>
      </c>
      <c r="O43" s="147" t="s">
        <v>115</v>
      </c>
      <c r="P43" s="147" t="s">
        <v>114</v>
      </c>
      <c r="Q43" s="160" t="s">
        <v>123</v>
      </c>
      <c r="R43" s="158" t="s">
        <v>511</v>
      </c>
      <c r="S43" s="148" t="s">
        <v>119</v>
      </c>
      <c r="T43" s="148" t="s">
        <v>136</v>
      </c>
      <c r="U43" s="148" t="s">
        <v>126</v>
      </c>
      <c r="V43" s="145">
        <f t="shared" si="4"/>
        <v>172</v>
      </c>
      <c r="W43" s="148" t="s">
        <v>512</v>
      </c>
      <c r="X43" s="145">
        <f t="shared" si="5"/>
        <v>252</v>
      </c>
      <c r="Y43" s="184"/>
    </row>
    <row r="44" spans="1:25">
      <c r="A44" s="174"/>
      <c r="B44" s="153">
        <v>231</v>
      </c>
      <c r="C44" s="154" t="s">
        <v>914</v>
      </c>
      <c r="D44" s="144">
        <v>22</v>
      </c>
      <c r="E44" s="145">
        <v>95</v>
      </c>
      <c r="F44" s="145">
        <v>57</v>
      </c>
      <c r="G44" s="145">
        <v>78</v>
      </c>
      <c r="H44" s="145">
        <v>72</v>
      </c>
      <c r="I44" s="145">
        <v>85</v>
      </c>
      <c r="J44" s="145">
        <f t="shared" si="3"/>
        <v>387</v>
      </c>
      <c r="K44" s="145">
        <v>33</v>
      </c>
      <c r="L44" s="147" t="s">
        <v>115</v>
      </c>
      <c r="M44" s="160" t="s">
        <v>123</v>
      </c>
      <c r="N44" s="147" t="s">
        <v>114</v>
      </c>
      <c r="O44" s="147" t="s">
        <v>130</v>
      </c>
      <c r="P44" s="147" t="s">
        <v>114</v>
      </c>
      <c r="Q44" s="147" t="s">
        <v>115</v>
      </c>
      <c r="R44" s="148" t="s">
        <v>915</v>
      </c>
      <c r="S44" s="148" t="s">
        <v>132</v>
      </c>
      <c r="T44" s="148" t="s">
        <v>133</v>
      </c>
      <c r="U44" s="148" t="s">
        <v>120</v>
      </c>
      <c r="V44" s="145">
        <f t="shared" si="4"/>
        <v>152</v>
      </c>
      <c r="W44" s="149"/>
      <c r="X44" s="145">
        <f t="shared" si="5"/>
        <v>230</v>
      </c>
      <c r="Y44" s="184"/>
    </row>
    <row r="45" spans="1:25">
      <c r="A45" s="174"/>
      <c r="B45" s="153">
        <v>555</v>
      </c>
      <c r="C45" s="154" t="s">
        <v>703</v>
      </c>
      <c r="D45" s="144">
        <v>22</v>
      </c>
      <c r="E45" s="145">
        <v>86</v>
      </c>
      <c r="F45" s="145">
        <v>94</v>
      </c>
      <c r="G45" s="145">
        <v>57</v>
      </c>
      <c r="H45" s="145">
        <v>63</v>
      </c>
      <c r="I45" s="145">
        <v>79</v>
      </c>
      <c r="J45" s="145">
        <f t="shared" si="3"/>
        <v>379</v>
      </c>
      <c r="K45" s="145">
        <v>36</v>
      </c>
      <c r="L45" s="147" t="s">
        <v>115</v>
      </c>
      <c r="M45" s="147" t="s">
        <v>130</v>
      </c>
      <c r="N45" s="147" t="s">
        <v>114</v>
      </c>
      <c r="O45" s="147" t="s">
        <v>115</v>
      </c>
      <c r="P45" s="147" t="s">
        <v>130</v>
      </c>
      <c r="Q45" s="147" t="s">
        <v>124</v>
      </c>
      <c r="R45" s="148" t="s">
        <v>655</v>
      </c>
      <c r="S45" s="148" t="s">
        <v>132</v>
      </c>
      <c r="T45" s="148" t="s">
        <v>119</v>
      </c>
      <c r="U45" s="148" t="s">
        <v>148</v>
      </c>
      <c r="V45" s="145">
        <f t="shared" si="4"/>
        <v>180</v>
      </c>
      <c r="W45" s="149"/>
      <c r="X45" s="145">
        <f t="shared" si="5"/>
        <v>237</v>
      </c>
      <c r="Y45" s="184"/>
    </row>
    <row r="46" spans="1:25">
      <c r="A46" s="174"/>
      <c r="B46" s="153">
        <v>439</v>
      </c>
      <c r="C46" s="154" t="s">
        <v>785</v>
      </c>
      <c r="D46" s="144">
        <v>22</v>
      </c>
      <c r="E46" s="145">
        <v>86</v>
      </c>
      <c r="F46" s="145">
        <v>92</v>
      </c>
      <c r="G46" s="145">
        <v>60</v>
      </c>
      <c r="H46" s="145">
        <v>55</v>
      </c>
      <c r="I46" s="145">
        <v>67</v>
      </c>
      <c r="J46" s="145">
        <f t="shared" si="3"/>
        <v>360</v>
      </c>
      <c r="K46" s="145">
        <v>23</v>
      </c>
      <c r="L46" s="147" t="s">
        <v>115</v>
      </c>
      <c r="M46" s="147" t="s">
        <v>114</v>
      </c>
      <c r="N46" s="147" t="s">
        <v>130</v>
      </c>
      <c r="O46" s="147" t="s">
        <v>114</v>
      </c>
      <c r="P46" s="147" t="s">
        <v>130</v>
      </c>
      <c r="Q46" s="147" t="s">
        <v>130</v>
      </c>
      <c r="R46" s="148" t="s">
        <v>490</v>
      </c>
      <c r="S46" s="148" t="s">
        <v>132</v>
      </c>
      <c r="T46" s="148" t="s">
        <v>119</v>
      </c>
      <c r="U46" s="148" t="s">
        <v>126</v>
      </c>
      <c r="V46" s="145">
        <f t="shared" si="4"/>
        <v>178</v>
      </c>
      <c r="W46" s="149"/>
      <c r="X46" s="145">
        <f t="shared" si="5"/>
        <v>238</v>
      </c>
      <c r="Y46" s="184"/>
    </row>
    <row r="47" spans="1:25">
      <c r="A47" s="174"/>
      <c r="B47" s="153">
        <v>186</v>
      </c>
      <c r="C47" s="154" t="s">
        <v>918</v>
      </c>
      <c r="D47" s="144">
        <v>22</v>
      </c>
      <c r="E47" s="145">
        <v>81</v>
      </c>
      <c r="F47" s="145">
        <v>63</v>
      </c>
      <c r="G47" s="145">
        <v>89</v>
      </c>
      <c r="H47" s="145">
        <v>77</v>
      </c>
      <c r="I47" s="145">
        <v>84</v>
      </c>
      <c r="J47" s="145">
        <f t="shared" si="3"/>
        <v>394</v>
      </c>
      <c r="K47" s="145">
        <v>70</v>
      </c>
      <c r="L47" s="147" t="s">
        <v>114</v>
      </c>
      <c r="M47" s="147" t="s">
        <v>114</v>
      </c>
      <c r="N47" s="147" t="s">
        <v>114</v>
      </c>
      <c r="O47" s="147" t="s">
        <v>130</v>
      </c>
      <c r="P47" s="147" t="s">
        <v>114</v>
      </c>
      <c r="Q47" s="147" t="s">
        <v>124</v>
      </c>
      <c r="R47" s="148" t="s">
        <v>139</v>
      </c>
      <c r="S47" s="148" t="s">
        <v>118</v>
      </c>
      <c r="T47" s="148" t="s">
        <v>136</v>
      </c>
      <c r="U47" s="148" t="s">
        <v>120</v>
      </c>
      <c r="V47" s="145">
        <f t="shared" si="4"/>
        <v>144</v>
      </c>
      <c r="W47" s="149"/>
      <c r="X47" s="145">
        <f t="shared" si="5"/>
        <v>233</v>
      </c>
      <c r="Y47" s="184"/>
    </row>
    <row r="48" spans="1:25">
      <c r="A48" s="174"/>
      <c r="B48" s="153">
        <v>170</v>
      </c>
      <c r="C48" s="154" t="s">
        <v>305</v>
      </c>
      <c r="D48" s="144">
        <v>21</v>
      </c>
      <c r="E48" s="145">
        <v>76</v>
      </c>
      <c r="F48" s="145">
        <v>98</v>
      </c>
      <c r="G48" s="145">
        <v>46</v>
      </c>
      <c r="H48" s="145">
        <v>25</v>
      </c>
      <c r="I48" s="145">
        <v>90</v>
      </c>
      <c r="J48" s="145">
        <f t="shared" si="3"/>
        <v>335</v>
      </c>
      <c r="K48" s="145">
        <v>71</v>
      </c>
      <c r="L48" s="147" t="s">
        <v>114</v>
      </c>
      <c r="M48" s="147" t="s">
        <v>130</v>
      </c>
      <c r="N48" s="147" t="s">
        <v>115</v>
      </c>
      <c r="O48" s="147" t="s">
        <v>114</v>
      </c>
      <c r="P48" s="147" t="s">
        <v>124</v>
      </c>
      <c r="Q48" s="147" t="s">
        <v>124</v>
      </c>
      <c r="R48" s="148" t="s">
        <v>306</v>
      </c>
      <c r="S48" s="148" t="s">
        <v>118</v>
      </c>
      <c r="T48" s="148" t="s">
        <v>119</v>
      </c>
      <c r="U48" s="148" t="s">
        <v>126</v>
      </c>
      <c r="V48" s="145">
        <f t="shared" si="4"/>
        <v>174</v>
      </c>
      <c r="W48" s="149"/>
      <c r="X48" s="145">
        <f t="shared" si="5"/>
        <v>220</v>
      </c>
      <c r="Y48" s="184"/>
    </row>
    <row r="49" spans="1:25">
      <c r="A49" s="174"/>
      <c r="B49" s="153">
        <v>487</v>
      </c>
      <c r="C49" s="175" t="s">
        <v>803</v>
      </c>
      <c r="D49" s="144">
        <v>21</v>
      </c>
      <c r="E49" s="145">
        <v>70</v>
      </c>
      <c r="F49" s="145">
        <v>97</v>
      </c>
      <c r="G49" s="145">
        <v>42</v>
      </c>
      <c r="H49" s="145">
        <v>51</v>
      </c>
      <c r="I49" s="145">
        <v>63</v>
      </c>
      <c r="J49" s="145">
        <f t="shared" si="3"/>
        <v>323</v>
      </c>
      <c r="K49" s="145">
        <v>47</v>
      </c>
      <c r="L49" s="147" t="s">
        <v>114</v>
      </c>
      <c r="M49" s="179" t="s">
        <v>115</v>
      </c>
      <c r="N49" s="147" t="s">
        <v>124</v>
      </c>
      <c r="O49" s="147" t="s">
        <v>130</v>
      </c>
      <c r="P49" s="147" t="s">
        <v>130</v>
      </c>
      <c r="Q49" s="147" t="s">
        <v>130</v>
      </c>
      <c r="R49" s="158" t="s">
        <v>270</v>
      </c>
      <c r="S49" s="148" t="s">
        <v>132</v>
      </c>
      <c r="T49" s="148" t="s">
        <v>119</v>
      </c>
      <c r="U49" s="148" t="s">
        <v>126</v>
      </c>
      <c r="V49" s="145">
        <f t="shared" si="4"/>
        <v>167</v>
      </c>
      <c r="W49" s="148" t="s">
        <v>271</v>
      </c>
      <c r="X49" s="145">
        <f t="shared" si="5"/>
        <v>209</v>
      </c>
      <c r="Y49" s="184"/>
    </row>
    <row r="50" spans="1:25">
      <c r="A50" s="174"/>
      <c r="B50" s="153">
        <v>349</v>
      </c>
      <c r="C50" s="175" t="s">
        <v>533</v>
      </c>
      <c r="D50" s="144">
        <v>21</v>
      </c>
      <c r="E50" s="145">
        <v>69</v>
      </c>
      <c r="F50" s="145">
        <v>103</v>
      </c>
      <c r="G50" s="145">
        <v>39</v>
      </c>
      <c r="H50" s="145">
        <v>40</v>
      </c>
      <c r="I50" s="145">
        <v>57</v>
      </c>
      <c r="J50" s="145">
        <f t="shared" si="3"/>
        <v>308</v>
      </c>
      <c r="K50" s="145">
        <v>118</v>
      </c>
      <c r="L50" s="147" t="s">
        <v>130</v>
      </c>
      <c r="M50" s="179" t="s">
        <v>115</v>
      </c>
      <c r="N50" s="147" t="s">
        <v>130</v>
      </c>
      <c r="O50" s="147" t="s">
        <v>114</v>
      </c>
      <c r="P50" s="147" t="s">
        <v>124</v>
      </c>
      <c r="Q50" s="147" t="s">
        <v>114</v>
      </c>
      <c r="R50" s="158" t="s">
        <v>534</v>
      </c>
      <c r="S50" s="148" t="s">
        <v>132</v>
      </c>
      <c r="T50" s="148" t="s">
        <v>136</v>
      </c>
      <c r="U50" s="148" t="s">
        <v>126</v>
      </c>
      <c r="V50" s="145">
        <f t="shared" si="4"/>
        <v>172</v>
      </c>
      <c r="W50" s="148" t="s">
        <v>535</v>
      </c>
      <c r="X50" s="145">
        <f t="shared" si="5"/>
        <v>211</v>
      </c>
      <c r="Y50" s="184"/>
    </row>
    <row r="51" spans="1:25">
      <c r="A51" s="174"/>
      <c r="B51" s="153">
        <v>663</v>
      </c>
      <c r="C51" s="175" t="s">
        <v>553</v>
      </c>
      <c r="D51" s="144">
        <v>21</v>
      </c>
      <c r="E51" s="145">
        <v>66</v>
      </c>
      <c r="F51" s="145">
        <v>106</v>
      </c>
      <c r="G51" s="145">
        <v>24</v>
      </c>
      <c r="H51" s="145">
        <v>46</v>
      </c>
      <c r="I51" s="145">
        <v>53</v>
      </c>
      <c r="J51" s="145">
        <f t="shared" si="3"/>
        <v>295</v>
      </c>
      <c r="K51" s="145">
        <v>60</v>
      </c>
      <c r="L51" s="147" t="s">
        <v>130</v>
      </c>
      <c r="M51" s="147" t="s">
        <v>124</v>
      </c>
      <c r="N51" s="147" t="s">
        <v>130</v>
      </c>
      <c r="O51" s="179" t="s">
        <v>115</v>
      </c>
      <c r="P51" s="147" t="s">
        <v>124</v>
      </c>
      <c r="Q51" s="147" t="s">
        <v>130</v>
      </c>
      <c r="R51" s="158" t="s">
        <v>534</v>
      </c>
      <c r="S51" s="148" t="s">
        <v>132</v>
      </c>
      <c r="T51" s="148" t="s">
        <v>119</v>
      </c>
      <c r="U51" s="148" t="s">
        <v>250</v>
      </c>
      <c r="V51" s="145">
        <f t="shared" si="4"/>
        <v>172</v>
      </c>
      <c r="W51" s="148" t="s">
        <v>535</v>
      </c>
      <c r="X51" s="145">
        <f t="shared" si="5"/>
        <v>196</v>
      </c>
      <c r="Y51" s="184"/>
    </row>
    <row r="52" spans="1:25">
      <c r="A52" s="176" t="s">
        <v>1419</v>
      </c>
      <c r="B52" s="153">
        <v>62</v>
      </c>
      <c r="C52" s="154" t="s">
        <v>863</v>
      </c>
      <c r="D52" s="144">
        <v>21</v>
      </c>
      <c r="E52" s="145">
        <v>64</v>
      </c>
      <c r="F52" s="145">
        <v>57</v>
      </c>
      <c r="G52" s="145">
        <v>79</v>
      </c>
      <c r="H52" s="145">
        <v>109</v>
      </c>
      <c r="I52" s="145">
        <v>44</v>
      </c>
      <c r="J52" s="145">
        <f t="shared" si="3"/>
        <v>353</v>
      </c>
      <c r="K52" s="145">
        <v>4</v>
      </c>
      <c r="L52" s="147" t="s">
        <v>124</v>
      </c>
      <c r="M52" s="147" t="s">
        <v>130</v>
      </c>
      <c r="N52" s="147" t="s">
        <v>130</v>
      </c>
      <c r="O52" s="147" t="s">
        <v>130</v>
      </c>
      <c r="P52" s="147" t="s">
        <v>130</v>
      </c>
      <c r="Q52" s="147" t="s">
        <v>124</v>
      </c>
      <c r="R52" s="172" t="s">
        <v>328</v>
      </c>
      <c r="S52" s="148" t="s">
        <v>119</v>
      </c>
      <c r="T52" s="148" t="s">
        <v>136</v>
      </c>
      <c r="U52" s="148" t="s">
        <v>126</v>
      </c>
      <c r="V52" s="145">
        <f t="shared" si="4"/>
        <v>121</v>
      </c>
      <c r="W52" s="149"/>
      <c r="X52" s="145">
        <f t="shared" si="5"/>
        <v>200</v>
      </c>
      <c r="Y52" s="184"/>
    </row>
    <row r="53" spans="1:25">
      <c r="A53" s="176"/>
      <c r="B53" s="153">
        <v>678</v>
      </c>
      <c r="C53" s="154" t="s">
        <v>559</v>
      </c>
      <c r="D53" s="144">
        <v>21</v>
      </c>
      <c r="E53" s="145">
        <v>49</v>
      </c>
      <c r="F53" s="145">
        <v>56</v>
      </c>
      <c r="G53" s="145">
        <v>82</v>
      </c>
      <c r="H53" s="145">
        <v>107</v>
      </c>
      <c r="I53" s="145">
        <v>52</v>
      </c>
      <c r="J53" s="145">
        <f t="shared" si="3"/>
        <v>346</v>
      </c>
      <c r="K53" s="145">
        <v>91</v>
      </c>
      <c r="L53" s="147" t="s">
        <v>124</v>
      </c>
      <c r="M53" s="147" t="s">
        <v>124</v>
      </c>
      <c r="N53" s="147" t="s">
        <v>124</v>
      </c>
      <c r="O53" s="147" t="s">
        <v>124</v>
      </c>
      <c r="P53" s="147" t="s">
        <v>124</v>
      </c>
      <c r="Q53" s="147" t="s">
        <v>124</v>
      </c>
      <c r="R53" s="148" t="s">
        <v>328</v>
      </c>
      <c r="S53" s="148" t="s">
        <v>132</v>
      </c>
      <c r="T53" s="148" t="s">
        <v>119</v>
      </c>
      <c r="U53" s="148" t="s">
        <v>126</v>
      </c>
      <c r="V53" s="145">
        <f t="shared" si="4"/>
        <v>105</v>
      </c>
      <c r="W53" s="149"/>
      <c r="X53" s="145">
        <f t="shared" si="5"/>
        <v>187</v>
      </c>
      <c r="Y53" s="184"/>
    </row>
    <row r="54" spans="1:25">
      <c r="A54" s="176"/>
      <c r="B54" s="153">
        <v>117</v>
      </c>
      <c r="C54" s="156" t="s">
        <v>135</v>
      </c>
      <c r="D54" s="144">
        <v>20</v>
      </c>
      <c r="E54" s="145">
        <v>95</v>
      </c>
      <c r="F54" s="145">
        <v>65</v>
      </c>
      <c r="G54" s="145">
        <v>97</v>
      </c>
      <c r="H54" s="145">
        <v>96</v>
      </c>
      <c r="I54" s="145">
        <v>74</v>
      </c>
      <c r="J54" s="145">
        <f t="shared" si="3"/>
        <v>427</v>
      </c>
      <c r="K54" s="145">
        <v>140</v>
      </c>
      <c r="L54" s="147" t="s">
        <v>114</v>
      </c>
      <c r="M54" s="147" t="s">
        <v>114</v>
      </c>
      <c r="N54" s="147" t="s">
        <v>114</v>
      </c>
      <c r="O54" s="147" t="s">
        <v>114</v>
      </c>
      <c r="P54" s="160" t="s">
        <v>123</v>
      </c>
      <c r="Q54" s="147" t="s">
        <v>115</v>
      </c>
      <c r="R54" s="158" t="s">
        <v>117</v>
      </c>
      <c r="S54" s="148" t="s">
        <v>119</v>
      </c>
      <c r="T54" s="148" t="s">
        <v>136</v>
      </c>
      <c r="U54" s="148" t="s">
        <v>120</v>
      </c>
      <c r="V54" s="145">
        <f t="shared" si="4"/>
        <v>160</v>
      </c>
      <c r="W54" s="172" t="s">
        <v>121</v>
      </c>
      <c r="X54" s="145">
        <f t="shared" si="5"/>
        <v>257</v>
      </c>
      <c r="Y54" s="184"/>
    </row>
    <row r="55" spans="1:25">
      <c r="A55" s="176"/>
      <c r="B55" s="153">
        <v>194</v>
      </c>
      <c r="C55" s="154" t="s">
        <v>137</v>
      </c>
      <c r="D55" s="144">
        <v>20</v>
      </c>
      <c r="E55" s="145">
        <v>93</v>
      </c>
      <c r="F55" s="145">
        <v>79</v>
      </c>
      <c r="G55" s="145">
        <v>78</v>
      </c>
      <c r="H55" s="145">
        <v>67</v>
      </c>
      <c r="I55" s="145">
        <v>70</v>
      </c>
      <c r="J55" s="145">
        <f t="shared" si="3"/>
        <v>387</v>
      </c>
      <c r="K55" s="145">
        <v>68</v>
      </c>
      <c r="L55" s="147" t="s">
        <v>114</v>
      </c>
      <c r="M55" s="147" t="s">
        <v>114</v>
      </c>
      <c r="N55" s="147" t="s">
        <v>114</v>
      </c>
      <c r="O55" s="147" t="s">
        <v>115</v>
      </c>
      <c r="P55" s="160" t="s">
        <v>123</v>
      </c>
      <c r="Q55" s="147" t="s">
        <v>124</v>
      </c>
      <c r="R55" s="158" t="s">
        <v>125</v>
      </c>
      <c r="S55" s="148" t="s">
        <v>118</v>
      </c>
      <c r="T55" s="148" t="s">
        <v>119</v>
      </c>
      <c r="U55" s="148" t="s">
        <v>126</v>
      </c>
      <c r="V55" s="145">
        <f t="shared" si="4"/>
        <v>172</v>
      </c>
      <c r="W55" s="148" t="s">
        <v>127</v>
      </c>
      <c r="X55" s="145">
        <f t="shared" si="5"/>
        <v>250</v>
      </c>
      <c r="Y55" s="184"/>
    </row>
    <row r="56" spans="1:25">
      <c r="A56" s="176"/>
      <c r="B56" s="153">
        <v>500</v>
      </c>
      <c r="C56" s="175" t="s">
        <v>744</v>
      </c>
      <c r="D56" s="144">
        <v>20</v>
      </c>
      <c r="E56" s="145">
        <v>91</v>
      </c>
      <c r="F56" s="145">
        <v>87</v>
      </c>
      <c r="G56" s="145">
        <v>79</v>
      </c>
      <c r="H56" s="145">
        <v>59</v>
      </c>
      <c r="I56" s="145">
        <v>73</v>
      </c>
      <c r="J56" s="145">
        <f t="shared" si="3"/>
        <v>389</v>
      </c>
      <c r="K56" s="145">
        <v>44</v>
      </c>
      <c r="L56" s="147" t="s">
        <v>115</v>
      </c>
      <c r="M56" s="147" t="s">
        <v>114</v>
      </c>
      <c r="N56" s="147" t="s">
        <v>114</v>
      </c>
      <c r="O56" s="147" t="s">
        <v>115</v>
      </c>
      <c r="P56" s="147" t="s">
        <v>130</v>
      </c>
      <c r="Q56" s="147" t="s">
        <v>130</v>
      </c>
      <c r="R56" s="182" t="s">
        <v>655</v>
      </c>
      <c r="S56" s="148" t="s">
        <v>118</v>
      </c>
      <c r="T56" s="148" t="s">
        <v>133</v>
      </c>
      <c r="U56" s="148" t="s">
        <v>126</v>
      </c>
      <c r="V56" s="145">
        <f t="shared" si="4"/>
        <v>178</v>
      </c>
      <c r="W56" s="149"/>
      <c r="X56" s="145">
        <f t="shared" si="5"/>
        <v>257</v>
      </c>
      <c r="Y56" s="184"/>
    </row>
    <row r="57" spans="1:25">
      <c r="A57" s="176"/>
      <c r="B57" s="153">
        <v>133</v>
      </c>
      <c r="C57" s="154" t="s">
        <v>851</v>
      </c>
      <c r="D57" s="144">
        <v>20</v>
      </c>
      <c r="E57" s="145">
        <v>81</v>
      </c>
      <c r="F57" s="145">
        <v>96</v>
      </c>
      <c r="G57" s="145">
        <v>40</v>
      </c>
      <c r="H57" s="145">
        <v>30</v>
      </c>
      <c r="I57" s="145">
        <v>49</v>
      </c>
      <c r="J57" s="145">
        <f t="shared" si="3"/>
        <v>296</v>
      </c>
      <c r="K57" s="145">
        <v>99</v>
      </c>
      <c r="L57" s="147" t="s">
        <v>130</v>
      </c>
      <c r="M57" s="147" t="s">
        <v>114</v>
      </c>
      <c r="N57" s="147" t="s">
        <v>130</v>
      </c>
      <c r="O57" s="147" t="s">
        <v>115</v>
      </c>
      <c r="P57" s="147" t="s">
        <v>130</v>
      </c>
      <c r="Q57" s="147" t="s">
        <v>130</v>
      </c>
      <c r="R57" s="158" t="s">
        <v>511</v>
      </c>
      <c r="S57" s="148" t="s">
        <v>118</v>
      </c>
      <c r="T57" s="148" t="s">
        <v>279</v>
      </c>
      <c r="U57" s="148" t="s">
        <v>250</v>
      </c>
      <c r="V57" s="145">
        <f t="shared" si="4"/>
        <v>177</v>
      </c>
      <c r="W57" s="148" t="s">
        <v>512</v>
      </c>
      <c r="X57" s="145">
        <f t="shared" si="5"/>
        <v>217</v>
      </c>
      <c r="Y57" s="184"/>
    </row>
    <row r="58" spans="1:25">
      <c r="A58" s="176"/>
      <c r="B58" s="153">
        <v>378</v>
      </c>
      <c r="C58" s="154" t="s">
        <v>327</v>
      </c>
      <c r="D58" s="144">
        <v>20</v>
      </c>
      <c r="E58" s="145">
        <v>74</v>
      </c>
      <c r="F58" s="145">
        <v>73</v>
      </c>
      <c r="G58" s="145">
        <v>81</v>
      </c>
      <c r="H58" s="145">
        <v>96</v>
      </c>
      <c r="I58" s="145">
        <v>87</v>
      </c>
      <c r="J58" s="145">
        <f t="shared" si="3"/>
        <v>411</v>
      </c>
      <c r="K58" s="145">
        <v>145</v>
      </c>
      <c r="L58" s="147" t="s">
        <v>130</v>
      </c>
      <c r="M58" s="147" t="s">
        <v>130</v>
      </c>
      <c r="N58" s="147" t="s">
        <v>130</v>
      </c>
      <c r="O58" s="147" t="s">
        <v>114</v>
      </c>
      <c r="P58" s="147" t="s">
        <v>124</v>
      </c>
      <c r="Q58" s="147" t="s">
        <v>124</v>
      </c>
      <c r="R58" s="148" t="s">
        <v>328</v>
      </c>
      <c r="S58" s="148" t="s">
        <v>132</v>
      </c>
      <c r="T58" s="148" t="s">
        <v>136</v>
      </c>
      <c r="U58" s="148" t="s">
        <v>120</v>
      </c>
      <c r="V58" s="145">
        <f t="shared" si="4"/>
        <v>147</v>
      </c>
      <c r="W58" s="149"/>
      <c r="X58" s="145">
        <f t="shared" si="5"/>
        <v>228</v>
      </c>
      <c r="Y58" s="184"/>
    </row>
    <row r="59" spans="1:25">
      <c r="A59" s="176"/>
      <c r="B59" s="153">
        <v>126</v>
      </c>
      <c r="C59" s="175" t="s">
        <v>582</v>
      </c>
      <c r="D59" s="144">
        <v>20</v>
      </c>
      <c r="E59" s="145">
        <v>70</v>
      </c>
      <c r="F59" s="145">
        <v>104</v>
      </c>
      <c r="G59" s="145">
        <v>38</v>
      </c>
      <c r="H59" s="145">
        <v>32</v>
      </c>
      <c r="I59" s="145">
        <v>41</v>
      </c>
      <c r="J59" s="145">
        <f t="shared" si="3"/>
        <v>285</v>
      </c>
      <c r="K59" s="145">
        <v>65</v>
      </c>
      <c r="L59" s="147" t="s">
        <v>114</v>
      </c>
      <c r="M59" s="147" t="s">
        <v>130</v>
      </c>
      <c r="N59" s="147" t="s">
        <v>130</v>
      </c>
      <c r="O59" s="179" t="s">
        <v>115</v>
      </c>
      <c r="P59" s="147" t="s">
        <v>124</v>
      </c>
      <c r="Q59" s="147" t="s">
        <v>124</v>
      </c>
      <c r="R59" s="148" t="s">
        <v>306</v>
      </c>
      <c r="S59" s="148" t="s">
        <v>275</v>
      </c>
      <c r="T59" s="148" t="s">
        <v>136</v>
      </c>
      <c r="U59" s="148" t="s">
        <v>250</v>
      </c>
      <c r="V59" s="145">
        <f t="shared" si="4"/>
        <v>174</v>
      </c>
      <c r="W59" s="149"/>
      <c r="X59" s="145">
        <f t="shared" si="5"/>
        <v>212</v>
      </c>
      <c r="Y59" s="184"/>
    </row>
    <row r="60" spans="1:25">
      <c r="A60" s="176"/>
      <c r="B60" s="153">
        <v>289</v>
      </c>
      <c r="C60" s="154" t="s">
        <v>665</v>
      </c>
      <c r="D60" s="144">
        <v>20</v>
      </c>
      <c r="E60" s="145">
        <v>62</v>
      </c>
      <c r="F60" s="145">
        <v>18</v>
      </c>
      <c r="G60" s="145">
        <v>110</v>
      </c>
      <c r="H60" s="145">
        <v>87</v>
      </c>
      <c r="I60" s="145">
        <v>84</v>
      </c>
      <c r="J60" s="145">
        <f t="shared" si="3"/>
        <v>361</v>
      </c>
      <c r="K60" s="145">
        <v>75</v>
      </c>
      <c r="L60" s="147" t="s">
        <v>124</v>
      </c>
      <c r="M60" s="147" t="s">
        <v>130</v>
      </c>
      <c r="N60" s="147" t="s">
        <v>130</v>
      </c>
      <c r="O60" s="147" t="s">
        <v>124</v>
      </c>
      <c r="P60" s="147" t="s">
        <v>130</v>
      </c>
      <c r="Q60" s="147" t="s">
        <v>124</v>
      </c>
      <c r="R60" s="158" t="s">
        <v>542</v>
      </c>
      <c r="S60" s="148" t="s">
        <v>132</v>
      </c>
      <c r="T60" s="148" t="s">
        <v>133</v>
      </c>
      <c r="U60" s="148" t="s">
        <v>126</v>
      </c>
      <c r="V60" s="145">
        <f t="shared" si="4"/>
        <v>80</v>
      </c>
      <c r="W60" s="148" t="s">
        <v>543</v>
      </c>
      <c r="X60" s="145">
        <f t="shared" si="5"/>
        <v>190</v>
      </c>
      <c r="Y60" s="184"/>
    </row>
    <row r="61" spans="1:25">
      <c r="A61" s="176"/>
      <c r="B61" s="153">
        <v>644</v>
      </c>
      <c r="C61" s="154" t="s">
        <v>545</v>
      </c>
      <c r="D61" s="144">
        <v>20</v>
      </c>
      <c r="E61" s="145">
        <v>47</v>
      </c>
      <c r="F61" s="145">
        <v>48</v>
      </c>
      <c r="G61" s="145">
        <v>77</v>
      </c>
      <c r="H61" s="145">
        <v>98</v>
      </c>
      <c r="I61" s="145">
        <v>55</v>
      </c>
      <c r="J61" s="145">
        <f t="shared" si="3"/>
        <v>325</v>
      </c>
      <c r="K61" s="145">
        <v>55</v>
      </c>
      <c r="L61" s="147" t="s">
        <v>124</v>
      </c>
      <c r="M61" s="147" t="s">
        <v>124</v>
      </c>
      <c r="N61" s="147" t="s">
        <v>124</v>
      </c>
      <c r="O61" s="147" t="s">
        <v>124</v>
      </c>
      <c r="P61" s="147" t="s">
        <v>124</v>
      </c>
      <c r="Q61" s="147" t="s">
        <v>130</v>
      </c>
      <c r="R61" s="148" t="s">
        <v>328</v>
      </c>
      <c r="S61" s="148" t="s">
        <v>132</v>
      </c>
      <c r="T61" s="148" t="s">
        <v>136</v>
      </c>
      <c r="U61" s="148" t="s">
        <v>126</v>
      </c>
      <c r="V61" s="145">
        <f t="shared" si="4"/>
        <v>95</v>
      </c>
      <c r="W61" s="149"/>
      <c r="X61" s="145">
        <f t="shared" si="5"/>
        <v>172</v>
      </c>
      <c r="Y61" s="184"/>
    </row>
    <row r="62" spans="1:25">
      <c r="A62" s="176"/>
      <c r="B62" s="153">
        <v>506</v>
      </c>
      <c r="C62" s="154" t="s">
        <v>614</v>
      </c>
      <c r="D62" s="144">
        <v>19</v>
      </c>
      <c r="E62" s="145">
        <v>92</v>
      </c>
      <c r="F62" s="145">
        <v>82</v>
      </c>
      <c r="G62" s="145">
        <v>73</v>
      </c>
      <c r="H62" s="145">
        <v>67</v>
      </c>
      <c r="I62" s="145">
        <v>97</v>
      </c>
      <c r="J62" s="145">
        <f t="shared" si="3"/>
        <v>411</v>
      </c>
      <c r="K62" s="145">
        <v>46</v>
      </c>
      <c r="L62" s="147" t="s">
        <v>115</v>
      </c>
      <c r="M62" s="147" t="s">
        <v>115</v>
      </c>
      <c r="N62" s="147" t="s">
        <v>114</v>
      </c>
      <c r="O62" s="147" t="s">
        <v>114</v>
      </c>
      <c r="P62" s="147" t="s">
        <v>130</v>
      </c>
      <c r="Q62" s="147" t="s">
        <v>114</v>
      </c>
      <c r="R62" s="148" t="s">
        <v>172</v>
      </c>
      <c r="S62" s="148" t="s">
        <v>118</v>
      </c>
      <c r="T62" s="148" t="s">
        <v>119</v>
      </c>
      <c r="U62" s="148" t="s">
        <v>120</v>
      </c>
      <c r="V62" s="145">
        <f t="shared" si="4"/>
        <v>174</v>
      </c>
      <c r="W62" s="149"/>
      <c r="X62" s="145">
        <f t="shared" si="5"/>
        <v>247</v>
      </c>
      <c r="Y62" s="184"/>
    </row>
    <row r="63" spans="1:25">
      <c r="A63" s="176"/>
      <c r="B63" s="153">
        <v>12</v>
      </c>
      <c r="C63" s="154" t="s">
        <v>234</v>
      </c>
      <c r="D63" s="144">
        <v>19</v>
      </c>
      <c r="E63" s="145">
        <v>92</v>
      </c>
      <c r="F63" s="145">
        <v>5</v>
      </c>
      <c r="G63" s="145">
        <v>104</v>
      </c>
      <c r="H63" s="145">
        <v>69</v>
      </c>
      <c r="I63" s="145">
        <v>64</v>
      </c>
      <c r="J63" s="145">
        <f t="shared" si="3"/>
        <v>334</v>
      </c>
      <c r="K63" s="145">
        <v>66</v>
      </c>
      <c r="L63" s="147" t="s">
        <v>114</v>
      </c>
      <c r="M63" s="147" t="s">
        <v>115</v>
      </c>
      <c r="N63" s="147" t="s">
        <v>115</v>
      </c>
      <c r="O63" s="147" t="s">
        <v>130</v>
      </c>
      <c r="P63" s="147" t="s">
        <v>115</v>
      </c>
      <c r="Q63" s="147" t="s">
        <v>130</v>
      </c>
      <c r="R63" s="158" t="s">
        <v>174</v>
      </c>
      <c r="S63" s="148" t="s">
        <v>132</v>
      </c>
      <c r="T63" s="148" t="s">
        <v>119</v>
      </c>
      <c r="U63" s="148" t="s">
        <v>120</v>
      </c>
      <c r="V63" s="145">
        <f t="shared" si="4"/>
        <v>97</v>
      </c>
      <c r="W63" s="148" t="s">
        <v>176</v>
      </c>
      <c r="X63" s="145">
        <f t="shared" si="5"/>
        <v>201</v>
      </c>
      <c r="Y63" s="184"/>
    </row>
    <row r="64" spans="1:25">
      <c r="A64" s="176"/>
      <c r="B64" s="153">
        <v>514</v>
      </c>
      <c r="C64" s="154" t="s">
        <v>928</v>
      </c>
      <c r="D64" s="144">
        <v>19</v>
      </c>
      <c r="E64" s="145">
        <v>90</v>
      </c>
      <c r="F64" s="145">
        <v>83</v>
      </c>
      <c r="G64" s="145">
        <v>76</v>
      </c>
      <c r="H64" s="145">
        <v>68</v>
      </c>
      <c r="I64" s="145">
        <v>81</v>
      </c>
      <c r="J64" s="145">
        <f t="shared" si="3"/>
        <v>398</v>
      </c>
      <c r="K64" s="145">
        <v>45</v>
      </c>
      <c r="L64" s="147" t="s">
        <v>130</v>
      </c>
      <c r="M64" s="147" t="s">
        <v>114</v>
      </c>
      <c r="N64" s="147" t="s">
        <v>115</v>
      </c>
      <c r="O64" s="147" t="s">
        <v>115</v>
      </c>
      <c r="P64" s="147" t="s">
        <v>114</v>
      </c>
      <c r="Q64" s="147" t="s">
        <v>130</v>
      </c>
      <c r="R64" s="158" t="s">
        <v>511</v>
      </c>
      <c r="S64" s="148" t="s">
        <v>132</v>
      </c>
      <c r="T64" s="148" t="s">
        <v>119</v>
      </c>
      <c r="U64" s="148" t="s">
        <v>120</v>
      </c>
      <c r="V64" s="145">
        <f t="shared" si="4"/>
        <v>173</v>
      </c>
      <c r="W64" s="148" t="s">
        <v>512</v>
      </c>
      <c r="X64" s="145">
        <f t="shared" si="5"/>
        <v>249</v>
      </c>
      <c r="Y64" s="184"/>
    </row>
    <row r="65" spans="1:25">
      <c r="A65" s="176"/>
      <c r="B65" s="153">
        <v>208</v>
      </c>
      <c r="C65" s="154" t="s">
        <v>956</v>
      </c>
      <c r="D65" s="144">
        <v>19</v>
      </c>
      <c r="E65" s="145">
        <v>90</v>
      </c>
      <c r="F65" s="145">
        <v>78</v>
      </c>
      <c r="G65" s="145">
        <v>90</v>
      </c>
      <c r="H65" s="145">
        <v>80</v>
      </c>
      <c r="I65" s="145">
        <v>76</v>
      </c>
      <c r="J65" s="145">
        <f t="shared" ref="J65:J83" si="6">SUM(E65:I65)</f>
        <v>414</v>
      </c>
      <c r="K65" s="145">
        <v>72</v>
      </c>
      <c r="L65" s="147" t="s">
        <v>115</v>
      </c>
      <c r="M65" s="147" t="s">
        <v>114</v>
      </c>
      <c r="N65" s="147" t="s">
        <v>115</v>
      </c>
      <c r="O65" s="147" t="s">
        <v>130</v>
      </c>
      <c r="P65" s="147" t="s">
        <v>114</v>
      </c>
      <c r="Q65" s="147" t="s">
        <v>124</v>
      </c>
      <c r="R65" s="158" t="s">
        <v>178</v>
      </c>
      <c r="S65" s="148" t="s">
        <v>118</v>
      </c>
      <c r="T65" s="148" t="s">
        <v>119</v>
      </c>
      <c r="U65" s="148" t="s">
        <v>126</v>
      </c>
      <c r="V65" s="145">
        <f t="shared" ref="V65:V83" si="7">E65+F65</f>
        <v>168</v>
      </c>
      <c r="W65" s="148" t="s">
        <v>179</v>
      </c>
      <c r="X65" s="145">
        <f t="shared" ref="X65:X83" si="8">E65+F65+G65</f>
        <v>258</v>
      </c>
      <c r="Y65" s="184"/>
    </row>
    <row r="66" spans="1:25">
      <c r="A66" s="176"/>
      <c r="B66" s="153">
        <v>398</v>
      </c>
      <c r="C66" s="175" t="s">
        <v>795</v>
      </c>
      <c r="D66" s="144">
        <v>19</v>
      </c>
      <c r="E66" s="145">
        <v>77</v>
      </c>
      <c r="F66" s="145">
        <v>99</v>
      </c>
      <c r="G66" s="145">
        <v>45</v>
      </c>
      <c r="H66" s="145">
        <v>41</v>
      </c>
      <c r="I66" s="145">
        <v>64</v>
      </c>
      <c r="J66" s="145">
        <f t="shared" si="6"/>
        <v>326</v>
      </c>
      <c r="K66" s="145">
        <v>147</v>
      </c>
      <c r="L66" s="147" t="s">
        <v>114</v>
      </c>
      <c r="M66" s="147" t="s">
        <v>130</v>
      </c>
      <c r="N66" s="147" t="s">
        <v>130</v>
      </c>
      <c r="O66" s="179" t="s">
        <v>115</v>
      </c>
      <c r="P66" s="147" t="s">
        <v>130</v>
      </c>
      <c r="Q66" s="147" t="s">
        <v>124</v>
      </c>
      <c r="R66" s="148" t="s">
        <v>490</v>
      </c>
      <c r="S66" s="148" t="s">
        <v>132</v>
      </c>
      <c r="T66" s="148" t="s">
        <v>119</v>
      </c>
      <c r="U66" s="148" t="s">
        <v>126</v>
      </c>
      <c r="V66" s="145">
        <f t="shared" si="7"/>
        <v>176</v>
      </c>
      <c r="W66" s="149"/>
      <c r="X66" s="145">
        <f t="shared" si="8"/>
        <v>221</v>
      </c>
      <c r="Y66" s="184"/>
    </row>
    <row r="67" spans="1:25">
      <c r="A67" s="176"/>
      <c r="B67" s="153">
        <v>137</v>
      </c>
      <c r="C67" s="154" t="s">
        <v>541</v>
      </c>
      <c r="D67" s="144">
        <v>19</v>
      </c>
      <c r="E67" s="145">
        <v>49</v>
      </c>
      <c r="F67" s="145">
        <v>47</v>
      </c>
      <c r="G67" s="145">
        <v>104</v>
      </c>
      <c r="H67" s="145">
        <v>88</v>
      </c>
      <c r="I67" s="145">
        <v>56</v>
      </c>
      <c r="J67" s="145">
        <f t="shared" si="6"/>
        <v>344</v>
      </c>
      <c r="K67" s="145">
        <v>79</v>
      </c>
      <c r="L67" s="147" t="s">
        <v>124</v>
      </c>
      <c r="M67" s="147" t="s">
        <v>124</v>
      </c>
      <c r="N67" s="147" t="s">
        <v>124</v>
      </c>
      <c r="O67" s="147" t="s">
        <v>124</v>
      </c>
      <c r="P67" s="147" t="s">
        <v>124</v>
      </c>
      <c r="Q67" s="147" t="s">
        <v>124</v>
      </c>
      <c r="R67" s="158" t="s">
        <v>542</v>
      </c>
      <c r="S67" s="148" t="s">
        <v>119</v>
      </c>
      <c r="T67" s="148" t="s">
        <v>119</v>
      </c>
      <c r="U67" s="148" t="s">
        <v>120</v>
      </c>
      <c r="V67" s="145">
        <f t="shared" si="7"/>
        <v>96</v>
      </c>
      <c r="W67" s="148" t="s">
        <v>543</v>
      </c>
      <c r="X67" s="145">
        <f t="shared" si="8"/>
        <v>200</v>
      </c>
      <c r="Y67" s="184"/>
    </row>
    <row r="68" spans="1:25">
      <c r="A68" s="176"/>
      <c r="B68" s="153">
        <v>507</v>
      </c>
      <c r="C68" s="154" t="s">
        <v>252</v>
      </c>
      <c r="D68" s="144">
        <v>18</v>
      </c>
      <c r="E68" s="145">
        <v>94</v>
      </c>
      <c r="F68" s="145">
        <v>81</v>
      </c>
      <c r="G68" s="145">
        <v>84</v>
      </c>
      <c r="H68" s="145">
        <v>58</v>
      </c>
      <c r="I68" s="145">
        <v>58</v>
      </c>
      <c r="J68" s="145">
        <f t="shared" si="6"/>
        <v>375</v>
      </c>
      <c r="K68" s="145">
        <v>42</v>
      </c>
      <c r="L68" s="147" t="s">
        <v>114</v>
      </c>
      <c r="M68" s="147" t="s">
        <v>130</v>
      </c>
      <c r="N68" s="147" t="s">
        <v>115</v>
      </c>
      <c r="O68" s="147" t="s">
        <v>114</v>
      </c>
      <c r="P68" s="147" t="s">
        <v>115</v>
      </c>
      <c r="Q68" s="147" t="s">
        <v>130</v>
      </c>
      <c r="R68" s="148" t="s">
        <v>253</v>
      </c>
      <c r="S68" s="148" t="s">
        <v>132</v>
      </c>
      <c r="T68" s="148" t="s">
        <v>119</v>
      </c>
      <c r="U68" s="148" t="s">
        <v>126</v>
      </c>
      <c r="V68" s="145">
        <f t="shared" si="7"/>
        <v>175</v>
      </c>
      <c r="W68" s="149"/>
      <c r="X68" s="145">
        <f t="shared" si="8"/>
        <v>259</v>
      </c>
      <c r="Y68" s="184"/>
    </row>
    <row r="69" spans="1:25">
      <c r="A69" s="176"/>
      <c r="B69" s="153">
        <v>220</v>
      </c>
      <c r="C69" s="154" t="s">
        <v>1051</v>
      </c>
      <c r="D69" s="144">
        <v>18</v>
      </c>
      <c r="E69" s="145">
        <v>92</v>
      </c>
      <c r="F69" s="145">
        <v>85</v>
      </c>
      <c r="G69" s="145">
        <v>46</v>
      </c>
      <c r="H69" s="145">
        <v>20</v>
      </c>
      <c r="I69" s="145">
        <v>37</v>
      </c>
      <c r="J69" s="145">
        <f t="shared" si="6"/>
        <v>280</v>
      </c>
      <c r="K69" s="145">
        <v>87</v>
      </c>
      <c r="L69" s="147" t="s">
        <v>114</v>
      </c>
      <c r="M69" s="147" t="s">
        <v>114</v>
      </c>
      <c r="N69" s="147" t="s">
        <v>114</v>
      </c>
      <c r="O69" s="147" t="s">
        <v>115</v>
      </c>
      <c r="P69" s="147" t="s">
        <v>114</v>
      </c>
      <c r="Q69" s="147" t="s">
        <v>114</v>
      </c>
      <c r="R69" s="148" t="s">
        <v>655</v>
      </c>
      <c r="S69" s="148" t="s">
        <v>119</v>
      </c>
      <c r="T69" s="148" t="s">
        <v>136</v>
      </c>
      <c r="U69" s="148" t="s">
        <v>250</v>
      </c>
      <c r="V69" s="145">
        <f t="shared" si="7"/>
        <v>177</v>
      </c>
      <c r="W69" s="149"/>
      <c r="X69" s="145">
        <f t="shared" si="8"/>
        <v>223</v>
      </c>
      <c r="Y69" s="184"/>
    </row>
    <row r="70" spans="1:25">
      <c r="A70" s="176"/>
      <c r="B70" s="153">
        <v>406</v>
      </c>
      <c r="C70" s="154" t="s">
        <v>820</v>
      </c>
      <c r="D70" s="144">
        <v>18</v>
      </c>
      <c r="E70" s="145">
        <v>92</v>
      </c>
      <c r="F70" s="145">
        <v>84</v>
      </c>
      <c r="G70" s="145">
        <v>55</v>
      </c>
      <c r="H70" s="145">
        <v>55</v>
      </c>
      <c r="I70" s="145">
        <v>59</v>
      </c>
      <c r="J70" s="145">
        <f t="shared" si="6"/>
        <v>345</v>
      </c>
      <c r="K70" s="145">
        <v>0</v>
      </c>
      <c r="L70" s="147" t="s">
        <v>114</v>
      </c>
      <c r="M70" s="147" t="s">
        <v>114</v>
      </c>
      <c r="N70" s="147" t="s">
        <v>114</v>
      </c>
      <c r="O70" s="147" t="s">
        <v>115</v>
      </c>
      <c r="P70" s="147" t="s">
        <v>130</v>
      </c>
      <c r="Q70" s="147" t="s">
        <v>130</v>
      </c>
      <c r="R70" s="148" t="s">
        <v>655</v>
      </c>
      <c r="S70" s="148" t="s">
        <v>175</v>
      </c>
      <c r="T70" s="148" t="s">
        <v>145</v>
      </c>
      <c r="U70" s="148" t="s">
        <v>250</v>
      </c>
      <c r="V70" s="145">
        <f t="shared" si="7"/>
        <v>176</v>
      </c>
      <c r="W70" s="149"/>
      <c r="X70" s="145">
        <f t="shared" si="8"/>
        <v>231</v>
      </c>
      <c r="Y70" s="196"/>
    </row>
    <row r="71" spans="1:25">
      <c r="A71" s="176"/>
      <c r="B71" s="153">
        <v>299</v>
      </c>
      <c r="C71" s="154" t="s">
        <v>1053</v>
      </c>
      <c r="D71" s="144">
        <v>18</v>
      </c>
      <c r="E71" s="145">
        <v>91</v>
      </c>
      <c r="F71" s="145">
        <v>86</v>
      </c>
      <c r="G71" s="145">
        <v>69</v>
      </c>
      <c r="H71" s="145">
        <v>36</v>
      </c>
      <c r="I71" s="145">
        <v>32</v>
      </c>
      <c r="J71" s="145">
        <f t="shared" si="6"/>
        <v>314</v>
      </c>
      <c r="K71" s="145">
        <v>138</v>
      </c>
      <c r="L71" s="147" t="s">
        <v>130</v>
      </c>
      <c r="M71" s="147" t="s">
        <v>130</v>
      </c>
      <c r="N71" s="147" t="s">
        <v>115</v>
      </c>
      <c r="O71" s="147" t="s">
        <v>115</v>
      </c>
      <c r="P71" s="147" t="s">
        <v>114</v>
      </c>
      <c r="Q71" s="147" t="s">
        <v>124</v>
      </c>
      <c r="R71" s="158" t="s">
        <v>210</v>
      </c>
      <c r="S71" s="148" t="s">
        <v>275</v>
      </c>
      <c r="T71" s="148" t="s">
        <v>145</v>
      </c>
      <c r="U71" s="148" t="s">
        <v>250</v>
      </c>
      <c r="V71" s="145">
        <f t="shared" si="7"/>
        <v>177</v>
      </c>
      <c r="W71" s="148" t="s">
        <v>211</v>
      </c>
      <c r="X71" s="145">
        <f t="shared" si="8"/>
        <v>246</v>
      </c>
      <c r="Y71" s="196"/>
    </row>
    <row r="72" spans="1:25">
      <c r="A72" s="176"/>
      <c r="B72" s="153">
        <v>230</v>
      </c>
      <c r="C72" s="154" t="s">
        <v>1015</v>
      </c>
      <c r="D72" s="144">
        <v>18</v>
      </c>
      <c r="E72" s="145">
        <v>91</v>
      </c>
      <c r="F72" s="145">
        <v>76</v>
      </c>
      <c r="G72" s="145">
        <v>90</v>
      </c>
      <c r="H72" s="145">
        <v>68</v>
      </c>
      <c r="I72" s="145">
        <v>60</v>
      </c>
      <c r="J72" s="145">
        <f t="shared" si="6"/>
        <v>385</v>
      </c>
      <c r="K72" s="145">
        <v>26</v>
      </c>
      <c r="L72" s="147" t="s">
        <v>115</v>
      </c>
      <c r="M72" s="147" t="s">
        <v>115</v>
      </c>
      <c r="N72" s="147" t="s">
        <v>114</v>
      </c>
      <c r="O72" s="147" t="s">
        <v>130</v>
      </c>
      <c r="P72" s="147" t="s">
        <v>114</v>
      </c>
      <c r="Q72" s="147" t="s">
        <v>114</v>
      </c>
      <c r="R72" s="148" t="s">
        <v>461</v>
      </c>
      <c r="S72" s="148" t="s">
        <v>175</v>
      </c>
      <c r="T72" s="148" t="s">
        <v>136</v>
      </c>
      <c r="U72" s="148" t="s">
        <v>126</v>
      </c>
      <c r="V72" s="145">
        <f t="shared" si="7"/>
        <v>167</v>
      </c>
      <c r="W72" s="149"/>
      <c r="X72" s="145">
        <f t="shared" si="8"/>
        <v>257</v>
      </c>
      <c r="Y72" s="184"/>
    </row>
    <row r="73" spans="1:25">
      <c r="A73" s="176"/>
      <c r="B73" s="153">
        <v>623</v>
      </c>
      <c r="C73" s="154" t="s">
        <v>723</v>
      </c>
      <c r="D73" s="144">
        <v>18</v>
      </c>
      <c r="E73" s="145">
        <v>91</v>
      </c>
      <c r="F73" s="145">
        <v>60</v>
      </c>
      <c r="G73" s="145">
        <v>88</v>
      </c>
      <c r="H73" s="145">
        <v>85</v>
      </c>
      <c r="I73" s="145">
        <v>76</v>
      </c>
      <c r="J73" s="145">
        <f t="shared" si="6"/>
        <v>400</v>
      </c>
      <c r="K73" s="145">
        <v>30</v>
      </c>
      <c r="L73" s="147" t="s">
        <v>115</v>
      </c>
      <c r="M73" s="147" t="s">
        <v>115</v>
      </c>
      <c r="N73" s="147" t="s">
        <v>114</v>
      </c>
      <c r="O73" s="147" t="s">
        <v>114</v>
      </c>
      <c r="P73" s="147" t="s">
        <v>130</v>
      </c>
      <c r="Q73" s="147" t="s">
        <v>130</v>
      </c>
      <c r="R73" s="158" t="s">
        <v>505</v>
      </c>
      <c r="S73" s="148" t="s">
        <v>119</v>
      </c>
      <c r="T73" s="148" t="s">
        <v>136</v>
      </c>
      <c r="U73" s="148" t="s">
        <v>120</v>
      </c>
      <c r="V73" s="145">
        <f t="shared" si="7"/>
        <v>151</v>
      </c>
      <c r="W73" s="148" t="s">
        <v>506</v>
      </c>
      <c r="X73" s="145">
        <f t="shared" si="8"/>
        <v>239</v>
      </c>
      <c r="Y73" s="184"/>
    </row>
    <row r="74" spans="1:25">
      <c r="A74" s="176"/>
      <c r="B74" s="153">
        <v>156</v>
      </c>
      <c r="C74" s="156" t="s">
        <v>530</v>
      </c>
      <c r="D74" s="144">
        <v>18</v>
      </c>
      <c r="E74" s="145">
        <v>88</v>
      </c>
      <c r="F74" s="145">
        <v>75</v>
      </c>
      <c r="G74" s="145">
        <v>72</v>
      </c>
      <c r="H74" s="145">
        <v>95</v>
      </c>
      <c r="I74" s="145">
        <v>59</v>
      </c>
      <c r="J74" s="145">
        <f t="shared" si="6"/>
        <v>389</v>
      </c>
      <c r="K74" s="145">
        <v>75</v>
      </c>
      <c r="L74" s="147" t="s">
        <v>130</v>
      </c>
      <c r="M74" s="147" t="s">
        <v>124</v>
      </c>
      <c r="N74" s="147" t="s">
        <v>115</v>
      </c>
      <c r="O74" s="147" t="s">
        <v>130</v>
      </c>
      <c r="P74" s="147" t="s">
        <v>124</v>
      </c>
      <c r="Q74" s="147" t="s">
        <v>124</v>
      </c>
      <c r="R74" s="148" t="s">
        <v>292</v>
      </c>
      <c r="S74" s="148" t="s">
        <v>132</v>
      </c>
      <c r="T74" s="148" t="s">
        <v>119</v>
      </c>
      <c r="U74" s="148" t="s">
        <v>250</v>
      </c>
      <c r="V74" s="145">
        <f t="shared" si="7"/>
        <v>163</v>
      </c>
      <c r="W74" s="149"/>
      <c r="X74" s="145">
        <f t="shared" si="8"/>
        <v>235</v>
      </c>
      <c r="Y74" s="184"/>
    </row>
    <row r="75" spans="1:25">
      <c r="A75" s="176"/>
      <c r="B75" s="153">
        <v>165</v>
      </c>
      <c r="C75" s="156" t="s">
        <v>489</v>
      </c>
      <c r="D75" s="144">
        <v>18</v>
      </c>
      <c r="E75" s="145">
        <v>86</v>
      </c>
      <c r="F75" s="145">
        <v>93</v>
      </c>
      <c r="G75" s="145">
        <v>61</v>
      </c>
      <c r="H75" s="145">
        <v>60</v>
      </c>
      <c r="I75" s="145">
        <v>66</v>
      </c>
      <c r="J75" s="145">
        <f t="shared" si="6"/>
        <v>366</v>
      </c>
      <c r="K75" s="145">
        <v>59</v>
      </c>
      <c r="L75" s="147" t="s">
        <v>115</v>
      </c>
      <c r="M75" s="147" t="s">
        <v>114</v>
      </c>
      <c r="N75" s="147" t="s">
        <v>115</v>
      </c>
      <c r="O75" s="147" t="s">
        <v>114</v>
      </c>
      <c r="P75" s="147" t="s">
        <v>124</v>
      </c>
      <c r="Q75" s="147" t="s">
        <v>124</v>
      </c>
      <c r="R75" s="148" t="s">
        <v>490</v>
      </c>
      <c r="S75" s="148" t="s">
        <v>119</v>
      </c>
      <c r="T75" s="148" t="s">
        <v>136</v>
      </c>
      <c r="U75" s="148" t="s">
        <v>120</v>
      </c>
      <c r="V75" s="145">
        <f t="shared" si="7"/>
        <v>179</v>
      </c>
      <c r="W75" s="149"/>
      <c r="X75" s="145">
        <f t="shared" si="8"/>
        <v>240</v>
      </c>
      <c r="Y75" s="184"/>
    </row>
    <row r="76" spans="1:25">
      <c r="A76" s="176"/>
      <c r="B76" s="153">
        <v>658</v>
      </c>
      <c r="C76" s="154" t="s">
        <v>992</v>
      </c>
      <c r="D76" s="144">
        <v>18</v>
      </c>
      <c r="E76" s="145">
        <v>86</v>
      </c>
      <c r="F76" s="145">
        <v>86</v>
      </c>
      <c r="G76" s="145">
        <v>65</v>
      </c>
      <c r="H76" s="145">
        <v>65</v>
      </c>
      <c r="I76" s="145">
        <v>66</v>
      </c>
      <c r="J76" s="145">
        <f t="shared" si="6"/>
        <v>368</v>
      </c>
      <c r="K76" s="145">
        <v>59</v>
      </c>
      <c r="L76" s="147" t="s">
        <v>115</v>
      </c>
      <c r="M76" s="147" t="s">
        <v>114</v>
      </c>
      <c r="N76" s="147" t="s">
        <v>115</v>
      </c>
      <c r="O76" s="147" t="s">
        <v>124</v>
      </c>
      <c r="P76" s="147" t="s">
        <v>114</v>
      </c>
      <c r="Q76" s="147" t="s">
        <v>114</v>
      </c>
      <c r="R76" s="148" t="s">
        <v>490</v>
      </c>
      <c r="S76" s="148" t="s">
        <v>132</v>
      </c>
      <c r="T76" s="148" t="s">
        <v>119</v>
      </c>
      <c r="U76" s="148" t="s">
        <v>126</v>
      </c>
      <c r="V76" s="145">
        <f t="shared" si="7"/>
        <v>172</v>
      </c>
      <c r="W76" s="149"/>
      <c r="X76" s="145">
        <f t="shared" si="8"/>
        <v>237</v>
      </c>
      <c r="Y76" s="184"/>
    </row>
    <row r="77" spans="1:25">
      <c r="A77" s="176"/>
      <c r="B77" s="153">
        <v>655</v>
      </c>
      <c r="C77" s="154" t="s">
        <v>738</v>
      </c>
      <c r="D77" s="144">
        <v>18</v>
      </c>
      <c r="E77" s="145">
        <v>82</v>
      </c>
      <c r="F77" s="145">
        <v>92</v>
      </c>
      <c r="G77" s="145">
        <v>56</v>
      </c>
      <c r="H77" s="145">
        <v>57</v>
      </c>
      <c r="I77" s="145">
        <v>73</v>
      </c>
      <c r="J77" s="145">
        <f t="shared" si="6"/>
        <v>360</v>
      </c>
      <c r="K77" s="145">
        <v>59</v>
      </c>
      <c r="L77" s="147" t="s">
        <v>130</v>
      </c>
      <c r="M77" s="147" t="s">
        <v>130</v>
      </c>
      <c r="N77" s="147" t="s">
        <v>115</v>
      </c>
      <c r="O77" s="147" t="s">
        <v>114</v>
      </c>
      <c r="P77" s="147" t="s">
        <v>130</v>
      </c>
      <c r="Q77" s="147" t="s">
        <v>115</v>
      </c>
      <c r="R77" s="158" t="s">
        <v>431</v>
      </c>
      <c r="S77" s="148" t="s">
        <v>132</v>
      </c>
      <c r="T77" s="148" t="s">
        <v>119</v>
      </c>
      <c r="U77" s="148" t="s">
        <v>250</v>
      </c>
      <c r="V77" s="145">
        <f t="shared" si="7"/>
        <v>174</v>
      </c>
      <c r="W77" s="148" t="s">
        <v>432</v>
      </c>
      <c r="X77" s="145">
        <f t="shared" si="8"/>
        <v>230</v>
      </c>
      <c r="Y77" s="184"/>
    </row>
    <row r="78" spans="1:25">
      <c r="A78" s="176"/>
      <c r="B78" s="153">
        <v>432</v>
      </c>
      <c r="C78" s="175" t="s">
        <v>836</v>
      </c>
      <c r="D78" s="144">
        <v>18</v>
      </c>
      <c r="E78" s="145">
        <v>79</v>
      </c>
      <c r="F78" s="145">
        <v>101</v>
      </c>
      <c r="G78" s="145">
        <v>57</v>
      </c>
      <c r="H78" s="145">
        <v>39</v>
      </c>
      <c r="I78" s="145">
        <v>55</v>
      </c>
      <c r="J78" s="145">
        <f t="shared" si="6"/>
        <v>331</v>
      </c>
      <c r="K78" s="145">
        <v>75</v>
      </c>
      <c r="L78" s="179" t="s">
        <v>115</v>
      </c>
      <c r="M78" s="147" t="s">
        <v>114</v>
      </c>
      <c r="N78" s="147" t="s">
        <v>124</v>
      </c>
      <c r="O78" s="147" t="s">
        <v>114</v>
      </c>
      <c r="P78" s="147" t="s">
        <v>130</v>
      </c>
      <c r="Q78" s="147" t="s">
        <v>124</v>
      </c>
      <c r="R78" s="158" t="s">
        <v>801</v>
      </c>
      <c r="S78" s="148" t="s">
        <v>118</v>
      </c>
      <c r="T78" s="148" t="s">
        <v>119</v>
      </c>
      <c r="U78" s="148" t="s">
        <v>250</v>
      </c>
      <c r="V78" s="145">
        <f t="shared" si="7"/>
        <v>180</v>
      </c>
      <c r="W78" s="148" t="s">
        <v>802</v>
      </c>
      <c r="X78" s="145">
        <f t="shared" si="8"/>
        <v>237</v>
      </c>
      <c r="Y78" s="184"/>
    </row>
    <row r="79" spans="1:25">
      <c r="A79" s="176"/>
      <c r="B79" s="153">
        <v>417</v>
      </c>
      <c r="C79" s="154" t="s">
        <v>800</v>
      </c>
      <c r="D79" s="144">
        <v>18</v>
      </c>
      <c r="E79" s="145">
        <v>79</v>
      </c>
      <c r="F79" s="145">
        <v>101</v>
      </c>
      <c r="G79" s="145">
        <v>43</v>
      </c>
      <c r="H79" s="145">
        <v>30</v>
      </c>
      <c r="I79" s="145">
        <v>63</v>
      </c>
      <c r="J79" s="145">
        <f t="shared" si="6"/>
        <v>316</v>
      </c>
      <c r="K79" s="145">
        <v>2</v>
      </c>
      <c r="L79" s="147" t="s">
        <v>115</v>
      </c>
      <c r="M79" s="147" t="s">
        <v>130</v>
      </c>
      <c r="N79" s="147" t="s">
        <v>114</v>
      </c>
      <c r="O79" s="147" t="s">
        <v>114</v>
      </c>
      <c r="P79" s="147" t="s">
        <v>130</v>
      </c>
      <c r="Q79" s="147" t="s">
        <v>124</v>
      </c>
      <c r="R79" s="158" t="s">
        <v>801</v>
      </c>
      <c r="S79" s="148" t="s">
        <v>132</v>
      </c>
      <c r="T79" s="148" t="s">
        <v>119</v>
      </c>
      <c r="U79" s="148" t="s">
        <v>250</v>
      </c>
      <c r="V79" s="145">
        <f t="shared" si="7"/>
        <v>180</v>
      </c>
      <c r="W79" s="148" t="s">
        <v>802</v>
      </c>
      <c r="X79" s="145">
        <f t="shared" si="8"/>
        <v>223</v>
      </c>
      <c r="Y79" s="184"/>
    </row>
    <row r="80" spans="1:25">
      <c r="A80" s="176"/>
      <c r="B80" s="153">
        <v>358</v>
      </c>
      <c r="C80" s="154" t="s">
        <v>166</v>
      </c>
      <c r="D80" s="144">
        <v>17</v>
      </c>
      <c r="E80" s="145">
        <v>95</v>
      </c>
      <c r="F80" s="145">
        <v>20</v>
      </c>
      <c r="G80" s="145">
        <v>91</v>
      </c>
      <c r="H80" s="145">
        <v>76</v>
      </c>
      <c r="I80" s="145">
        <v>87</v>
      </c>
      <c r="J80" s="145">
        <f t="shared" si="6"/>
        <v>369</v>
      </c>
      <c r="K80" s="145">
        <v>79</v>
      </c>
      <c r="L80" s="147" t="s">
        <v>114</v>
      </c>
      <c r="M80" s="147" t="s">
        <v>115</v>
      </c>
      <c r="N80" s="147" t="s">
        <v>115</v>
      </c>
      <c r="O80" s="147" t="s">
        <v>124</v>
      </c>
      <c r="P80" s="147" t="s">
        <v>115</v>
      </c>
      <c r="Q80" s="160" t="s">
        <v>123</v>
      </c>
      <c r="R80" s="158" t="s">
        <v>157</v>
      </c>
      <c r="S80" s="148" t="s">
        <v>132</v>
      </c>
      <c r="T80" s="148" t="s">
        <v>119</v>
      </c>
      <c r="U80" s="148" t="s">
        <v>126</v>
      </c>
      <c r="V80" s="145">
        <f t="shared" si="7"/>
        <v>115</v>
      </c>
      <c r="W80" s="148" t="s">
        <v>158</v>
      </c>
      <c r="X80" s="145">
        <f t="shared" si="8"/>
        <v>206</v>
      </c>
      <c r="Y80" s="184"/>
    </row>
    <row r="81" spans="1:25">
      <c r="A81" s="176"/>
      <c r="B81" s="153">
        <v>106</v>
      </c>
      <c r="C81" s="154" t="s">
        <v>187</v>
      </c>
      <c r="D81" s="144">
        <v>17</v>
      </c>
      <c r="E81" s="145">
        <v>83</v>
      </c>
      <c r="F81" s="145">
        <v>50</v>
      </c>
      <c r="G81" s="145">
        <v>108</v>
      </c>
      <c r="H81" s="145">
        <v>89</v>
      </c>
      <c r="I81" s="145">
        <v>79</v>
      </c>
      <c r="J81" s="145">
        <f t="shared" si="6"/>
        <v>409</v>
      </c>
      <c r="K81" s="145">
        <v>116</v>
      </c>
      <c r="L81" s="147" t="s">
        <v>114</v>
      </c>
      <c r="M81" s="147" t="s">
        <v>114</v>
      </c>
      <c r="N81" s="147" t="s">
        <v>130</v>
      </c>
      <c r="O81" s="147" t="s">
        <v>124</v>
      </c>
      <c r="P81" s="147" t="s">
        <v>115</v>
      </c>
      <c r="Q81" s="147" t="s">
        <v>114</v>
      </c>
      <c r="R81" s="170" t="s">
        <v>150</v>
      </c>
      <c r="S81" s="148" t="s">
        <v>132</v>
      </c>
      <c r="T81" s="148" t="s">
        <v>133</v>
      </c>
      <c r="U81" s="148" t="s">
        <v>120</v>
      </c>
      <c r="V81" s="145">
        <f t="shared" si="7"/>
        <v>133</v>
      </c>
      <c r="W81" s="193" t="s">
        <v>151</v>
      </c>
      <c r="X81" s="145">
        <f t="shared" si="8"/>
        <v>241</v>
      </c>
      <c r="Y81" s="184"/>
    </row>
    <row r="82" spans="1:25">
      <c r="A82" s="176"/>
      <c r="B82" s="153">
        <v>54</v>
      </c>
      <c r="C82" s="154" t="s">
        <v>519</v>
      </c>
      <c r="D82" s="144">
        <v>17</v>
      </c>
      <c r="E82" s="145">
        <v>45</v>
      </c>
      <c r="F82" s="145">
        <v>47</v>
      </c>
      <c r="G82" s="145">
        <v>69</v>
      </c>
      <c r="H82" s="145">
        <v>98</v>
      </c>
      <c r="I82" s="145">
        <v>61</v>
      </c>
      <c r="J82" s="145">
        <f t="shared" si="6"/>
        <v>320</v>
      </c>
      <c r="K82" s="145">
        <v>17</v>
      </c>
      <c r="L82" s="147" t="s">
        <v>124</v>
      </c>
      <c r="M82" s="147" t="s">
        <v>124</v>
      </c>
      <c r="N82" s="147" t="s">
        <v>130</v>
      </c>
      <c r="O82" s="147" t="s">
        <v>124</v>
      </c>
      <c r="P82" s="147" t="s">
        <v>124</v>
      </c>
      <c r="Q82" s="147" t="s">
        <v>124</v>
      </c>
      <c r="R82" s="148" t="s">
        <v>292</v>
      </c>
      <c r="S82" s="148" t="s">
        <v>132</v>
      </c>
      <c r="T82" s="148" t="s">
        <v>119</v>
      </c>
      <c r="U82" s="148" t="s">
        <v>120</v>
      </c>
      <c r="V82" s="145">
        <f t="shared" si="7"/>
        <v>92</v>
      </c>
      <c r="W82" s="149"/>
      <c r="X82" s="145">
        <f t="shared" si="8"/>
        <v>161</v>
      </c>
      <c r="Y82" s="184"/>
    </row>
    <row r="83" spans="1:25">
      <c r="A83" s="176"/>
      <c r="B83" s="185">
        <v>254</v>
      </c>
      <c r="C83" s="186" t="s">
        <v>291</v>
      </c>
      <c r="D83" s="187">
        <v>17</v>
      </c>
      <c r="E83" s="189">
        <v>42</v>
      </c>
      <c r="F83" s="189">
        <v>24</v>
      </c>
      <c r="G83" s="189">
        <v>95</v>
      </c>
      <c r="H83" s="189">
        <v>94</v>
      </c>
      <c r="I83" s="189">
        <v>94</v>
      </c>
      <c r="J83" s="189">
        <f t="shared" si="6"/>
        <v>349</v>
      </c>
      <c r="K83" s="189">
        <v>26</v>
      </c>
      <c r="L83" s="191" t="s">
        <v>124</v>
      </c>
      <c r="M83" s="191" t="s">
        <v>130</v>
      </c>
      <c r="N83" s="191" t="s">
        <v>124</v>
      </c>
      <c r="O83" s="191" t="s">
        <v>124</v>
      </c>
      <c r="P83" s="191" t="s">
        <v>124</v>
      </c>
      <c r="Q83" s="191" t="s">
        <v>124</v>
      </c>
      <c r="R83" s="192" t="s">
        <v>292</v>
      </c>
      <c r="S83" s="192" t="s">
        <v>118</v>
      </c>
      <c r="T83" s="192" t="s">
        <v>119</v>
      </c>
      <c r="U83" s="192" t="s">
        <v>120</v>
      </c>
      <c r="V83" s="189">
        <f t="shared" si="7"/>
        <v>66</v>
      </c>
      <c r="W83" s="194"/>
      <c r="X83" s="189">
        <f t="shared" si="8"/>
        <v>161</v>
      </c>
      <c r="Y83" s="184"/>
    </row>
    <row r="84" ht="17.6" spans="1:25">
      <c r="A84" s="176" t="s">
        <v>1420</v>
      </c>
      <c r="B84" s="122">
        <v>26</v>
      </c>
      <c r="C84" s="121" t="s">
        <v>1421</v>
      </c>
      <c r="D84" s="124">
        <v>25</v>
      </c>
      <c r="E84" s="121" t="s">
        <v>1369</v>
      </c>
      <c r="F84" s="121" t="s">
        <v>461</v>
      </c>
      <c r="G84" s="135"/>
      <c r="H84" s="190"/>
      <c r="I84" s="190"/>
      <c r="J84" s="190"/>
      <c r="K84" s="190"/>
      <c r="L84" s="190"/>
      <c r="M84" s="190"/>
      <c r="N84" s="190"/>
      <c r="O84" s="190"/>
      <c r="P84" s="190"/>
      <c r="Q84" s="190"/>
      <c r="R84" s="190"/>
      <c r="S84" s="190"/>
      <c r="T84" s="190"/>
      <c r="U84" s="190"/>
      <c r="V84" s="190"/>
      <c r="W84" s="190"/>
      <c r="X84" s="195"/>
      <c r="Y84" s="184"/>
    </row>
    <row r="85" ht="17.6" spans="1:25">
      <c r="A85" s="176"/>
      <c r="B85" s="122">
        <v>37</v>
      </c>
      <c r="C85" s="121" t="s">
        <v>1422</v>
      </c>
      <c r="D85" s="124">
        <v>25</v>
      </c>
      <c r="E85" s="121" t="s">
        <v>1369</v>
      </c>
      <c r="F85" s="121" t="s">
        <v>141</v>
      </c>
      <c r="G85" s="135"/>
      <c r="H85" s="184"/>
      <c r="I85" s="184"/>
      <c r="J85" s="184"/>
      <c r="K85" s="184"/>
      <c r="L85" s="184"/>
      <c r="M85" s="184"/>
      <c r="N85" s="184"/>
      <c r="O85" s="184"/>
      <c r="P85" s="184"/>
      <c r="Q85" s="184"/>
      <c r="R85" s="184"/>
      <c r="S85" s="184"/>
      <c r="T85" s="184"/>
      <c r="U85" s="184"/>
      <c r="V85" s="184"/>
      <c r="W85" s="184"/>
      <c r="X85" s="195"/>
      <c r="Y85" s="184"/>
    </row>
    <row r="86" ht="17.6" spans="1:25">
      <c r="A86" s="176"/>
      <c r="B86" s="122">
        <v>43</v>
      </c>
      <c r="C86" s="121" t="s">
        <v>1423</v>
      </c>
      <c r="D86" s="124">
        <v>25</v>
      </c>
      <c r="E86" s="121" t="s">
        <v>1423</v>
      </c>
      <c r="F86" s="121" t="s">
        <v>243</v>
      </c>
      <c r="G86" s="121" t="s">
        <v>1424</v>
      </c>
      <c r="H86" s="184"/>
      <c r="I86" s="184"/>
      <c r="J86" s="184"/>
      <c r="K86" s="184"/>
      <c r="L86" s="184"/>
      <c r="M86" s="184"/>
      <c r="N86" s="184"/>
      <c r="O86" s="184"/>
      <c r="P86" s="184"/>
      <c r="Q86" s="184"/>
      <c r="R86" s="184"/>
      <c r="S86" s="184"/>
      <c r="T86" s="184"/>
      <c r="U86" s="184"/>
      <c r="V86" s="184"/>
      <c r="W86" s="184"/>
      <c r="X86" s="195"/>
      <c r="Y86" s="184"/>
    </row>
    <row r="87" ht="17.6" spans="1:25">
      <c r="A87" s="176"/>
      <c r="B87" s="122">
        <v>42</v>
      </c>
      <c r="C87" s="121" t="s">
        <v>1425</v>
      </c>
      <c r="D87" s="124">
        <v>25</v>
      </c>
      <c r="E87" s="121" t="s">
        <v>1425</v>
      </c>
      <c r="F87" s="121" t="s">
        <v>144</v>
      </c>
      <c r="G87" s="121" t="s">
        <v>1426</v>
      </c>
      <c r="H87" s="184"/>
      <c r="I87" s="184"/>
      <c r="J87" s="184"/>
      <c r="K87" s="184"/>
      <c r="L87" s="184"/>
      <c r="M87" s="184"/>
      <c r="N87" s="184"/>
      <c r="O87" s="184"/>
      <c r="P87" s="184"/>
      <c r="Q87" s="184"/>
      <c r="R87" s="184"/>
      <c r="S87" s="184"/>
      <c r="T87" s="184"/>
      <c r="U87" s="184"/>
      <c r="V87" s="184"/>
      <c r="W87" s="184"/>
      <c r="X87" s="195"/>
      <c r="Y87" s="184"/>
    </row>
    <row r="88" ht="17.6" spans="1:25">
      <c r="A88" s="176"/>
      <c r="B88" s="122">
        <v>6</v>
      </c>
      <c r="C88" s="121" t="s">
        <v>1427</v>
      </c>
      <c r="D88" s="124">
        <v>22</v>
      </c>
      <c r="E88" s="121" t="s">
        <v>1374</v>
      </c>
      <c r="F88" s="121" t="s">
        <v>1428</v>
      </c>
      <c r="G88" s="121" t="s">
        <v>1429</v>
      </c>
      <c r="H88" s="184"/>
      <c r="I88" s="184"/>
      <c r="J88" s="184"/>
      <c r="K88" s="184"/>
      <c r="L88" s="184"/>
      <c r="M88" s="184"/>
      <c r="N88" s="184"/>
      <c r="O88" s="184"/>
      <c r="P88" s="184"/>
      <c r="Q88" s="184"/>
      <c r="R88" s="184"/>
      <c r="S88" s="184"/>
      <c r="T88" s="184"/>
      <c r="U88" s="184"/>
      <c r="V88" s="184"/>
      <c r="W88" s="184"/>
      <c r="X88" s="195"/>
      <c r="Y88" s="184"/>
    </row>
    <row r="89" ht="17.6" spans="1:25">
      <c r="A89" s="176"/>
      <c r="B89" s="122">
        <v>9</v>
      </c>
      <c r="C89" s="121" t="s">
        <v>1430</v>
      </c>
      <c r="D89" s="124">
        <v>22</v>
      </c>
      <c r="E89" s="121" t="s">
        <v>1374</v>
      </c>
      <c r="F89" s="121" t="s">
        <v>762</v>
      </c>
      <c r="G89" s="121" t="s">
        <v>1431</v>
      </c>
      <c r="H89" s="184"/>
      <c r="I89" s="184"/>
      <c r="J89" s="184"/>
      <c r="K89" s="184"/>
      <c r="L89" s="184"/>
      <c r="M89" s="184"/>
      <c r="N89" s="184"/>
      <c r="O89" s="184"/>
      <c r="P89" s="184"/>
      <c r="Q89" s="184"/>
      <c r="R89" s="184"/>
      <c r="S89" s="184"/>
      <c r="T89" s="184"/>
      <c r="U89" s="184"/>
      <c r="V89" s="184"/>
      <c r="W89" s="184"/>
      <c r="X89" s="195"/>
      <c r="Y89" s="184"/>
    </row>
    <row r="90" ht="17.6" spans="1:25">
      <c r="A90" s="176"/>
      <c r="B90" s="122">
        <v>18</v>
      </c>
      <c r="C90" s="121" t="s">
        <v>1432</v>
      </c>
      <c r="D90" s="124">
        <v>22</v>
      </c>
      <c r="E90" s="121" t="s">
        <v>1433</v>
      </c>
      <c r="F90" s="121" t="s">
        <v>801</v>
      </c>
      <c r="G90" s="121" t="s">
        <v>1434</v>
      </c>
      <c r="H90" s="184"/>
      <c r="I90" s="184"/>
      <c r="J90" s="184"/>
      <c r="K90" s="184"/>
      <c r="L90" s="184"/>
      <c r="M90" s="184"/>
      <c r="N90" s="184"/>
      <c r="O90" s="184"/>
      <c r="P90" s="184"/>
      <c r="Q90" s="184"/>
      <c r="R90" s="184"/>
      <c r="S90" s="184"/>
      <c r="T90" s="184"/>
      <c r="U90" s="184"/>
      <c r="V90" s="184"/>
      <c r="W90" s="184"/>
      <c r="X90" s="195"/>
      <c r="Y90" s="184"/>
    </row>
    <row r="91" ht="17.6" spans="1:25">
      <c r="A91" s="176"/>
      <c r="B91" s="122">
        <v>36</v>
      </c>
      <c r="C91" s="121" t="s">
        <v>1435</v>
      </c>
      <c r="D91" s="124">
        <v>20</v>
      </c>
      <c r="E91" s="121" t="s">
        <v>1369</v>
      </c>
      <c r="F91" s="121" t="s">
        <v>1436</v>
      </c>
      <c r="G91" s="135"/>
      <c r="H91" s="184"/>
      <c r="I91" s="184"/>
      <c r="J91" s="184"/>
      <c r="K91" s="184"/>
      <c r="L91" s="184"/>
      <c r="M91" s="184"/>
      <c r="N91" s="184"/>
      <c r="O91" s="184"/>
      <c r="P91" s="184"/>
      <c r="Q91" s="184"/>
      <c r="R91" s="184"/>
      <c r="S91" s="184"/>
      <c r="T91" s="184"/>
      <c r="U91" s="184"/>
      <c r="V91" s="184"/>
      <c r="W91" s="184"/>
      <c r="X91" s="195"/>
      <c r="Y91" s="184"/>
    </row>
    <row r="92" ht="17.6" spans="1:25">
      <c r="A92" s="176"/>
      <c r="B92" s="122">
        <v>7</v>
      </c>
      <c r="C92" s="121" t="s">
        <v>1437</v>
      </c>
      <c r="D92" s="124">
        <v>20</v>
      </c>
      <c r="E92" s="121" t="s">
        <v>1374</v>
      </c>
      <c r="F92" s="121" t="s">
        <v>172</v>
      </c>
      <c r="G92" s="121" t="s">
        <v>1438</v>
      </c>
      <c r="H92" s="184"/>
      <c r="I92" s="184"/>
      <c r="J92" s="184"/>
      <c r="K92" s="184"/>
      <c r="L92" s="184"/>
      <c r="M92" s="184"/>
      <c r="N92" s="184"/>
      <c r="O92" s="184"/>
      <c r="P92" s="184"/>
      <c r="Q92" s="184"/>
      <c r="R92" s="184"/>
      <c r="S92" s="184"/>
      <c r="T92" s="184"/>
      <c r="U92" s="184"/>
      <c r="V92" s="184"/>
      <c r="W92" s="184"/>
      <c r="X92" s="195"/>
      <c r="Y92" s="184"/>
    </row>
    <row r="93" ht="17.6" spans="1:25">
      <c r="A93" s="176"/>
      <c r="B93" s="122">
        <v>8</v>
      </c>
      <c r="C93" s="121" t="s">
        <v>1439</v>
      </c>
      <c r="D93" s="124">
        <v>18</v>
      </c>
      <c r="E93" s="121" t="s">
        <v>1374</v>
      </c>
      <c r="F93" s="121" t="s">
        <v>411</v>
      </c>
      <c r="G93" s="121" t="s">
        <v>1438</v>
      </c>
      <c r="H93" s="184"/>
      <c r="I93" s="184"/>
      <c r="J93" s="184"/>
      <c r="K93" s="184"/>
      <c r="L93" s="184"/>
      <c r="M93" s="184"/>
      <c r="N93" s="184"/>
      <c r="O93" s="184"/>
      <c r="P93" s="184"/>
      <c r="Q93" s="184"/>
      <c r="R93" s="184"/>
      <c r="S93" s="184"/>
      <c r="T93" s="184"/>
      <c r="U93" s="184"/>
      <c r="V93" s="184"/>
      <c r="W93" s="184"/>
      <c r="X93" s="195"/>
      <c r="Y93" s="184"/>
    </row>
    <row r="94" ht="17.6" spans="1:25">
      <c r="A94" s="176"/>
      <c r="B94" s="122">
        <v>33</v>
      </c>
      <c r="C94" s="121" t="s">
        <v>1440</v>
      </c>
      <c r="D94" s="124">
        <v>16</v>
      </c>
      <c r="E94" s="121" t="s">
        <v>1369</v>
      </c>
      <c r="F94" s="121" t="s">
        <v>337</v>
      </c>
      <c r="G94" s="135"/>
      <c r="H94" s="184"/>
      <c r="I94" s="184"/>
      <c r="J94" s="184"/>
      <c r="K94" s="184"/>
      <c r="L94" s="184"/>
      <c r="M94" s="184"/>
      <c r="N94" s="184"/>
      <c r="O94" s="184"/>
      <c r="P94" s="184"/>
      <c r="Q94" s="184"/>
      <c r="R94" s="184"/>
      <c r="S94" s="184"/>
      <c r="T94" s="184"/>
      <c r="U94" s="184"/>
      <c r="V94" s="184"/>
      <c r="W94" s="184"/>
      <c r="X94" s="195"/>
      <c r="Y94" s="184"/>
    </row>
    <row r="95" ht="17.6" spans="1:25">
      <c r="A95" s="176"/>
      <c r="B95" s="122">
        <v>16</v>
      </c>
      <c r="C95" s="121" t="s">
        <v>1441</v>
      </c>
      <c r="D95" s="124">
        <v>16</v>
      </c>
      <c r="E95" s="121" t="s">
        <v>1366</v>
      </c>
      <c r="F95" s="121" t="s">
        <v>220</v>
      </c>
      <c r="G95" s="121" t="s">
        <v>1442</v>
      </c>
      <c r="H95" s="184"/>
      <c r="I95" s="184"/>
      <c r="J95" s="184"/>
      <c r="K95" s="184"/>
      <c r="L95" s="184"/>
      <c r="M95" s="184"/>
      <c r="N95" s="184"/>
      <c r="O95" s="184"/>
      <c r="P95" s="184"/>
      <c r="Q95" s="184"/>
      <c r="R95" s="184"/>
      <c r="S95" s="184"/>
      <c r="T95" s="184"/>
      <c r="U95" s="184"/>
      <c r="V95" s="184"/>
      <c r="W95" s="184"/>
      <c r="X95" s="195"/>
      <c r="Y95" s="184"/>
    </row>
    <row r="96" ht="17.6" spans="1:25">
      <c r="A96" s="176"/>
      <c r="B96" s="122">
        <v>19</v>
      </c>
      <c r="C96" s="121" t="s">
        <v>1443</v>
      </c>
      <c r="D96" s="124">
        <v>16</v>
      </c>
      <c r="E96" s="121" t="s">
        <v>1433</v>
      </c>
      <c r="F96" s="121" t="s">
        <v>189</v>
      </c>
      <c r="G96" s="121" t="s">
        <v>1444</v>
      </c>
      <c r="H96" s="184"/>
      <c r="I96" s="184"/>
      <c r="J96" s="184"/>
      <c r="K96" s="184"/>
      <c r="L96" s="184"/>
      <c r="M96" s="184"/>
      <c r="N96" s="184"/>
      <c r="O96" s="184"/>
      <c r="P96" s="184"/>
      <c r="Q96" s="184"/>
      <c r="R96" s="184"/>
      <c r="S96" s="184"/>
      <c r="T96" s="184"/>
      <c r="U96" s="184"/>
      <c r="V96" s="184"/>
      <c r="W96" s="184"/>
      <c r="X96" s="195"/>
      <c r="Y96" s="184"/>
    </row>
    <row r="97" ht="17.6" spans="1:25">
      <c r="A97" s="176"/>
      <c r="B97" s="122">
        <v>27</v>
      </c>
      <c r="C97" s="121" t="s">
        <v>1445</v>
      </c>
      <c r="D97" s="124">
        <v>14</v>
      </c>
      <c r="E97" s="121" t="s">
        <v>1369</v>
      </c>
      <c r="F97" s="121" t="s">
        <v>157</v>
      </c>
      <c r="G97" s="135"/>
      <c r="H97" s="184"/>
      <c r="I97" s="184"/>
      <c r="J97" s="184"/>
      <c r="K97" s="184"/>
      <c r="L97" s="184"/>
      <c r="M97" s="184"/>
      <c r="N97" s="184"/>
      <c r="O97" s="184"/>
      <c r="P97" s="184"/>
      <c r="Q97" s="184"/>
      <c r="R97" s="184"/>
      <c r="S97" s="184"/>
      <c r="T97" s="184"/>
      <c r="U97" s="184"/>
      <c r="V97" s="184"/>
      <c r="W97" s="184"/>
      <c r="X97" s="195"/>
      <c r="Y97" s="184"/>
    </row>
    <row r="98" ht="17.6" spans="1:25">
      <c r="A98" s="176"/>
      <c r="B98" s="122">
        <v>34</v>
      </c>
      <c r="C98" s="121" t="s">
        <v>1446</v>
      </c>
      <c r="D98" s="124">
        <v>14</v>
      </c>
      <c r="E98" s="121" t="s">
        <v>1369</v>
      </c>
      <c r="F98" s="121" t="s">
        <v>328</v>
      </c>
      <c r="G98" s="135"/>
      <c r="H98" s="184"/>
      <c r="I98" s="184"/>
      <c r="J98" s="184"/>
      <c r="K98" s="184"/>
      <c r="L98" s="184"/>
      <c r="M98" s="184"/>
      <c r="N98" s="184"/>
      <c r="O98" s="184"/>
      <c r="P98" s="184"/>
      <c r="Q98" s="184"/>
      <c r="R98" s="184"/>
      <c r="S98" s="184"/>
      <c r="T98" s="184"/>
      <c r="U98" s="184"/>
      <c r="V98" s="184"/>
      <c r="W98" s="184"/>
      <c r="X98" s="195"/>
      <c r="Y98" s="184"/>
    </row>
    <row r="99" ht="17.6" spans="1:25">
      <c r="A99" s="176"/>
      <c r="B99" s="122">
        <v>5</v>
      </c>
      <c r="C99" s="121" t="s">
        <v>1447</v>
      </c>
      <c r="D99" s="124">
        <v>14</v>
      </c>
      <c r="E99" s="121" t="s">
        <v>1360</v>
      </c>
      <c r="F99" s="121" t="s">
        <v>655</v>
      </c>
      <c r="G99" s="135"/>
      <c r="H99" s="184"/>
      <c r="I99" s="184"/>
      <c r="J99" s="184"/>
      <c r="K99" s="184"/>
      <c r="L99" s="184"/>
      <c r="M99" s="184"/>
      <c r="N99" s="184"/>
      <c r="O99" s="184"/>
      <c r="P99" s="184"/>
      <c r="Q99" s="184"/>
      <c r="R99" s="184"/>
      <c r="S99" s="184"/>
      <c r="T99" s="184"/>
      <c r="U99" s="184"/>
      <c r="V99" s="184"/>
      <c r="W99" s="184"/>
      <c r="X99" s="195"/>
      <c r="Y99" s="184"/>
    </row>
    <row r="100" ht="17.6" spans="1:25">
      <c r="A100" s="176"/>
      <c r="B100" s="122">
        <v>13</v>
      </c>
      <c r="C100" s="121" t="s">
        <v>1448</v>
      </c>
      <c r="D100" s="124">
        <v>14</v>
      </c>
      <c r="E100" s="121" t="s">
        <v>1366</v>
      </c>
      <c r="F100" s="121" t="s">
        <v>198</v>
      </c>
      <c r="G100" s="135"/>
      <c r="H100" s="184"/>
      <c r="I100" s="184"/>
      <c r="J100" s="184"/>
      <c r="K100" s="184"/>
      <c r="L100" s="184"/>
      <c r="M100" s="184"/>
      <c r="N100" s="184"/>
      <c r="O100" s="184"/>
      <c r="P100" s="184"/>
      <c r="Q100" s="184"/>
      <c r="R100" s="184"/>
      <c r="S100" s="184"/>
      <c r="T100" s="184"/>
      <c r="U100" s="184"/>
      <c r="V100" s="184"/>
      <c r="W100" s="184"/>
      <c r="X100" s="195"/>
      <c r="Y100" s="184"/>
    </row>
    <row r="101" spans="1:25">
      <c r="A101" s="176"/>
      <c r="B101" s="153">
        <v>269</v>
      </c>
      <c r="C101" s="154" t="s">
        <v>888</v>
      </c>
      <c r="D101" s="144">
        <v>16</v>
      </c>
      <c r="E101" s="145">
        <v>93</v>
      </c>
      <c r="F101" s="145">
        <v>79</v>
      </c>
      <c r="G101" s="145">
        <v>86</v>
      </c>
      <c r="H101" s="145">
        <v>83</v>
      </c>
      <c r="I101" s="145">
        <v>96</v>
      </c>
      <c r="J101" s="145">
        <f t="shared" ref="J101:J115" si="9">SUM(E101:I101)</f>
        <v>437</v>
      </c>
      <c r="K101" s="145">
        <v>5</v>
      </c>
      <c r="L101" s="147" t="s">
        <v>115</v>
      </c>
      <c r="M101" s="147" t="s">
        <v>114</v>
      </c>
      <c r="N101" s="147" t="s">
        <v>114</v>
      </c>
      <c r="O101" s="147" t="s">
        <v>115</v>
      </c>
      <c r="P101" s="147" t="s">
        <v>114</v>
      </c>
      <c r="Q101" s="147" t="s">
        <v>124</v>
      </c>
      <c r="R101" s="158" t="s">
        <v>226</v>
      </c>
      <c r="S101" s="148" t="s">
        <v>118</v>
      </c>
      <c r="T101" s="148" t="s">
        <v>119</v>
      </c>
      <c r="U101" s="148" t="s">
        <v>126</v>
      </c>
      <c r="V101" s="145">
        <f t="shared" ref="V101:V115" si="10">E101+F101</f>
        <v>172</v>
      </c>
      <c r="W101" s="149"/>
      <c r="X101" s="145">
        <f t="shared" ref="X101:X115" si="11">E101+F101+G101</f>
        <v>258</v>
      </c>
      <c r="Y101" s="184"/>
    </row>
    <row r="102" spans="1:25">
      <c r="A102" s="176"/>
      <c r="B102" s="153">
        <v>537</v>
      </c>
      <c r="C102" s="154" t="s">
        <v>1019</v>
      </c>
      <c r="D102" s="144">
        <v>16</v>
      </c>
      <c r="E102" s="145">
        <v>90</v>
      </c>
      <c r="F102" s="145">
        <v>83</v>
      </c>
      <c r="G102" s="145">
        <v>89</v>
      </c>
      <c r="H102" s="145">
        <v>64</v>
      </c>
      <c r="I102" s="145">
        <v>58</v>
      </c>
      <c r="J102" s="145">
        <f t="shared" si="9"/>
        <v>384</v>
      </c>
      <c r="K102" s="145">
        <v>130</v>
      </c>
      <c r="L102" s="147" t="s">
        <v>115</v>
      </c>
      <c r="M102" s="147" t="s">
        <v>114</v>
      </c>
      <c r="N102" s="147" t="s">
        <v>114</v>
      </c>
      <c r="O102" s="147" t="s">
        <v>130</v>
      </c>
      <c r="P102" s="147" t="s">
        <v>114</v>
      </c>
      <c r="Q102" s="147" t="s">
        <v>130</v>
      </c>
      <c r="R102" s="158" t="s">
        <v>226</v>
      </c>
      <c r="S102" s="148" t="s">
        <v>275</v>
      </c>
      <c r="T102" s="148" t="s">
        <v>145</v>
      </c>
      <c r="U102" s="148" t="s">
        <v>120</v>
      </c>
      <c r="V102" s="145">
        <f t="shared" si="10"/>
        <v>173</v>
      </c>
      <c r="W102" s="149"/>
      <c r="X102" s="145">
        <f t="shared" si="11"/>
        <v>262</v>
      </c>
      <c r="Y102" s="184"/>
    </row>
    <row r="103" spans="1:25">
      <c r="A103" s="176"/>
      <c r="B103" s="153">
        <v>180</v>
      </c>
      <c r="C103" s="154" t="s">
        <v>812</v>
      </c>
      <c r="D103" s="144">
        <v>16</v>
      </c>
      <c r="E103" s="145">
        <v>90</v>
      </c>
      <c r="F103" s="145">
        <v>79</v>
      </c>
      <c r="G103" s="145">
        <v>66</v>
      </c>
      <c r="H103" s="145">
        <v>71</v>
      </c>
      <c r="I103" s="145">
        <v>61</v>
      </c>
      <c r="J103" s="145">
        <f t="shared" si="9"/>
        <v>367</v>
      </c>
      <c r="K103" s="145">
        <v>145</v>
      </c>
      <c r="L103" s="147" t="s">
        <v>115</v>
      </c>
      <c r="M103" s="147" t="s">
        <v>130</v>
      </c>
      <c r="N103" s="147" t="s">
        <v>114</v>
      </c>
      <c r="O103" s="147" t="s">
        <v>115</v>
      </c>
      <c r="P103" s="147" t="s">
        <v>130</v>
      </c>
      <c r="Q103" s="147" t="s">
        <v>124</v>
      </c>
      <c r="R103" s="158" t="s">
        <v>274</v>
      </c>
      <c r="S103" s="148" t="s">
        <v>119</v>
      </c>
      <c r="T103" s="148" t="s">
        <v>145</v>
      </c>
      <c r="U103" s="148" t="s">
        <v>250</v>
      </c>
      <c r="V103" s="145">
        <f t="shared" si="10"/>
        <v>169</v>
      </c>
      <c r="W103" s="148" t="s">
        <v>276</v>
      </c>
      <c r="X103" s="145">
        <f t="shared" si="11"/>
        <v>235</v>
      </c>
      <c r="Y103" s="184"/>
    </row>
    <row r="104" spans="1:25">
      <c r="A104" s="176"/>
      <c r="B104" s="153">
        <v>602</v>
      </c>
      <c r="C104" s="154" t="s">
        <v>925</v>
      </c>
      <c r="D104" s="144">
        <v>16</v>
      </c>
      <c r="E104" s="145">
        <v>90</v>
      </c>
      <c r="F104" s="145">
        <v>61</v>
      </c>
      <c r="G104" s="145">
        <v>89</v>
      </c>
      <c r="H104" s="145">
        <v>84</v>
      </c>
      <c r="I104" s="145">
        <v>82</v>
      </c>
      <c r="J104" s="145">
        <f t="shared" si="9"/>
        <v>406</v>
      </c>
      <c r="K104" s="145">
        <v>126</v>
      </c>
      <c r="L104" s="147" t="s">
        <v>114</v>
      </c>
      <c r="M104" s="147" t="s">
        <v>115</v>
      </c>
      <c r="N104" s="147" t="s">
        <v>114</v>
      </c>
      <c r="O104" s="147" t="s">
        <v>124</v>
      </c>
      <c r="P104" s="147" t="s">
        <v>114</v>
      </c>
      <c r="Q104" s="147" t="s">
        <v>115</v>
      </c>
      <c r="R104" s="158" t="s">
        <v>157</v>
      </c>
      <c r="S104" s="148" t="s">
        <v>118</v>
      </c>
      <c r="T104" s="148" t="s">
        <v>119</v>
      </c>
      <c r="U104" s="148" t="s">
        <v>120</v>
      </c>
      <c r="V104" s="145">
        <f t="shared" si="10"/>
        <v>151</v>
      </c>
      <c r="W104" s="148" t="s">
        <v>158</v>
      </c>
      <c r="X104" s="145">
        <f t="shared" si="11"/>
        <v>240</v>
      </c>
      <c r="Y104" s="184"/>
    </row>
    <row r="105" spans="1:25">
      <c r="A105" s="176"/>
      <c r="B105" s="153">
        <v>152</v>
      </c>
      <c r="C105" s="156" t="s">
        <v>496</v>
      </c>
      <c r="D105" s="144">
        <v>16</v>
      </c>
      <c r="E105" s="145">
        <v>89</v>
      </c>
      <c r="F105" s="145">
        <v>91</v>
      </c>
      <c r="G105" s="145">
        <v>72</v>
      </c>
      <c r="H105" s="145">
        <v>72</v>
      </c>
      <c r="I105" s="145">
        <v>65</v>
      </c>
      <c r="J105" s="145">
        <f t="shared" si="9"/>
        <v>389</v>
      </c>
      <c r="K105" s="145">
        <v>13</v>
      </c>
      <c r="L105" s="147" t="s">
        <v>115</v>
      </c>
      <c r="M105" s="147" t="s">
        <v>114</v>
      </c>
      <c r="N105" s="147" t="s">
        <v>114</v>
      </c>
      <c r="O105" s="147" t="s">
        <v>114</v>
      </c>
      <c r="P105" s="147" t="s">
        <v>124</v>
      </c>
      <c r="Q105" s="147" t="s">
        <v>124</v>
      </c>
      <c r="R105" s="148" t="s">
        <v>220</v>
      </c>
      <c r="S105" s="148" t="s">
        <v>132</v>
      </c>
      <c r="T105" s="148" t="s">
        <v>119</v>
      </c>
      <c r="U105" s="148" t="s">
        <v>120</v>
      </c>
      <c r="V105" s="145">
        <f t="shared" si="10"/>
        <v>180</v>
      </c>
      <c r="W105" s="149"/>
      <c r="X105" s="145">
        <f t="shared" si="11"/>
        <v>252</v>
      </c>
      <c r="Y105" s="184"/>
    </row>
    <row r="106" spans="1:25">
      <c r="A106" s="176"/>
      <c r="B106" s="153">
        <v>348</v>
      </c>
      <c r="C106" s="154" t="s">
        <v>953</v>
      </c>
      <c r="D106" s="144">
        <v>16</v>
      </c>
      <c r="E106" s="145">
        <v>89</v>
      </c>
      <c r="F106" s="145">
        <v>77</v>
      </c>
      <c r="G106" s="145">
        <v>76</v>
      </c>
      <c r="H106" s="145">
        <v>68</v>
      </c>
      <c r="I106" s="145">
        <v>76</v>
      </c>
      <c r="J106" s="145">
        <f t="shared" si="9"/>
        <v>386</v>
      </c>
      <c r="K106" s="145">
        <v>115</v>
      </c>
      <c r="L106" s="147" t="s">
        <v>115</v>
      </c>
      <c r="M106" s="147" t="s">
        <v>114</v>
      </c>
      <c r="N106" s="147" t="s">
        <v>114</v>
      </c>
      <c r="O106" s="147" t="s">
        <v>130</v>
      </c>
      <c r="P106" s="147" t="s">
        <v>114</v>
      </c>
      <c r="Q106" s="147" t="s">
        <v>115</v>
      </c>
      <c r="R106" s="148" t="s">
        <v>461</v>
      </c>
      <c r="S106" s="148" t="s">
        <v>119</v>
      </c>
      <c r="T106" s="148" t="s">
        <v>145</v>
      </c>
      <c r="U106" s="148" t="s">
        <v>120</v>
      </c>
      <c r="V106" s="145">
        <f t="shared" si="10"/>
        <v>166</v>
      </c>
      <c r="W106" s="149"/>
      <c r="X106" s="145">
        <f t="shared" si="11"/>
        <v>242</v>
      </c>
      <c r="Y106" s="184"/>
    </row>
    <row r="107" spans="1:25">
      <c r="A107" s="176"/>
      <c r="B107" s="153">
        <v>693</v>
      </c>
      <c r="C107" s="154" t="s">
        <v>693</v>
      </c>
      <c r="D107" s="144">
        <v>16</v>
      </c>
      <c r="E107" s="145">
        <v>88</v>
      </c>
      <c r="F107" s="145">
        <v>89</v>
      </c>
      <c r="G107" s="145">
        <v>80</v>
      </c>
      <c r="H107" s="145">
        <v>62</v>
      </c>
      <c r="I107" s="145">
        <v>81</v>
      </c>
      <c r="J107" s="145">
        <f t="shared" si="9"/>
        <v>400</v>
      </c>
      <c r="K107" s="145">
        <v>86</v>
      </c>
      <c r="L107" s="147" t="s">
        <v>115</v>
      </c>
      <c r="M107" s="147" t="s">
        <v>114</v>
      </c>
      <c r="N107" s="147" t="s">
        <v>114</v>
      </c>
      <c r="O107" s="147" t="s">
        <v>124</v>
      </c>
      <c r="P107" s="147" t="s">
        <v>130</v>
      </c>
      <c r="Q107" s="147" t="s">
        <v>114</v>
      </c>
      <c r="R107" s="148" t="s">
        <v>435</v>
      </c>
      <c r="S107" s="148" t="s">
        <v>132</v>
      </c>
      <c r="T107" s="148" t="s">
        <v>119</v>
      </c>
      <c r="U107" s="148" t="s">
        <v>126</v>
      </c>
      <c r="V107" s="145">
        <f t="shared" si="10"/>
        <v>177</v>
      </c>
      <c r="W107" s="149"/>
      <c r="X107" s="145">
        <f t="shared" si="11"/>
        <v>257</v>
      </c>
      <c r="Y107" s="184"/>
    </row>
    <row r="108" spans="1:25">
      <c r="A108" s="176"/>
      <c r="B108" s="153">
        <v>635</v>
      </c>
      <c r="C108" s="154" t="s">
        <v>143</v>
      </c>
      <c r="D108" s="144">
        <v>16</v>
      </c>
      <c r="E108" s="145">
        <v>88</v>
      </c>
      <c r="F108" s="145">
        <v>66</v>
      </c>
      <c r="G108" s="145">
        <v>79</v>
      </c>
      <c r="H108" s="145">
        <v>92</v>
      </c>
      <c r="I108" s="145">
        <v>107</v>
      </c>
      <c r="J108" s="145">
        <f t="shared" si="9"/>
        <v>432</v>
      </c>
      <c r="K108" s="145">
        <v>75</v>
      </c>
      <c r="L108" s="147" t="s">
        <v>115</v>
      </c>
      <c r="M108" s="147" t="s">
        <v>114</v>
      </c>
      <c r="N108" s="147" t="s">
        <v>114</v>
      </c>
      <c r="O108" s="147" t="s">
        <v>130</v>
      </c>
      <c r="P108" s="147" t="s">
        <v>115</v>
      </c>
      <c r="Q108" s="147" t="s">
        <v>124</v>
      </c>
      <c r="R108" s="148" t="s">
        <v>144</v>
      </c>
      <c r="S108" s="148" t="s">
        <v>119</v>
      </c>
      <c r="T108" s="148" t="s">
        <v>145</v>
      </c>
      <c r="U108" s="148" t="s">
        <v>120</v>
      </c>
      <c r="V108" s="145">
        <f t="shared" si="10"/>
        <v>154</v>
      </c>
      <c r="W108" s="149"/>
      <c r="X108" s="145">
        <f t="shared" si="11"/>
        <v>233</v>
      </c>
      <c r="Y108" s="184"/>
    </row>
    <row r="109" spans="1:25">
      <c r="A109" s="176"/>
      <c r="B109" s="153">
        <v>253</v>
      </c>
      <c r="C109" s="154" t="s">
        <v>959</v>
      </c>
      <c r="D109" s="144">
        <v>16</v>
      </c>
      <c r="E109" s="145">
        <v>87</v>
      </c>
      <c r="F109" s="145">
        <v>89</v>
      </c>
      <c r="G109" s="145">
        <v>63</v>
      </c>
      <c r="H109" s="145">
        <v>66</v>
      </c>
      <c r="I109" s="145">
        <v>75</v>
      </c>
      <c r="J109" s="145">
        <f t="shared" si="9"/>
        <v>380</v>
      </c>
      <c r="K109" s="145">
        <v>140</v>
      </c>
      <c r="L109" s="147" t="s">
        <v>114</v>
      </c>
      <c r="M109" s="147" t="s">
        <v>124</v>
      </c>
      <c r="N109" s="147" t="s">
        <v>114</v>
      </c>
      <c r="O109" s="147" t="s">
        <v>115</v>
      </c>
      <c r="P109" s="147" t="s">
        <v>114</v>
      </c>
      <c r="Q109" s="147" t="s">
        <v>130</v>
      </c>
      <c r="R109" s="148" t="s">
        <v>220</v>
      </c>
      <c r="S109" s="148" t="s">
        <v>119</v>
      </c>
      <c r="T109" s="148" t="s">
        <v>145</v>
      </c>
      <c r="U109" s="148" t="s">
        <v>126</v>
      </c>
      <c r="V109" s="145">
        <f t="shared" si="10"/>
        <v>176</v>
      </c>
      <c r="W109" s="149"/>
      <c r="X109" s="145">
        <f t="shared" si="11"/>
        <v>239</v>
      </c>
      <c r="Y109" s="184"/>
    </row>
    <row r="110" spans="1:25">
      <c r="A110" s="176"/>
      <c r="B110" s="153">
        <v>515</v>
      </c>
      <c r="C110" s="154" t="s">
        <v>510</v>
      </c>
      <c r="D110" s="144">
        <v>16</v>
      </c>
      <c r="E110" s="145">
        <v>77</v>
      </c>
      <c r="F110" s="145">
        <v>92</v>
      </c>
      <c r="G110" s="145">
        <v>39</v>
      </c>
      <c r="H110" s="145">
        <v>19</v>
      </c>
      <c r="I110" s="145">
        <v>62</v>
      </c>
      <c r="J110" s="145">
        <f t="shared" si="9"/>
        <v>289</v>
      </c>
      <c r="K110" s="145">
        <v>71</v>
      </c>
      <c r="L110" s="147" t="s">
        <v>114</v>
      </c>
      <c r="M110" s="147" t="s">
        <v>130</v>
      </c>
      <c r="N110" s="147" t="s">
        <v>124</v>
      </c>
      <c r="O110" s="147" t="s">
        <v>115</v>
      </c>
      <c r="P110" s="147" t="s">
        <v>124</v>
      </c>
      <c r="Q110" s="147" t="s">
        <v>124</v>
      </c>
      <c r="R110" s="158" t="s">
        <v>511</v>
      </c>
      <c r="S110" s="148" t="s">
        <v>175</v>
      </c>
      <c r="T110" s="148" t="s">
        <v>136</v>
      </c>
      <c r="U110" s="148" t="s">
        <v>250</v>
      </c>
      <c r="V110" s="145">
        <f t="shared" si="10"/>
        <v>169</v>
      </c>
      <c r="W110" s="148" t="s">
        <v>512</v>
      </c>
      <c r="X110" s="145">
        <f t="shared" si="11"/>
        <v>208</v>
      </c>
      <c r="Y110" s="184"/>
    </row>
    <row r="111" spans="1:25">
      <c r="A111" s="176"/>
      <c r="B111" s="153">
        <v>356</v>
      </c>
      <c r="C111" s="156" t="s">
        <v>156</v>
      </c>
      <c r="D111" s="144">
        <v>16</v>
      </c>
      <c r="E111" s="145">
        <v>87</v>
      </c>
      <c r="F111" s="145">
        <v>86</v>
      </c>
      <c r="G111" s="145">
        <v>95</v>
      </c>
      <c r="H111" s="145">
        <v>74</v>
      </c>
      <c r="I111" s="145">
        <v>95</v>
      </c>
      <c r="J111" s="145">
        <f t="shared" si="9"/>
        <v>437</v>
      </c>
      <c r="K111" s="145">
        <v>95</v>
      </c>
      <c r="L111" s="147" t="s">
        <v>124</v>
      </c>
      <c r="M111" s="147" t="s">
        <v>114</v>
      </c>
      <c r="N111" s="147" t="s">
        <v>114</v>
      </c>
      <c r="O111" s="147" t="s">
        <v>124</v>
      </c>
      <c r="P111" s="147" t="s">
        <v>115</v>
      </c>
      <c r="Q111" s="147" t="s">
        <v>115</v>
      </c>
      <c r="R111" s="158" t="s">
        <v>157</v>
      </c>
      <c r="S111" s="148" t="s">
        <v>132</v>
      </c>
      <c r="T111" s="148" t="s">
        <v>136</v>
      </c>
      <c r="U111" s="148" t="s">
        <v>120</v>
      </c>
      <c r="V111" s="145">
        <f t="shared" si="10"/>
        <v>173</v>
      </c>
      <c r="W111" s="148" t="s">
        <v>158</v>
      </c>
      <c r="X111" s="145">
        <f t="shared" si="11"/>
        <v>268</v>
      </c>
      <c r="Y111" s="184"/>
    </row>
    <row r="112" spans="1:25">
      <c r="A112" s="176"/>
      <c r="B112" s="153">
        <v>370</v>
      </c>
      <c r="C112" s="154" t="s">
        <v>638</v>
      </c>
      <c r="D112" s="144">
        <v>16</v>
      </c>
      <c r="E112" s="145">
        <v>86</v>
      </c>
      <c r="F112" s="145">
        <v>89</v>
      </c>
      <c r="G112" s="145">
        <v>57</v>
      </c>
      <c r="H112" s="145">
        <v>63</v>
      </c>
      <c r="I112" s="145">
        <v>91</v>
      </c>
      <c r="J112" s="145">
        <f t="shared" si="9"/>
        <v>386</v>
      </c>
      <c r="K112" s="145">
        <v>125</v>
      </c>
      <c r="L112" s="147" t="s">
        <v>115</v>
      </c>
      <c r="M112" s="147" t="s">
        <v>114</v>
      </c>
      <c r="N112" s="147" t="s">
        <v>130</v>
      </c>
      <c r="O112" s="147" t="s">
        <v>114</v>
      </c>
      <c r="P112" s="147" t="s">
        <v>130</v>
      </c>
      <c r="Q112" s="147" t="s">
        <v>115</v>
      </c>
      <c r="R112" s="148" t="s">
        <v>220</v>
      </c>
      <c r="S112" s="148" t="s">
        <v>132</v>
      </c>
      <c r="T112" s="148" t="s">
        <v>136</v>
      </c>
      <c r="U112" s="148" t="s">
        <v>250</v>
      </c>
      <c r="V112" s="145">
        <f t="shared" si="10"/>
        <v>175</v>
      </c>
      <c r="W112" s="149"/>
      <c r="X112" s="145">
        <f t="shared" si="11"/>
        <v>232</v>
      </c>
      <c r="Y112" s="184"/>
    </row>
    <row r="113" spans="1:25">
      <c r="A113" s="176"/>
      <c r="B113" s="153">
        <v>531</v>
      </c>
      <c r="C113" s="154" t="s">
        <v>149</v>
      </c>
      <c r="D113" s="144">
        <v>16</v>
      </c>
      <c r="E113" s="145">
        <v>86</v>
      </c>
      <c r="F113" s="145">
        <v>71</v>
      </c>
      <c r="G113" s="145">
        <v>98</v>
      </c>
      <c r="H113" s="145">
        <v>80</v>
      </c>
      <c r="I113" s="145">
        <v>98</v>
      </c>
      <c r="J113" s="145">
        <f t="shared" si="9"/>
        <v>433</v>
      </c>
      <c r="K113" s="145">
        <v>88</v>
      </c>
      <c r="L113" s="147" t="s">
        <v>114</v>
      </c>
      <c r="M113" s="147" t="s">
        <v>114</v>
      </c>
      <c r="N113" s="147" t="s">
        <v>114</v>
      </c>
      <c r="O113" s="147" t="s">
        <v>124</v>
      </c>
      <c r="P113" s="147" t="s">
        <v>115</v>
      </c>
      <c r="Q113" s="147" t="s">
        <v>115</v>
      </c>
      <c r="R113" s="170" t="s">
        <v>150</v>
      </c>
      <c r="S113" s="148" t="s">
        <v>132</v>
      </c>
      <c r="T113" s="148" t="s">
        <v>133</v>
      </c>
      <c r="U113" s="148" t="s">
        <v>120</v>
      </c>
      <c r="V113" s="145">
        <f t="shared" si="10"/>
        <v>157</v>
      </c>
      <c r="W113" s="193" t="s">
        <v>151</v>
      </c>
      <c r="X113" s="145">
        <f t="shared" si="11"/>
        <v>255</v>
      </c>
      <c r="Y113" s="184"/>
    </row>
    <row r="114" spans="1:25">
      <c r="A114" s="176"/>
      <c r="B114" s="153">
        <v>593</v>
      </c>
      <c r="C114" s="154" t="s">
        <v>671</v>
      </c>
      <c r="D114" s="144">
        <v>16</v>
      </c>
      <c r="E114" s="145">
        <v>85</v>
      </c>
      <c r="F114" s="145">
        <v>81</v>
      </c>
      <c r="G114" s="145">
        <v>78</v>
      </c>
      <c r="H114" s="145">
        <v>76</v>
      </c>
      <c r="I114" s="145">
        <v>84</v>
      </c>
      <c r="J114" s="145">
        <f t="shared" si="9"/>
        <v>404</v>
      </c>
      <c r="K114" s="145">
        <v>110</v>
      </c>
      <c r="L114" s="147" t="s">
        <v>114</v>
      </c>
      <c r="M114" s="147" t="s">
        <v>115</v>
      </c>
      <c r="N114" s="147" t="s">
        <v>124</v>
      </c>
      <c r="O114" s="147" t="s">
        <v>124</v>
      </c>
      <c r="P114" s="147" t="s">
        <v>130</v>
      </c>
      <c r="Q114" s="147" t="s">
        <v>115</v>
      </c>
      <c r="R114" s="158" t="s">
        <v>505</v>
      </c>
      <c r="S114" s="148" t="s">
        <v>119</v>
      </c>
      <c r="T114" s="148" t="s">
        <v>145</v>
      </c>
      <c r="U114" s="148" t="s">
        <v>126</v>
      </c>
      <c r="V114" s="145">
        <f t="shared" si="10"/>
        <v>166</v>
      </c>
      <c r="W114" s="148" t="s">
        <v>506</v>
      </c>
      <c r="X114" s="145">
        <f t="shared" si="11"/>
        <v>244</v>
      </c>
      <c r="Y114" s="184"/>
    </row>
    <row r="115" spans="1:25">
      <c r="A115" s="188"/>
      <c r="B115" s="153">
        <v>713</v>
      </c>
      <c r="C115" s="154" t="s">
        <v>877</v>
      </c>
      <c r="D115" s="144">
        <v>16</v>
      </c>
      <c r="E115" s="145">
        <v>80</v>
      </c>
      <c r="F115" s="145">
        <v>70</v>
      </c>
      <c r="G115" s="145">
        <v>90</v>
      </c>
      <c r="H115" s="169">
        <v>110</v>
      </c>
      <c r="I115" s="169">
        <v>110</v>
      </c>
      <c r="J115" s="145">
        <f t="shared" si="9"/>
        <v>460</v>
      </c>
      <c r="K115" s="145">
        <v>0</v>
      </c>
      <c r="L115" s="147" t="s">
        <v>114</v>
      </c>
      <c r="M115" s="147" t="s">
        <v>114</v>
      </c>
      <c r="N115" s="147" t="s">
        <v>114</v>
      </c>
      <c r="O115" s="147" t="s">
        <v>114</v>
      </c>
      <c r="P115" s="147" t="s">
        <v>114</v>
      </c>
      <c r="Q115" s="147" t="s">
        <v>114</v>
      </c>
      <c r="R115" s="148" t="s">
        <v>608</v>
      </c>
      <c r="S115" s="148" t="s">
        <v>119</v>
      </c>
      <c r="T115" s="148" t="s">
        <v>133</v>
      </c>
      <c r="U115" s="148" t="s">
        <v>120</v>
      </c>
      <c r="V115" s="145">
        <f t="shared" si="10"/>
        <v>150</v>
      </c>
      <c r="W115" s="149"/>
      <c r="X115" s="145">
        <f t="shared" si="11"/>
        <v>240</v>
      </c>
      <c r="Y115" s="184"/>
    </row>
  </sheetData>
  <mergeCells count="4">
    <mergeCell ref="A1:A19"/>
    <mergeCell ref="A20:A51"/>
    <mergeCell ref="A52:A83"/>
    <mergeCell ref="A84:A115"/>
  </mergeCells>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14"/>
  <sheetViews>
    <sheetView zoomScale="150" zoomScaleNormal="150" workbookViewId="0">
      <selection activeCell="T25" sqref="T25"/>
    </sheetView>
  </sheetViews>
  <sheetFormatPr defaultColWidth="11" defaultRowHeight="15.2"/>
  <cols>
    <col min="3" max="17" width="6.66071428571429" customWidth="1"/>
    <col min="22" max="22" width="34.5" customWidth="1"/>
  </cols>
  <sheetData>
    <row r="1" spans="1:22">
      <c r="A1" s="166">
        <v>653</v>
      </c>
      <c r="B1" s="154" t="s">
        <v>882</v>
      </c>
      <c r="C1" s="144">
        <v>54</v>
      </c>
      <c r="D1" s="167">
        <v>105</v>
      </c>
      <c r="E1" s="145">
        <v>100</v>
      </c>
      <c r="F1" s="145">
        <v>84</v>
      </c>
      <c r="G1" s="145">
        <v>62</v>
      </c>
      <c r="H1" s="145">
        <v>101</v>
      </c>
      <c r="I1" s="145">
        <f t="shared" ref="I1:I13" si="0">SUM(D1:H1)</f>
        <v>452</v>
      </c>
      <c r="J1" s="145">
        <v>62</v>
      </c>
      <c r="K1" s="160" t="s">
        <v>123</v>
      </c>
      <c r="L1" s="147" t="s">
        <v>114</v>
      </c>
      <c r="M1" s="160" t="s">
        <v>123</v>
      </c>
      <c r="N1" s="147" t="s">
        <v>115</v>
      </c>
      <c r="O1" s="147" t="s">
        <v>114</v>
      </c>
      <c r="P1" s="160" t="s">
        <v>123</v>
      </c>
      <c r="Q1" s="158" t="s">
        <v>883</v>
      </c>
      <c r="R1" s="148" t="s">
        <v>118</v>
      </c>
      <c r="S1" s="148" t="s">
        <v>119</v>
      </c>
      <c r="T1" s="148" t="s">
        <v>126</v>
      </c>
      <c r="U1" s="145">
        <f t="shared" ref="U1:U13" si="1">D1+E1</f>
        <v>205</v>
      </c>
      <c r="V1" s="148" t="s">
        <v>884</v>
      </c>
    </row>
    <row r="2" spans="1:22">
      <c r="A2" s="166">
        <v>475</v>
      </c>
      <c r="B2" s="154" t="s">
        <v>878</v>
      </c>
      <c r="C2" s="144">
        <v>53</v>
      </c>
      <c r="D2" s="167">
        <v>104</v>
      </c>
      <c r="E2" s="145">
        <v>82</v>
      </c>
      <c r="F2" s="145">
        <v>93</v>
      </c>
      <c r="G2" s="145">
        <v>97</v>
      </c>
      <c r="H2" s="145">
        <v>106</v>
      </c>
      <c r="I2" s="145">
        <f t="shared" si="0"/>
        <v>482</v>
      </c>
      <c r="J2" s="145">
        <v>45</v>
      </c>
      <c r="K2" s="160" t="s">
        <v>123</v>
      </c>
      <c r="L2" s="147" t="s">
        <v>114</v>
      </c>
      <c r="M2" s="160" t="s">
        <v>123</v>
      </c>
      <c r="N2" s="147" t="s">
        <v>115</v>
      </c>
      <c r="O2" s="147" t="s">
        <v>114</v>
      </c>
      <c r="P2" s="147" t="s">
        <v>114</v>
      </c>
      <c r="Q2" s="158" t="s">
        <v>879</v>
      </c>
      <c r="R2" s="148" t="s">
        <v>132</v>
      </c>
      <c r="S2" s="148" t="s">
        <v>136</v>
      </c>
      <c r="T2" s="148" t="s">
        <v>126</v>
      </c>
      <c r="U2" s="145">
        <f t="shared" si="1"/>
        <v>186</v>
      </c>
      <c r="V2" s="148" t="s">
        <v>880</v>
      </c>
    </row>
    <row r="3" spans="1:22">
      <c r="A3" s="153">
        <v>660</v>
      </c>
      <c r="B3" s="168" t="s">
        <v>761</v>
      </c>
      <c r="C3" s="144">
        <v>53</v>
      </c>
      <c r="D3" s="167">
        <v>101</v>
      </c>
      <c r="E3" s="167">
        <v>110</v>
      </c>
      <c r="F3" s="145">
        <v>62</v>
      </c>
      <c r="G3" s="145">
        <v>29</v>
      </c>
      <c r="H3" s="145">
        <v>70</v>
      </c>
      <c r="I3" s="145">
        <f t="shared" si="0"/>
        <v>372</v>
      </c>
      <c r="J3" s="145">
        <v>100</v>
      </c>
      <c r="K3" s="147" t="s">
        <v>115</v>
      </c>
      <c r="L3" s="147" t="s">
        <v>115</v>
      </c>
      <c r="M3" s="147" t="s">
        <v>114</v>
      </c>
      <c r="N3" s="160" t="s">
        <v>123</v>
      </c>
      <c r="O3" s="147" t="s">
        <v>130</v>
      </c>
      <c r="P3" s="147" t="s">
        <v>114</v>
      </c>
      <c r="Q3" s="158" t="s">
        <v>762</v>
      </c>
      <c r="R3" s="148" t="s">
        <v>119</v>
      </c>
      <c r="S3" s="148" t="s">
        <v>145</v>
      </c>
      <c r="T3" s="148" t="s">
        <v>126</v>
      </c>
      <c r="U3" s="145">
        <f t="shared" si="1"/>
        <v>211</v>
      </c>
      <c r="V3" s="172" t="s">
        <v>763</v>
      </c>
    </row>
    <row r="4" spans="1:22">
      <c r="A4" s="153">
        <v>164</v>
      </c>
      <c r="B4" s="154" t="s">
        <v>596</v>
      </c>
      <c r="C4" s="144">
        <v>51</v>
      </c>
      <c r="D4" s="167">
        <v>103</v>
      </c>
      <c r="E4" s="145">
        <v>87</v>
      </c>
      <c r="F4" s="145">
        <v>52</v>
      </c>
      <c r="G4" s="145">
        <v>14</v>
      </c>
      <c r="H4" s="145">
        <v>31</v>
      </c>
      <c r="I4" s="145">
        <f t="shared" si="0"/>
        <v>287</v>
      </c>
      <c r="J4" s="145">
        <v>75</v>
      </c>
      <c r="K4" s="147" t="s">
        <v>115</v>
      </c>
      <c r="L4" s="147" t="s">
        <v>114</v>
      </c>
      <c r="M4" s="147" t="s">
        <v>115</v>
      </c>
      <c r="N4" s="160" t="s">
        <v>116</v>
      </c>
      <c r="O4" s="147" t="s">
        <v>124</v>
      </c>
      <c r="P4" s="147" t="s">
        <v>124</v>
      </c>
      <c r="Q4" s="158" t="s">
        <v>597</v>
      </c>
      <c r="R4" s="148" t="s">
        <v>132</v>
      </c>
      <c r="S4" s="148" t="s">
        <v>119</v>
      </c>
      <c r="T4" s="148" t="s">
        <v>250</v>
      </c>
      <c r="U4" s="145">
        <f t="shared" si="1"/>
        <v>190</v>
      </c>
      <c r="V4" s="148" t="s">
        <v>598</v>
      </c>
    </row>
    <row r="5" spans="1:22">
      <c r="A5" s="153">
        <v>712</v>
      </c>
      <c r="B5" s="154" t="s">
        <v>161</v>
      </c>
      <c r="C5" s="144">
        <v>50</v>
      </c>
      <c r="D5" s="167">
        <v>110</v>
      </c>
      <c r="E5" s="145">
        <v>60</v>
      </c>
      <c r="F5" s="169">
        <v>110</v>
      </c>
      <c r="G5" s="145">
        <v>100</v>
      </c>
      <c r="H5" s="145">
        <v>90</v>
      </c>
      <c r="I5" s="145">
        <f t="shared" si="0"/>
        <v>470</v>
      </c>
      <c r="J5" s="145">
        <v>0</v>
      </c>
      <c r="K5" s="147" t="s">
        <v>115</v>
      </c>
      <c r="L5" s="147" t="s">
        <v>115</v>
      </c>
      <c r="M5" s="147" t="s">
        <v>115</v>
      </c>
      <c r="N5" s="147" t="s">
        <v>115</v>
      </c>
      <c r="O5" s="147" t="s">
        <v>115</v>
      </c>
      <c r="P5" s="147" t="s">
        <v>115</v>
      </c>
      <c r="Q5" s="170" t="s">
        <v>162</v>
      </c>
      <c r="R5" s="148" t="s">
        <v>118</v>
      </c>
      <c r="S5" s="148" t="s">
        <v>136</v>
      </c>
      <c r="T5" s="148" t="s">
        <v>120</v>
      </c>
      <c r="U5" s="145">
        <f t="shared" si="1"/>
        <v>170</v>
      </c>
      <c r="V5" s="173" t="s">
        <v>163</v>
      </c>
    </row>
    <row r="6" spans="1:22">
      <c r="A6" s="153">
        <v>71</v>
      </c>
      <c r="B6" s="154" t="s">
        <v>140</v>
      </c>
      <c r="C6" s="144">
        <v>48</v>
      </c>
      <c r="D6" s="167">
        <v>108</v>
      </c>
      <c r="E6" s="145">
        <v>83</v>
      </c>
      <c r="F6" s="145">
        <v>83</v>
      </c>
      <c r="G6" s="145">
        <v>22</v>
      </c>
      <c r="H6" s="145">
        <v>45</v>
      </c>
      <c r="I6" s="145">
        <f t="shared" si="0"/>
        <v>341</v>
      </c>
      <c r="J6" s="145">
        <v>1</v>
      </c>
      <c r="K6" s="160" t="s">
        <v>116</v>
      </c>
      <c r="L6" s="147" t="s">
        <v>115</v>
      </c>
      <c r="M6" s="147" t="s">
        <v>115</v>
      </c>
      <c r="N6" s="147" t="s">
        <v>114</v>
      </c>
      <c r="O6" s="160" t="s">
        <v>123</v>
      </c>
      <c r="P6" s="147" t="s">
        <v>130</v>
      </c>
      <c r="Q6" s="158" t="s">
        <v>141</v>
      </c>
      <c r="R6" s="148" t="s">
        <v>132</v>
      </c>
      <c r="S6" s="148" t="s">
        <v>136</v>
      </c>
      <c r="T6" s="148" t="s">
        <v>126</v>
      </c>
      <c r="U6" s="145">
        <f t="shared" si="1"/>
        <v>191</v>
      </c>
      <c r="V6" s="148" t="s">
        <v>142</v>
      </c>
    </row>
    <row r="7" spans="1:22">
      <c r="A7" s="153">
        <v>162</v>
      </c>
      <c r="B7" s="154" t="s">
        <v>741</v>
      </c>
      <c r="C7" s="144">
        <v>47</v>
      </c>
      <c r="D7" s="167">
        <v>103</v>
      </c>
      <c r="E7" s="145">
        <v>84</v>
      </c>
      <c r="F7" s="145">
        <v>66</v>
      </c>
      <c r="G7" s="145">
        <v>59</v>
      </c>
      <c r="H7" s="145">
        <v>73</v>
      </c>
      <c r="I7" s="145">
        <f t="shared" si="0"/>
        <v>385</v>
      </c>
      <c r="J7" s="145">
        <v>75</v>
      </c>
      <c r="K7" s="160" t="s">
        <v>123</v>
      </c>
      <c r="L7" s="147" t="s">
        <v>115</v>
      </c>
      <c r="M7" s="147" t="s">
        <v>114</v>
      </c>
      <c r="N7" s="160" t="s">
        <v>123</v>
      </c>
      <c r="O7" s="147" t="s">
        <v>130</v>
      </c>
      <c r="P7" s="147" t="s">
        <v>130</v>
      </c>
      <c r="Q7" s="171" t="s">
        <v>742</v>
      </c>
      <c r="R7" s="148" t="s">
        <v>118</v>
      </c>
      <c r="S7" s="148" t="s">
        <v>133</v>
      </c>
      <c r="T7" s="148" t="s">
        <v>120</v>
      </c>
      <c r="U7" s="145">
        <f t="shared" si="1"/>
        <v>187</v>
      </c>
      <c r="V7" s="172" t="s">
        <v>743</v>
      </c>
    </row>
    <row r="8" spans="1:22">
      <c r="A8" s="153">
        <v>319</v>
      </c>
      <c r="B8" s="154" t="s">
        <v>909</v>
      </c>
      <c r="C8" s="144">
        <v>47</v>
      </c>
      <c r="D8" s="167">
        <v>102</v>
      </c>
      <c r="E8" s="145">
        <v>88</v>
      </c>
      <c r="F8" s="145">
        <v>83</v>
      </c>
      <c r="G8" s="145">
        <v>77</v>
      </c>
      <c r="H8" s="145">
        <v>86</v>
      </c>
      <c r="I8" s="145">
        <f t="shared" si="0"/>
        <v>436</v>
      </c>
      <c r="J8" s="145">
        <v>65</v>
      </c>
      <c r="K8" s="147" t="s">
        <v>115</v>
      </c>
      <c r="L8" s="160" t="s">
        <v>123</v>
      </c>
      <c r="M8" s="147" t="s">
        <v>115</v>
      </c>
      <c r="N8" s="147" t="s">
        <v>130</v>
      </c>
      <c r="O8" s="147" t="s">
        <v>114</v>
      </c>
      <c r="P8" s="160" t="s">
        <v>123</v>
      </c>
      <c r="Q8" s="158" t="s">
        <v>910</v>
      </c>
      <c r="R8" s="148" t="s">
        <v>119</v>
      </c>
      <c r="S8" s="148" t="s">
        <v>145</v>
      </c>
      <c r="T8" s="148" t="s">
        <v>126</v>
      </c>
      <c r="U8" s="145">
        <f t="shared" si="1"/>
        <v>190</v>
      </c>
      <c r="V8" s="172" t="s">
        <v>911</v>
      </c>
    </row>
    <row r="9" spans="1:22">
      <c r="A9" s="153">
        <v>113</v>
      </c>
      <c r="B9" s="154" t="s">
        <v>129</v>
      </c>
      <c r="C9" s="144">
        <v>46</v>
      </c>
      <c r="D9" s="167">
        <v>110</v>
      </c>
      <c r="E9" s="145">
        <v>61</v>
      </c>
      <c r="F9" s="145">
        <v>95</v>
      </c>
      <c r="G9" s="145">
        <v>78</v>
      </c>
      <c r="H9" s="145">
        <v>80</v>
      </c>
      <c r="I9" s="145">
        <f t="shared" si="0"/>
        <v>424</v>
      </c>
      <c r="J9" s="145">
        <v>24</v>
      </c>
      <c r="K9" s="147" t="s">
        <v>114</v>
      </c>
      <c r="L9" s="147" t="s">
        <v>114</v>
      </c>
      <c r="M9" s="147" t="s">
        <v>114</v>
      </c>
      <c r="N9" s="147" t="s">
        <v>130</v>
      </c>
      <c r="O9" s="160" t="s">
        <v>123</v>
      </c>
      <c r="P9" s="147" t="s">
        <v>115</v>
      </c>
      <c r="Q9" s="158" t="s">
        <v>131</v>
      </c>
      <c r="R9" s="148" t="s">
        <v>132</v>
      </c>
      <c r="S9" s="148" t="s">
        <v>133</v>
      </c>
      <c r="T9" s="148" t="s">
        <v>120</v>
      </c>
      <c r="U9" s="145">
        <f t="shared" si="1"/>
        <v>171</v>
      </c>
      <c r="V9" s="148" t="s">
        <v>134</v>
      </c>
    </row>
    <row r="10" spans="1:22">
      <c r="A10" s="153">
        <v>50</v>
      </c>
      <c r="B10" s="154" t="s">
        <v>222</v>
      </c>
      <c r="C10" s="144">
        <v>46</v>
      </c>
      <c r="D10" s="167">
        <v>109</v>
      </c>
      <c r="E10" s="145">
        <v>69</v>
      </c>
      <c r="F10" s="145">
        <v>101</v>
      </c>
      <c r="G10" s="145">
        <v>95</v>
      </c>
      <c r="H10" s="145">
        <v>67</v>
      </c>
      <c r="I10" s="145">
        <f t="shared" si="0"/>
        <v>441</v>
      </c>
      <c r="J10" s="145">
        <v>104</v>
      </c>
      <c r="K10" s="147" t="s">
        <v>115</v>
      </c>
      <c r="L10" s="160" t="s">
        <v>123</v>
      </c>
      <c r="M10" s="147" t="s">
        <v>114</v>
      </c>
      <c r="N10" s="147" t="s">
        <v>114</v>
      </c>
      <c r="O10" s="147" t="s">
        <v>115</v>
      </c>
      <c r="P10" s="147" t="s">
        <v>114</v>
      </c>
      <c r="Q10" s="158" t="s">
        <v>223</v>
      </c>
      <c r="R10" s="148" t="s">
        <v>119</v>
      </c>
      <c r="S10" s="148" t="s">
        <v>136</v>
      </c>
      <c r="T10" s="148" t="s">
        <v>126</v>
      </c>
      <c r="U10" s="145">
        <f t="shared" si="1"/>
        <v>178</v>
      </c>
      <c r="V10" s="172" t="s">
        <v>224</v>
      </c>
    </row>
    <row r="11" spans="1:22">
      <c r="A11" s="153">
        <v>132</v>
      </c>
      <c r="B11" s="154" t="s">
        <v>1012</v>
      </c>
      <c r="C11" s="144">
        <v>46</v>
      </c>
      <c r="D11" s="167">
        <v>108</v>
      </c>
      <c r="E11" s="145">
        <v>74</v>
      </c>
      <c r="F11" s="145">
        <v>86</v>
      </c>
      <c r="G11" s="145">
        <v>44</v>
      </c>
      <c r="H11" s="145">
        <v>60</v>
      </c>
      <c r="I11" s="145">
        <f t="shared" si="0"/>
        <v>372</v>
      </c>
      <c r="J11" s="145">
        <v>80</v>
      </c>
      <c r="K11" s="160" t="s">
        <v>123</v>
      </c>
      <c r="L11" s="160" t="s">
        <v>116</v>
      </c>
      <c r="M11" s="147" t="s">
        <v>115</v>
      </c>
      <c r="N11" s="147" t="s">
        <v>114</v>
      </c>
      <c r="O11" s="147" t="s">
        <v>114</v>
      </c>
      <c r="P11" s="147" t="s">
        <v>114</v>
      </c>
      <c r="Q11" s="158" t="s">
        <v>1013</v>
      </c>
      <c r="R11" s="148" t="s">
        <v>119</v>
      </c>
      <c r="S11" s="148" t="s">
        <v>136</v>
      </c>
      <c r="T11" s="148" t="s">
        <v>120</v>
      </c>
      <c r="U11" s="145">
        <f t="shared" si="1"/>
        <v>182</v>
      </c>
      <c r="V11" s="172" t="s">
        <v>1014</v>
      </c>
    </row>
    <row r="12" spans="1:22">
      <c r="A12" s="153">
        <v>481</v>
      </c>
      <c r="B12" s="154" t="s">
        <v>609</v>
      </c>
      <c r="C12" s="144">
        <v>45</v>
      </c>
      <c r="D12" s="167">
        <v>102</v>
      </c>
      <c r="E12" s="145">
        <v>83</v>
      </c>
      <c r="F12" s="145">
        <v>95</v>
      </c>
      <c r="G12" s="145">
        <v>96</v>
      </c>
      <c r="H12" s="145">
        <v>103</v>
      </c>
      <c r="I12" s="145">
        <f t="shared" si="0"/>
        <v>479</v>
      </c>
      <c r="J12" s="145">
        <v>70</v>
      </c>
      <c r="K12" s="160" t="s">
        <v>123</v>
      </c>
      <c r="L12" s="147" t="s">
        <v>115</v>
      </c>
      <c r="M12" s="147" t="s">
        <v>114</v>
      </c>
      <c r="N12" s="147" t="s">
        <v>115</v>
      </c>
      <c r="O12" s="147" t="s">
        <v>130</v>
      </c>
      <c r="P12" s="147" t="s">
        <v>130</v>
      </c>
      <c r="Q12" s="171" t="s">
        <v>610</v>
      </c>
      <c r="R12" s="148" t="s">
        <v>119</v>
      </c>
      <c r="S12" s="148" t="s">
        <v>145</v>
      </c>
      <c r="T12" s="148" t="s">
        <v>126</v>
      </c>
      <c r="U12" s="145">
        <f t="shared" si="1"/>
        <v>185</v>
      </c>
      <c r="V12" s="172" t="s">
        <v>611</v>
      </c>
    </row>
    <row r="13" spans="1:22">
      <c r="A13" s="153">
        <v>485</v>
      </c>
      <c r="B13" s="154" t="s">
        <v>714</v>
      </c>
      <c r="C13" s="144">
        <v>44</v>
      </c>
      <c r="D13" s="167">
        <v>106</v>
      </c>
      <c r="E13" s="145">
        <v>72</v>
      </c>
      <c r="F13" s="169">
        <v>102</v>
      </c>
      <c r="G13" s="145">
        <v>72</v>
      </c>
      <c r="H13" s="145">
        <v>77</v>
      </c>
      <c r="I13" s="145">
        <f t="shared" si="0"/>
        <v>429</v>
      </c>
      <c r="J13" s="145">
        <v>48</v>
      </c>
      <c r="K13" s="147" t="s">
        <v>115</v>
      </c>
      <c r="L13" s="147" t="s">
        <v>115</v>
      </c>
      <c r="M13" s="160" t="s">
        <v>123</v>
      </c>
      <c r="N13" s="160" t="s">
        <v>123</v>
      </c>
      <c r="O13" s="147" t="s">
        <v>130</v>
      </c>
      <c r="P13" s="160" t="s">
        <v>123</v>
      </c>
      <c r="Q13" s="158" t="s">
        <v>715</v>
      </c>
      <c r="R13" s="148" t="s">
        <v>132</v>
      </c>
      <c r="S13" s="148" t="s">
        <v>136</v>
      </c>
      <c r="T13" s="148" t="s">
        <v>126</v>
      </c>
      <c r="U13" s="145">
        <f t="shared" si="1"/>
        <v>178</v>
      </c>
      <c r="V13" s="173" t="s">
        <v>716</v>
      </c>
    </row>
    <row r="14" spans="1:22">
      <c r="A14" s="153"/>
      <c r="B14" s="154"/>
      <c r="C14" s="144"/>
      <c r="D14" s="145"/>
      <c r="E14" s="145"/>
      <c r="F14" s="145"/>
      <c r="G14" s="145"/>
      <c r="H14" s="145"/>
      <c r="I14" s="145"/>
      <c r="J14" s="145"/>
      <c r="K14" s="147"/>
      <c r="L14" s="147"/>
      <c r="M14" s="147"/>
      <c r="N14" s="147"/>
      <c r="O14" s="147"/>
      <c r="P14" s="160"/>
      <c r="Q14" s="158"/>
      <c r="R14" s="148"/>
      <c r="S14" s="148"/>
      <c r="T14" s="148"/>
      <c r="U14" s="145"/>
      <c r="V14" s="172"/>
    </row>
  </sheetData>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229"/>
  <sheetViews>
    <sheetView zoomScale="132" zoomScaleNormal="132" topLeftCell="A184" workbookViewId="0">
      <selection activeCell="G185" sqref="G185"/>
    </sheetView>
  </sheetViews>
  <sheetFormatPr defaultColWidth="11" defaultRowHeight="15.2"/>
  <cols>
    <col min="2" max="2" width="11.1607142857143" customWidth="1"/>
    <col min="3" max="3" width="11" style="151"/>
    <col min="4" max="17" width="6.66071428571429" customWidth="1"/>
    <col min="18" max="24" width="11" customWidth="1"/>
    <col min="25" max="25" width="11.6607142857143" customWidth="1"/>
  </cols>
  <sheetData>
    <row r="1" spans="1:24">
      <c r="A1" s="152" t="s">
        <v>1449</v>
      </c>
      <c r="B1" s="153">
        <v>636</v>
      </c>
      <c r="C1" s="154" t="s">
        <v>930</v>
      </c>
      <c r="D1" s="144">
        <v>6</v>
      </c>
      <c r="E1" s="145">
        <v>76</v>
      </c>
      <c r="F1" s="145">
        <v>80</v>
      </c>
      <c r="G1" s="145">
        <v>67</v>
      </c>
      <c r="H1" s="145">
        <v>74</v>
      </c>
      <c r="I1" s="145">
        <v>80</v>
      </c>
      <c r="J1" s="145">
        <f>SUM(E1:I1)</f>
        <v>377</v>
      </c>
      <c r="K1" s="145">
        <v>61</v>
      </c>
      <c r="L1" s="147" t="s">
        <v>114</v>
      </c>
      <c r="M1" s="147" t="s">
        <v>130</v>
      </c>
      <c r="N1" s="147" t="s">
        <v>115</v>
      </c>
      <c r="O1" s="147" t="s">
        <v>114</v>
      </c>
      <c r="P1" s="147" t="s">
        <v>114</v>
      </c>
      <c r="Q1" s="147" t="s">
        <v>124</v>
      </c>
      <c r="R1" s="148" t="s">
        <v>429</v>
      </c>
      <c r="S1" s="148" t="s">
        <v>132</v>
      </c>
      <c r="T1" s="148" t="s">
        <v>133</v>
      </c>
      <c r="U1" s="148" t="s">
        <v>120</v>
      </c>
      <c r="V1" s="145">
        <f>E1+F1</f>
        <v>156</v>
      </c>
      <c r="W1" s="149"/>
      <c r="X1" s="145">
        <f>E1+F1+G1</f>
        <v>223</v>
      </c>
    </row>
    <row r="2" ht="17.6" spans="1:24">
      <c r="A2" s="152"/>
      <c r="B2" s="122">
        <v>31</v>
      </c>
      <c r="C2" s="121" t="s">
        <v>1450</v>
      </c>
      <c r="D2" s="124">
        <v>8</v>
      </c>
      <c r="E2" s="121" t="s">
        <v>1369</v>
      </c>
      <c r="F2" s="121" t="s">
        <v>624</v>
      </c>
      <c r="G2" s="121" t="s">
        <v>1451</v>
      </c>
      <c r="H2" s="145"/>
      <c r="I2" s="145"/>
      <c r="J2" s="145"/>
      <c r="K2" s="145"/>
      <c r="L2" s="147"/>
      <c r="M2" s="147"/>
      <c r="N2" s="147"/>
      <c r="O2" s="147"/>
      <c r="P2" s="147"/>
      <c r="Q2" s="147"/>
      <c r="R2" s="148"/>
      <c r="S2" s="148"/>
      <c r="T2" s="148"/>
      <c r="U2" s="148"/>
      <c r="V2" s="145"/>
      <c r="W2" s="149"/>
      <c r="X2" s="145"/>
    </row>
    <row r="3" spans="1:24">
      <c r="A3" s="152"/>
      <c r="B3" s="153">
        <v>361</v>
      </c>
      <c r="C3" s="154" t="s">
        <v>753</v>
      </c>
      <c r="D3" s="144">
        <v>11</v>
      </c>
      <c r="E3" s="145">
        <v>75</v>
      </c>
      <c r="F3" s="145">
        <v>78</v>
      </c>
      <c r="G3" s="145">
        <v>53</v>
      </c>
      <c r="H3" s="145">
        <v>55</v>
      </c>
      <c r="I3" s="145">
        <v>71</v>
      </c>
      <c r="J3" s="145">
        <f t="shared" ref="J3:J14" si="0">SUM(E3:I3)</f>
        <v>332</v>
      </c>
      <c r="K3" s="145">
        <v>78</v>
      </c>
      <c r="L3" s="147" t="s">
        <v>114</v>
      </c>
      <c r="M3" s="147" t="s">
        <v>114</v>
      </c>
      <c r="N3" s="147" t="s">
        <v>115</v>
      </c>
      <c r="O3" s="147" t="s">
        <v>124</v>
      </c>
      <c r="P3" s="147" t="s">
        <v>130</v>
      </c>
      <c r="Q3" s="147" t="s">
        <v>114</v>
      </c>
      <c r="R3" s="148" t="s">
        <v>160</v>
      </c>
      <c r="S3" s="148" t="s">
        <v>132</v>
      </c>
      <c r="T3" s="148" t="s">
        <v>119</v>
      </c>
      <c r="U3" s="148" t="s">
        <v>120</v>
      </c>
      <c r="V3" s="145">
        <f t="shared" ref="V3:V14" si="1">E3+F3</f>
        <v>153</v>
      </c>
      <c r="W3" s="149"/>
      <c r="X3" s="145">
        <f t="shared" ref="X3:X14" si="2">E3+F3+G3</f>
        <v>206</v>
      </c>
    </row>
    <row r="4" spans="1:24">
      <c r="A4" s="152"/>
      <c r="B4" s="153">
        <v>206</v>
      </c>
      <c r="C4" s="154" t="s">
        <v>875</v>
      </c>
      <c r="D4" s="144">
        <v>8</v>
      </c>
      <c r="E4" s="145">
        <v>78</v>
      </c>
      <c r="F4" s="145">
        <v>73</v>
      </c>
      <c r="G4" s="145">
        <v>48</v>
      </c>
      <c r="H4" s="145">
        <v>48</v>
      </c>
      <c r="I4" s="145">
        <v>26</v>
      </c>
      <c r="J4" s="145">
        <f t="shared" si="0"/>
        <v>273</v>
      </c>
      <c r="K4" s="145">
        <v>69</v>
      </c>
      <c r="L4" s="147" t="s">
        <v>114</v>
      </c>
      <c r="M4" s="147" t="s">
        <v>114</v>
      </c>
      <c r="N4" s="147" t="s">
        <v>130</v>
      </c>
      <c r="O4" s="147" t="s">
        <v>114</v>
      </c>
      <c r="P4" s="147" t="s">
        <v>130</v>
      </c>
      <c r="Q4" s="147" t="s">
        <v>124</v>
      </c>
      <c r="R4" s="158" t="s">
        <v>210</v>
      </c>
      <c r="S4" s="148" t="s">
        <v>119</v>
      </c>
      <c r="T4" s="148" t="s">
        <v>119</v>
      </c>
      <c r="U4" s="148" t="s">
        <v>250</v>
      </c>
      <c r="V4" s="145">
        <f t="shared" si="1"/>
        <v>151</v>
      </c>
      <c r="W4" s="148" t="s">
        <v>211</v>
      </c>
      <c r="X4" s="145">
        <f t="shared" si="2"/>
        <v>199</v>
      </c>
    </row>
    <row r="5" spans="1:24">
      <c r="A5" s="152"/>
      <c r="B5" s="153">
        <v>134</v>
      </c>
      <c r="C5" s="154" t="s">
        <v>544</v>
      </c>
      <c r="D5" s="144">
        <v>6</v>
      </c>
      <c r="E5" s="145">
        <v>72</v>
      </c>
      <c r="F5" s="145">
        <v>85</v>
      </c>
      <c r="G5" s="145">
        <v>49</v>
      </c>
      <c r="H5" s="145">
        <v>41</v>
      </c>
      <c r="I5" s="145">
        <v>55</v>
      </c>
      <c r="J5" s="145">
        <f t="shared" si="0"/>
        <v>302</v>
      </c>
      <c r="K5" s="145">
        <v>96</v>
      </c>
      <c r="L5" s="147" t="s">
        <v>114</v>
      </c>
      <c r="M5" s="147" t="s">
        <v>114</v>
      </c>
      <c r="N5" s="147" t="s">
        <v>114</v>
      </c>
      <c r="O5" s="147" t="s">
        <v>130</v>
      </c>
      <c r="P5" s="147" t="s">
        <v>124</v>
      </c>
      <c r="Q5" s="147" t="s">
        <v>130</v>
      </c>
      <c r="R5" s="148" t="s">
        <v>404</v>
      </c>
      <c r="S5" s="148" t="s">
        <v>132</v>
      </c>
      <c r="T5" s="148" t="s">
        <v>119</v>
      </c>
      <c r="U5" s="148" t="s">
        <v>126</v>
      </c>
      <c r="V5" s="145">
        <f t="shared" si="1"/>
        <v>157</v>
      </c>
      <c r="W5" s="149"/>
      <c r="X5" s="145">
        <f t="shared" si="2"/>
        <v>206</v>
      </c>
    </row>
    <row r="6" spans="1:24">
      <c r="A6" s="152"/>
      <c r="B6" s="153">
        <v>467</v>
      </c>
      <c r="C6" s="154" t="s">
        <v>935</v>
      </c>
      <c r="D6" s="144">
        <v>9</v>
      </c>
      <c r="E6" s="145">
        <v>76</v>
      </c>
      <c r="F6" s="145">
        <v>93</v>
      </c>
      <c r="G6" s="145">
        <v>43</v>
      </c>
      <c r="H6" s="145">
        <v>51</v>
      </c>
      <c r="I6" s="145">
        <v>79</v>
      </c>
      <c r="J6" s="145">
        <f t="shared" si="0"/>
        <v>342</v>
      </c>
      <c r="K6" s="145">
        <v>17</v>
      </c>
      <c r="L6" s="147" t="s">
        <v>114</v>
      </c>
      <c r="M6" s="147" t="s">
        <v>114</v>
      </c>
      <c r="N6" s="147" t="s">
        <v>130</v>
      </c>
      <c r="O6" s="147" t="s">
        <v>130</v>
      </c>
      <c r="P6" s="147" t="s">
        <v>114</v>
      </c>
      <c r="Q6" s="147" t="s">
        <v>130</v>
      </c>
      <c r="R6" s="148" t="s">
        <v>486</v>
      </c>
      <c r="S6" s="148" t="s">
        <v>118</v>
      </c>
      <c r="T6" s="148" t="s">
        <v>119</v>
      </c>
      <c r="U6" s="148" t="s">
        <v>126</v>
      </c>
      <c r="V6" s="145">
        <f t="shared" si="1"/>
        <v>169</v>
      </c>
      <c r="W6" s="149"/>
      <c r="X6" s="145">
        <f t="shared" si="2"/>
        <v>212</v>
      </c>
    </row>
    <row r="7" spans="1:24">
      <c r="A7" s="152" t="s">
        <v>1452</v>
      </c>
      <c r="B7" s="153">
        <v>690</v>
      </c>
      <c r="C7" s="154" t="s">
        <v>235</v>
      </c>
      <c r="D7" s="144">
        <v>9</v>
      </c>
      <c r="E7" s="145">
        <v>85</v>
      </c>
      <c r="F7" s="145">
        <v>67</v>
      </c>
      <c r="G7" s="145">
        <v>67</v>
      </c>
      <c r="H7" s="145">
        <v>57</v>
      </c>
      <c r="I7" s="145">
        <v>63</v>
      </c>
      <c r="J7" s="145">
        <f t="shared" si="0"/>
        <v>339</v>
      </c>
      <c r="K7" s="145">
        <v>87</v>
      </c>
      <c r="L7" s="147" t="s">
        <v>130</v>
      </c>
      <c r="M7" s="147" t="s">
        <v>130</v>
      </c>
      <c r="N7" s="147" t="s">
        <v>130</v>
      </c>
      <c r="O7" s="147" t="s">
        <v>114</v>
      </c>
      <c r="P7" s="147" t="s">
        <v>115</v>
      </c>
      <c r="Q7" s="147" t="s">
        <v>130</v>
      </c>
      <c r="R7" s="159" t="s">
        <v>236</v>
      </c>
      <c r="S7" s="148" t="s">
        <v>132</v>
      </c>
      <c r="T7" s="148" t="s">
        <v>136</v>
      </c>
      <c r="U7" s="148" t="s">
        <v>126</v>
      </c>
      <c r="V7" s="145">
        <f t="shared" si="1"/>
        <v>152</v>
      </c>
      <c r="W7" s="148"/>
      <c r="X7" s="145">
        <f t="shared" si="2"/>
        <v>219</v>
      </c>
    </row>
    <row r="8" spans="1:24">
      <c r="A8" s="155"/>
      <c r="B8" s="153">
        <v>283</v>
      </c>
      <c r="C8" s="154" t="s">
        <v>798</v>
      </c>
      <c r="D8" s="144">
        <v>3</v>
      </c>
      <c r="E8" s="145">
        <v>67</v>
      </c>
      <c r="F8" s="145">
        <v>50</v>
      </c>
      <c r="G8" s="145">
        <v>87</v>
      </c>
      <c r="H8" s="145">
        <v>77</v>
      </c>
      <c r="I8" s="145">
        <v>64</v>
      </c>
      <c r="J8" s="145">
        <f t="shared" si="0"/>
        <v>345</v>
      </c>
      <c r="K8" s="145">
        <v>8</v>
      </c>
      <c r="L8" s="147" t="s">
        <v>114</v>
      </c>
      <c r="M8" s="147" t="s">
        <v>114</v>
      </c>
      <c r="N8" s="147" t="s">
        <v>130</v>
      </c>
      <c r="O8" s="147" t="s">
        <v>130</v>
      </c>
      <c r="P8" s="147" t="s">
        <v>130</v>
      </c>
      <c r="Q8" s="147" t="s">
        <v>124</v>
      </c>
      <c r="R8" s="148" t="s">
        <v>476</v>
      </c>
      <c r="S8" s="148" t="s">
        <v>132</v>
      </c>
      <c r="T8" s="148" t="s">
        <v>119</v>
      </c>
      <c r="U8" s="148" t="s">
        <v>120</v>
      </c>
      <c r="V8" s="145">
        <f t="shared" si="1"/>
        <v>117</v>
      </c>
      <c r="W8" s="149"/>
      <c r="X8" s="145">
        <f t="shared" si="2"/>
        <v>204</v>
      </c>
    </row>
    <row r="9" spans="1:24">
      <c r="A9" s="155"/>
      <c r="B9" s="153">
        <v>178</v>
      </c>
      <c r="C9" s="154" t="s">
        <v>481</v>
      </c>
      <c r="D9" s="144">
        <v>10</v>
      </c>
      <c r="E9" s="145">
        <v>47</v>
      </c>
      <c r="F9" s="145">
        <v>37</v>
      </c>
      <c r="G9" s="145">
        <v>78</v>
      </c>
      <c r="H9" s="145">
        <v>94</v>
      </c>
      <c r="I9" s="145">
        <v>66</v>
      </c>
      <c r="J9" s="145">
        <f t="shared" si="0"/>
        <v>322</v>
      </c>
      <c r="K9" s="145">
        <v>76</v>
      </c>
      <c r="L9" s="147" t="s">
        <v>124</v>
      </c>
      <c r="M9" s="147" t="s">
        <v>124</v>
      </c>
      <c r="N9" s="147" t="s">
        <v>124</v>
      </c>
      <c r="O9" s="147" t="s">
        <v>124</v>
      </c>
      <c r="P9" s="147" t="s">
        <v>124</v>
      </c>
      <c r="Q9" s="147" t="s">
        <v>124</v>
      </c>
      <c r="R9" s="148" t="s">
        <v>302</v>
      </c>
      <c r="S9" s="148" t="s">
        <v>132</v>
      </c>
      <c r="T9" s="148" t="s">
        <v>119</v>
      </c>
      <c r="U9" s="148" t="s">
        <v>120</v>
      </c>
      <c r="V9" s="145">
        <f t="shared" si="1"/>
        <v>84</v>
      </c>
      <c r="W9" s="149"/>
      <c r="X9" s="145">
        <f t="shared" si="2"/>
        <v>162</v>
      </c>
    </row>
    <row r="10" spans="1:24">
      <c r="A10" s="155"/>
      <c r="B10" s="153">
        <v>785</v>
      </c>
      <c r="C10" s="154" t="s">
        <v>540</v>
      </c>
      <c r="D10" s="144">
        <v>9</v>
      </c>
      <c r="E10" s="145">
        <v>46</v>
      </c>
      <c r="F10" s="145">
        <v>37</v>
      </c>
      <c r="G10" s="145">
        <v>90</v>
      </c>
      <c r="H10" s="145">
        <v>72</v>
      </c>
      <c r="I10" s="145">
        <v>56</v>
      </c>
      <c r="J10" s="145">
        <f t="shared" si="0"/>
        <v>301</v>
      </c>
      <c r="K10" s="145">
        <v>114</v>
      </c>
      <c r="L10" s="147" t="s">
        <v>124</v>
      </c>
      <c r="M10" s="147" t="s">
        <v>124</v>
      </c>
      <c r="N10" s="147" t="s">
        <v>124</v>
      </c>
      <c r="O10" s="147" t="s">
        <v>124</v>
      </c>
      <c r="P10" s="147" t="s">
        <v>124</v>
      </c>
      <c r="Q10" s="147" t="s">
        <v>124</v>
      </c>
      <c r="R10" s="158" t="s">
        <v>522</v>
      </c>
      <c r="S10" s="148" t="s">
        <v>132</v>
      </c>
      <c r="T10" s="148" t="s">
        <v>119</v>
      </c>
      <c r="U10" s="148" t="s">
        <v>148</v>
      </c>
      <c r="V10" s="145">
        <f t="shared" si="1"/>
        <v>83</v>
      </c>
      <c r="W10" s="148" t="s">
        <v>523</v>
      </c>
      <c r="X10" s="145">
        <f t="shared" si="2"/>
        <v>173</v>
      </c>
    </row>
    <row r="11" spans="1:24">
      <c r="A11" s="155"/>
      <c r="B11" s="153">
        <v>252</v>
      </c>
      <c r="C11" s="154" t="s">
        <v>206</v>
      </c>
      <c r="D11" s="144">
        <v>3</v>
      </c>
      <c r="E11" s="145">
        <v>74</v>
      </c>
      <c r="F11" s="145">
        <v>59</v>
      </c>
      <c r="G11" s="145">
        <v>73</v>
      </c>
      <c r="H11" s="145">
        <v>75</v>
      </c>
      <c r="I11" s="145">
        <v>72</v>
      </c>
      <c r="J11" s="145">
        <f t="shared" si="0"/>
        <v>353</v>
      </c>
      <c r="K11" s="145">
        <v>142</v>
      </c>
      <c r="L11" s="147" t="s">
        <v>124</v>
      </c>
      <c r="M11" s="147" t="s">
        <v>114</v>
      </c>
      <c r="N11" s="147" t="s">
        <v>130</v>
      </c>
      <c r="O11" s="147" t="s">
        <v>130</v>
      </c>
      <c r="P11" s="147" t="s">
        <v>115</v>
      </c>
      <c r="Q11" s="147" t="s">
        <v>124</v>
      </c>
      <c r="R11" s="148" t="s">
        <v>181</v>
      </c>
      <c r="S11" s="148" t="s">
        <v>118</v>
      </c>
      <c r="T11" s="148" t="s">
        <v>119</v>
      </c>
      <c r="U11" s="148" t="s">
        <v>126</v>
      </c>
      <c r="V11" s="145">
        <f t="shared" si="1"/>
        <v>133</v>
      </c>
      <c r="W11" s="149"/>
      <c r="X11" s="145">
        <f t="shared" si="2"/>
        <v>206</v>
      </c>
    </row>
    <row r="12" spans="1:24">
      <c r="A12" s="155"/>
      <c r="B12" s="153">
        <v>316</v>
      </c>
      <c r="C12" s="154" t="s">
        <v>436</v>
      </c>
      <c r="D12" s="144">
        <v>1</v>
      </c>
      <c r="E12" s="145">
        <v>62</v>
      </c>
      <c r="F12" s="145">
        <v>68</v>
      </c>
      <c r="G12" s="145">
        <v>71</v>
      </c>
      <c r="H12" s="145">
        <v>77</v>
      </c>
      <c r="I12" s="145">
        <v>73</v>
      </c>
      <c r="J12" s="145">
        <f t="shared" si="0"/>
        <v>351</v>
      </c>
      <c r="K12" s="145">
        <v>85</v>
      </c>
      <c r="L12" s="147" t="s">
        <v>130</v>
      </c>
      <c r="M12" s="147" t="s">
        <v>130</v>
      </c>
      <c r="N12" s="147" t="s">
        <v>130</v>
      </c>
      <c r="O12" s="147" t="s">
        <v>124</v>
      </c>
      <c r="P12" s="147" t="s">
        <v>124</v>
      </c>
      <c r="Q12" s="147" t="s">
        <v>130</v>
      </c>
      <c r="R12" s="148" t="s">
        <v>203</v>
      </c>
      <c r="S12" s="148" t="s">
        <v>119</v>
      </c>
      <c r="T12" s="148" t="s">
        <v>119</v>
      </c>
      <c r="U12" s="148" t="s">
        <v>148</v>
      </c>
      <c r="V12" s="145">
        <f t="shared" si="1"/>
        <v>130</v>
      </c>
      <c r="W12" s="149"/>
      <c r="X12" s="145">
        <f t="shared" si="2"/>
        <v>201</v>
      </c>
    </row>
    <row r="13" spans="1:24">
      <c r="A13" s="155"/>
      <c r="B13" s="153">
        <v>634</v>
      </c>
      <c r="C13" s="154" t="s">
        <v>1029</v>
      </c>
      <c r="D13" s="144">
        <v>12</v>
      </c>
      <c r="E13" s="145">
        <v>51</v>
      </c>
      <c r="F13" s="145">
        <v>55</v>
      </c>
      <c r="G13" s="145">
        <v>89</v>
      </c>
      <c r="H13" s="145">
        <v>75</v>
      </c>
      <c r="I13" s="145">
        <v>53</v>
      </c>
      <c r="J13" s="145">
        <f t="shared" si="0"/>
        <v>323</v>
      </c>
      <c r="K13" s="145">
        <v>58</v>
      </c>
      <c r="L13" s="147" t="s">
        <v>124</v>
      </c>
      <c r="M13" s="147" t="s">
        <v>130</v>
      </c>
      <c r="N13" s="147" t="s">
        <v>130</v>
      </c>
      <c r="O13" s="147" t="s">
        <v>124</v>
      </c>
      <c r="P13" s="147" t="s">
        <v>114</v>
      </c>
      <c r="Q13" s="147" t="s">
        <v>124</v>
      </c>
      <c r="R13" s="148" t="s">
        <v>263</v>
      </c>
      <c r="S13" s="148" t="s">
        <v>118</v>
      </c>
      <c r="T13" s="148" t="s">
        <v>119</v>
      </c>
      <c r="U13" s="148" t="s">
        <v>126</v>
      </c>
      <c r="V13" s="145">
        <f t="shared" si="1"/>
        <v>106</v>
      </c>
      <c r="W13" s="149"/>
      <c r="X13" s="145">
        <f t="shared" si="2"/>
        <v>195</v>
      </c>
    </row>
    <row r="14" spans="1:24">
      <c r="A14" s="152" t="s">
        <v>1453</v>
      </c>
      <c r="B14" s="153">
        <v>135</v>
      </c>
      <c r="C14" s="154" t="s">
        <v>672</v>
      </c>
      <c r="D14" s="144">
        <v>4</v>
      </c>
      <c r="E14" s="145">
        <v>71</v>
      </c>
      <c r="F14" s="145">
        <v>82</v>
      </c>
      <c r="G14" s="145">
        <v>60</v>
      </c>
      <c r="H14" s="145">
        <v>59</v>
      </c>
      <c r="I14" s="145">
        <v>83</v>
      </c>
      <c r="J14" s="145">
        <f t="shared" si="0"/>
        <v>355</v>
      </c>
      <c r="K14" s="145">
        <v>94</v>
      </c>
      <c r="L14" s="147" t="s">
        <v>130</v>
      </c>
      <c r="M14" s="147" t="s">
        <v>130</v>
      </c>
      <c r="N14" s="147" t="s">
        <v>130</v>
      </c>
      <c r="O14" s="147" t="s">
        <v>114</v>
      </c>
      <c r="P14" s="147" t="s">
        <v>130</v>
      </c>
      <c r="Q14" s="147" t="s">
        <v>124</v>
      </c>
      <c r="R14" s="148" t="s">
        <v>321</v>
      </c>
      <c r="S14" s="148" t="s">
        <v>118</v>
      </c>
      <c r="T14" s="148" t="s">
        <v>133</v>
      </c>
      <c r="U14" s="148" t="s">
        <v>126</v>
      </c>
      <c r="V14" s="145">
        <f t="shared" si="1"/>
        <v>153</v>
      </c>
      <c r="W14" s="149"/>
      <c r="X14" s="145">
        <f t="shared" si="2"/>
        <v>213</v>
      </c>
    </row>
    <row r="15" ht="17.6" spans="1:24">
      <c r="A15" s="152"/>
      <c r="B15" s="122">
        <v>30</v>
      </c>
      <c r="C15" s="121" t="s">
        <v>1454</v>
      </c>
      <c r="D15" s="124">
        <v>4</v>
      </c>
      <c r="E15" s="121" t="s">
        <v>1369</v>
      </c>
      <c r="F15" s="121" t="s">
        <v>721</v>
      </c>
      <c r="G15" s="145"/>
      <c r="H15" s="145"/>
      <c r="I15" s="145"/>
      <c r="J15" s="145"/>
      <c r="K15" s="145"/>
      <c r="L15" s="147"/>
      <c r="M15" s="147"/>
      <c r="N15" s="147"/>
      <c r="O15" s="147"/>
      <c r="P15" s="147"/>
      <c r="Q15" s="147"/>
      <c r="R15" s="148"/>
      <c r="S15" s="148"/>
      <c r="T15" s="148"/>
      <c r="U15" s="148"/>
      <c r="V15" s="145"/>
      <c r="W15" s="149"/>
      <c r="X15" s="145"/>
    </row>
    <row r="16" spans="1:24">
      <c r="A16" s="152"/>
      <c r="B16" s="153">
        <v>557</v>
      </c>
      <c r="C16" s="154" t="s">
        <v>695</v>
      </c>
      <c r="D16" s="144">
        <v>2</v>
      </c>
      <c r="E16" s="145">
        <v>63</v>
      </c>
      <c r="F16" s="145">
        <v>51</v>
      </c>
      <c r="G16" s="145">
        <v>86</v>
      </c>
      <c r="H16" s="145">
        <v>74</v>
      </c>
      <c r="I16" s="145">
        <v>80</v>
      </c>
      <c r="J16" s="145">
        <f>SUM(E16:I16)</f>
        <v>354</v>
      </c>
      <c r="K16" s="145">
        <v>76</v>
      </c>
      <c r="L16" s="147" t="s">
        <v>130</v>
      </c>
      <c r="M16" s="147" t="s">
        <v>130</v>
      </c>
      <c r="N16" s="147" t="s">
        <v>124</v>
      </c>
      <c r="O16" s="147" t="s">
        <v>124</v>
      </c>
      <c r="P16" s="147" t="s">
        <v>130</v>
      </c>
      <c r="Q16" s="147" t="s">
        <v>130</v>
      </c>
      <c r="R16" s="148" t="s">
        <v>686</v>
      </c>
      <c r="S16" s="148" t="s">
        <v>132</v>
      </c>
      <c r="T16" s="148" t="s">
        <v>119</v>
      </c>
      <c r="U16" s="148" t="s">
        <v>120</v>
      </c>
      <c r="V16" s="145">
        <f>E16+F16</f>
        <v>114</v>
      </c>
      <c r="W16" s="149"/>
      <c r="X16" s="145">
        <f>E16+F16+G16</f>
        <v>200</v>
      </c>
    </row>
    <row r="17" spans="1:24">
      <c r="A17" s="152"/>
      <c r="B17" s="153">
        <v>408</v>
      </c>
      <c r="C17" s="154" t="s">
        <v>832</v>
      </c>
      <c r="D17" s="144">
        <v>9</v>
      </c>
      <c r="E17" s="145">
        <v>55</v>
      </c>
      <c r="F17" s="145">
        <v>51</v>
      </c>
      <c r="G17" s="145">
        <v>89</v>
      </c>
      <c r="H17" s="145">
        <v>73</v>
      </c>
      <c r="I17" s="145">
        <v>56</v>
      </c>
      <c r="J17" s="145">
        <f>SUM(E17:I17)</f>
        <v>324</v>
      </c>
      <c r="K17" s="145">
        <v>147</v>
      </c>
      <c r="L17" s="147" t="s">
        <v>124</v>
      </c>
      <c r="M17" s="147" t="s">
        <v>124</v>
      </c>
      <c r="N17" s="147" t="s">
        <v>124</v>
      </c>
      <c r="O17" s="147" t="s">
        <v>130</v>
      </c>
      <c r="P17" s="147" t="s">
        <v>130</v>
      </c>
      <c r="Q17" s="147" t="s">
        <v>124</v>
      </c>
      <c r="R17" s="158" t="s">
        <v>522</v>
      </c>
      <c r="S17" s="148" t="s">
        <v>275</v>
      </c>
      <c r="T17" s="148" t="s">
        <v>119</v>
      </c>
      <c r="U17" s="148" t="s">
        <v>120</v>
      </c>
      <c r="V17" s="145">
        <f>E17+F17</f>
        <v>106</v>
      </c>
      <c r="W17" s="148" t="s">
        <v>523</v>
      </c>
      <c r="X17" s="145">
        <f>E17+F17+G17</f>
        <v>195</v>
      </c>
    </row>
    <row r="18" spans="1:24">
      <c r="A18" s="152"/>
      <c r="B18" s="153">
        <v>76</v>
      </c>
      <c r="C18" s="154" t="s">
        <v>261</v>
      </c>
      <c r="D18" s="144">
        <v>10</v>
      </c>
      <c r="E18" s="145">
        <v>80</v>
      </c>
      <c r="F18" s="145">
        <v>80</v>
      </c>
      <c r="G18" s="145">
        <v>48</v>
      </c>
      <c r="H18" s="145">
        <v>41</v>
      </c>
      <c r="I18" s="145">
        <v>54</v>
      </c>
      <c r="J18" s="145">
        <f>SUM(E18:I18)</f>
        <v>303</v>
      </c>
      <c r="K18" s="145">
        <v>2</v>
      </c>
      <c r="L18" s="147" t="s">
        <v>114</v>
      </c>
      <c r="M18" s="147" t="s">
        <v>130</v>
      </c>
      <c r="N18" s="147" t="s">
        <v>114</v>
      </c>
      <c r="O18" s="147" t="s">
        <v>130</v>
      </c>
      <c r="P18" s="147" t="s">
        <v>115</v>
      </c>
      <c r="Q18" s="147" t="s">
        <v>124</v>
      </c>
      <c r="R18" s="148" t="s">
        <v>196</v>
      </c>
      <c r="S18" s="148" t="s">
        <v>132</v>
      </c>
      <c r="T18" s="148" t="s">
        <v>119</v>
      </c>
      <c r="U18" s="148" t="s">
        <v>250</v>
      </c>
      <c r="V18" s="145">
        <f>E18+F18</f>
        <v>160</v>
      </c>
      <c r="W18" s="149"/>
      <c r="X18" s="145">
        <f>E18+F18+G18</f>
        <v>208</v>
      </c>
    </row>
    <row r="19" spans="1:24">
      <c r="A19" s="152"/>
      <c r="B19" s="153">
        <v>82</v>
      </c>
      <c r="C19" s="154" t="s">
        <v>1025</v>
      </c>
      <c r="D19" s="144">
        <v>6</v>
      </c>
      <c r="E19" s="145">
        <v>81</v>
      </c>
      <c r="F19" s="145">
        <v>75</v>
      </c>
      <c r="G19" s="145">
        <v>49</v>
      </c>
      <c r="H19" s="145">
        <v>52</v>
      </c>
      <c r="I19" s="145">
        <v>54</v>
      </c>
      <c r="J19" s="145">
        <f>SUM(E19:I19)</f>
        <v>311</v>
      </c>
      <c r="K19" s="145">
        <v>146</v>
      </c>
      <c r="L19" s="147" t="s">
        <v>114</v>
      </c>
      <c r="M19" s="147" t="s">
        <v>114</v>
      </c>
      <c r="N19" s="147" t="s">
        <v>130</v>
      </c>
      <c r="O19" s="147" t="s">
        <v>114</v>
      </c>
      <c r="P19" s="147" t="s">
        <v>114</v>
      </c>
      <c r="Q19" s="147" t="s">
        <v>130</v>
      </c>
      <c r="R19" s="148" t="s">
        <v>194</v>
      </c>
      <c r="S19" s="148" t="s">
        <v>119</v>
      </c>
      <c r="T19" s="148" t="s">
        <v>145</v>
      </c>
      <c r="U19" s="148" t="s">
        <v>126</v>
      </c>
      <c r="V19" s="145">
        <f>E19+F19</f>
        <v>156</v>
      </c>
      <c r="W19" s="149"/>
      <c r="X19" s="145">
        <f>E19+F19+G19</f>
        <v>205</v>
      </c>
    </row>
    <row r="20" spans="1:24">
      <c r="A20" s="152" t="s">
        <v>1455</v>
      </c>
      <c r="B20" s="153">
        <v>179</v>
      </c>
      <c r="C20" s="154" t="s">
        <v>518</v>
      </c>
      <c r="D20" s="144">
        <v>10</v>
      </c>
      <c r="E20" s="145">
        <v>42</v>
      </c>
      <c r="F20" s="145">
        <v>41</v>
      </c>
      <c r="G20" s="145">
        <v>80</v>
      </c>
      <c r="H20" s="145">
        <v>90</v>
      </c>
      <c r="I20" s="145">
        <v>61</v>
      </c>
      <c r="J20" s="145">
        <f>SUM(E20:I20)</f>
        <v>314</v>
      </c>
      <c r="K20" s="145">
        <v>89</v>
      </c>
      <c r="L20" s="147" t="s">
        <v>124</v>
      </c>
      <c r="M20" s="147" t="s">
        <v>124</v>
      </c>
      <c r="N20" s="147" t="s">
        <v>124</v>
      </c>
      <c r="O20" s="147" t="s">
        <v>124</v>
      </c>
      <c r="P20" s="147" t="s">
        <v>124</v>
      </c>
      <c r="Q20" s="147" t="s">
        <v>130</v>
      </c>
      <c r="R20" s="148" t="s">
        <v>302</v>
      </c>
      <c r="S20" s="148" t="s">
        <v>132</v>
      </c>
      <c r="T20" s="148" t="s">
        <v>119</v>
      </c>
      <c r="U20" s="148" t="s">
        <v>120</v>
      </c>
      <c r="V20" s="145">
        <f>E20+F20</f>
        <v>83</v>
      </c>
      <c r="W20" s="149"/>
      <c r="X20" s="145">
        <f>E20+F20+G20</f>
        <v>163</v>
      </c>
    </row>
    <row r="21" ht="17.6" spans="1:24">
      <c r="A21" s="152"/>
      <c r="B21" s="122">
        <v>23</v>
      </c>
      <c r="C21" s="121" t="s">
        <v>1456</v>
      </c>
      <c r="D21" s="124">
        <v>6</v>
      </c>
      <c r="E21" s="121" t="s">
        <v>1369</v>
      </c>
      <c r="F21" s="121" t="s">
        <v>215</v>
      </c>
      <c r="G21" s="121" t="s">
        <v>1410</v>
      </c>
      <c r="H21" s="145"/>
      <c r="I21" s="145"/>
      <c r="J21" s="145"/>
      <c r="K21" s="145"/>
      <c r="L21" s="147"/>
      <c r="M21" s="147"/>
      <c r="N21" s="147"/>
      <c r="O21" s="147"/>
      <c r="P21" s="147"/>
      <c r="Q21" s="147"/>
      <c r="R21" s="148"/>
      <c r="S21" s="148"/>
      <c r="T21" s="148"/>
      <c r="U21" s="148"/>
      <c r="V21" s="145"/>
      <c r="W21" s="149"/>
      <c r="X21" s="145"/>
    </row>
    <row r="22" ht="13" customHeight="1" spans="1:24">
      <c r="A22" s="152"/>
      <c r="B22" s="153">
        <v>528</v>
      </c>
      <c r="C22" s="156" t="s">
        <v>751</v>
      </c>
      <c r="D22" s="144">
        <v>6</v>
      </c>
      <c r="E22" s="145">
        <v>67</v>
      </c>
      <c r="F22" s="145">
        <v>81</v>
      </c>
      <c r="G22" s="145">
        <v>33</v>
      </c>
      <c r="H22" s="145">
        <v>57</v>
      </c>
      <c r="I22" s="145">
        <v>71</v>
      </c>
      <c r="J22" s="145">
        <f t="shared" ref="J22:J31" si="3">SUM(E22:I22)</f>
        <v>309</v>
      </c>
      <c r="K22" s="145">
        <v>106</v>
      </c>
      <c r="L22" s="147" t="s">
        <v>124</v>
      </c>
      <c r="M22" s="147" t="s">
        <v>130</v>
      </c>
      <c r="N22" s="147" t="s">
        <v>114</v>
      </c>
      <c r="O22" s="147" t="s">
        <v>115</v>
      </c>
      <c r="P22" s="147" t="s">
        <v>130</v>
      </c>
      <c r="Q22" s="147" t="s">
        <v>124</v>
      </c>
      <c r="R22" s="148" t="s">
        <v>402</v>
      </c>
      <c r="S22" s="148" t="s">
        <v>275</v>
      </c>
      <c r="T22" s="148" t="s">
        <v>136</v>
      </c>
      <c r="U22" s="148" t="s">
        <v>250</v>
      </c>
      <c r="V22" s="145">
        <f t="shared" ref="V22:V31" si="4">E22+F22</f>
        <v>148</v>
      </c>
      <c r="W22" s="149"/>
      <c r="X22" s="145">
        <f t="shared" ref="X22:X31" si="5">E22+F22+G22</f>
        <v>181</v>
      </c>
    </row>
    <row r="23" spans="1:24">
      <c r="A23" s="152"/>
      <c r="B23" s="153">
        <v>86</v>
      </c>
      <c r="C23" s="154" t="s">
        <v>892</v>
      </c>
      <c r="D23" s="144">
        <v>10</v>
      </c>
      <c r="E23" s="145">
        <v>81</v>
      </c>
      <c r="F23" s="145">
        <v>72</v>
      </c>
      <c r="G23" s="145">
        <v>82</v>
      </c>
      <c r="H23" s="145">
        <v>90</v>
      </c>
      <c r="I23" s="145">
        <v>93</v>
      </c>
      <c r="J23" s="145">
        <f t="shared" si="3"/>
        <v>418</v>
      </c>
      <c r="K23" s="145">
        <v>100</v>
      </c>
      <c r="L23" s="147" t="s">
        <v>114</v>
      </c>
      <c r="M23" s="147" t="s">
        <v>115</v>
      </c>
      <c r="N23" s="147" t="s">
        <v>114</v>
      </c>
      <c r="O23" s="147" t="s">
        <v>124</v>
      </c>
      <c r="P23" s="147" t="s">
        <v>114</v>
      </c>
      <c r="Q23" s="147" t="s">
        <v>115</v>
      </c>
      <c r="R23" s="148" t="s">
        <v>474</v>
      </c>
      <c r="S23" s="148" t="s">
        <v>119</v>
      </c>
      <c r="T23" s="148" t="s">
        <v>145</v>
      </c>
      <c r="U23" s="148" t="s">
        <v>120</v>
      </c>
      <c r="V23" s="145">
        <f t="shared" si="4"/>
        <v>153</v>
      </c>
      <c r="W23" s="149"/>
      <c r="X23" s="145">
        <f t="shared" si="5"/>
        <v>235</v>
      </c>
    </row>
    <row r="24" spans="1:24">
      <c r="A24" s="152"/>
      <c r="B24" s="153">
        <v>108</v>
      </c>
      <c r="C24" s="154" t="s">
        <v>547</v>
      </c>
      <c r="D24" s="144">
        <v>5</v>
      </c>
      <c r="E24" s="145">
        <v>66</v>
      </c>
      <c r="F24" s="145">
        <v>84</v>
      </c>
      <c r="G24" s="145">
        <v>32</v>
      </c>
      <c r="H24" s="145">
        <v>43</v>
      </c>
      <c r="I24" s="145">
        <v>54</v>
      </c>
      <c r="J24" s="145">
        <f t="shared" si="3"/>
        <v>279</v>
      </c>
      <c r="K24" s="145">
        <v>121</v>
      </c>
      <c r="L24" s="147" t="s">
        <v>130</v>
      </c>
      <c r="M24" s="147" t="s">
        <v>114</v>
      </c>
      <c r="N24" s="147" t="s">
        <v>114</v>
      </c>
      <c r="O24" s="147" t="s">
        <v>124</v>
      </c>
      <c r="P24" s="147" t="s">
        <v>124</v>
      </c>
      <c r="Q24" s="147" t="s">
        <v>114</v>
      </c>
      <c r="R24" s="148" t="s">
        <v>393</v>
      </c>
      <c r="S24" s="148" t="s">
        <v>118</v>
      </c>
      <c r="T24" s="148" t="s">
        <v>133</v>
      </c>
      <c r="U24" s="148" t="s">
        <v>250</v>
      </c>
      <c r="V24" s="145">
        <f t="shared" si="4"/>
        <v>150</v>
      </c>
      <c r="W24" s="149"/>
      <c r="X24" s="145">
        <f t="shared" si="5"/>
        <v>182</v>
      </c>
    </row>
    <row r="25" spans="1:24">
      <c r="A25" s="152"/>
      <c r="B25" s="153">
        <v>235</v>
      </c>
      <c r="C25" s="154" t="s">
        <v>894</v>
      </c>
      <c r="D25" s="144">
        <v>12</v>
      </c>
      <c r="E25" s="145">
        <v>86</v>
      </c>
      <c r="F25" s="145">
        <v>78</v>
      </c>
      <c r="G25" s="145">
        <v>72</v>
      </c>
      <c r="H25" s="145">
        <v>74</v>
      </c>
      <c r="I25" s="145">
        <v>92</v>
      </c>
      <c r="J25" s="145">
        <f t="shared" si="3"/>
        <v>402</v>
      </c>
      <c r="K25" s="145">
        <v>34</v>
      </c>
      <c r="L25" s="147" t="s">
        <v>114</v>
      </c>
      <c r="M25" s="147" t="s">
        <v>115</v>
      </c>
      <c r="N25" s="147" t="s">
        <v>114</v>
      </c>
      <c r="O25" s="147" t="s">
        <v>130</v>
      </c>
      <c r="P25" s="147" t="s">
        <v>114</v>
      </c>
      <c r="Q25" s="147" t="s">
        <v>114</v>
      </c>
      <c r="R25" s="148" t="s">
        <v>198</v>
      </c>
      <c r="S25" s="148" t="s">
        <v>118</v>
      </c>
      <c r="T25" s="148" t="s">
        <v>119</v>
      </c>
      <c r="U25" s="148" t="s">
        <v>120</v>
      </c>
      <c r="V25" s="145">
        <f t="shared" si="4"/>
        <v>164</v>
      </c>
      <c r="W25" s="149"/>
      <c r="X25" s="145">
        <f t="shared" si="5"/>
        <v>236</v>
      </c>
    </row>
    <row r="26" spans="1:24">
      <c r="A26" s="152" t="s">
        <v>1457</v>
      </c>
      <c r="B26" s="153">
        <v>357</v>
      </c>
      <c r="C26" s="156" t="s">
        <v>167</v>
      </c>
      <c r="D26" s="144">
        <v>6</v>
      </c>
      <c r="E26" s="145">
        <v>75</v>
      </c>
      <c r="F26" s="145">
        <v>51</v>
      </c>
      <c r="G26" s="145">
        <v>83</v>
      </c>
      <c r="H26" s="145">
        <v>92</v>
      </c>
      <c r="I26" s="145">
        <v>85</v>
      </c>
      <c r="J26" s="145">
        <f t="shared" si="3"/>
        <v>386</v>
      </c>
      <c r="K26" s="145">
        <v>20</v>
      </c>
      <c r="L26" s="147" t="s">
        <v>114</v>
      </c>
      <c r="M26" s="147" t="s">
        <v>114</v>
      </c>
      <c r="N26" s="147" t="s">
        <v>114</v>
      </c>
      <c r="O26" s="147" t="s">
        <v>130</v>
      </c>
      <c r="P26" s="147" t="s">
        <v>115</v>
      </c>
      <c r="Q26" s="147" t="s">
        <v>130</v>
      </c>
      <c r="R26" s="148" t="s">
        <v>168</v>
      </c>
      <c r="S26" s="148" t="s">
        <v>119</v>
      </c>
      <c r="T26" s="148" t="s">
        <v>136</v>
      </c>
      <c r="U26" s="148" t="s">
        <v>120</v>
      </c>
      <c r="V26" s="145">
        <f t="shared" si="4"/>
        <v>126</v>
      </c>
      <c r="W26" s="149"/>
      <c r="X26" s="145">
        <f t="shared" si="5"/>
        <v>209</v>
      </c>
    </row>
    <row r="27" spans="1:24">
      <c r="A27" s="155"/>
      <c r="B27" s="153">
        <v>216</v>
      </c>
      <c r="C27" s="154" t="s">
        <v>322</v>
      </c>
      <c r="D27" s="144">
        <v>5</v>
      </c>
      <c r="E27" s="145">
        <v>39</v>
      </c>
      <c r="F27" s="145">
        <v>41</v>
      </c>
      <c r="G27" s="145">
        <v>73</v>
      </c>
      <c r="H27" s="145">
        <v>86</v>
      </c>
      <c r="I27" s="145">
        <v>88</v>
      </c>
      <c r="J27" s="145">
        <f t="shared" si="3"/>
        <v>327</v>
      </c>
      <c r="K27" s="145">
        <v>71</v>
      </c>
      <c r="L27" s="147" t="s">
        <v>124</v>
      </c>
      <c r="M27" s="147" t="s">
        <v>124</v>
      </c>
      <c r="N27" s="147" t="s">
        <v>124</v>
      </c>
      <c r="O27" s="147" t="s">
        <v>124</v>
      </c>
      <c r="P27" s="147" t="s">
        <v>124</v>
      </c>
      <c r="Q27" s="147" t="s">
        <v>124</v>
      </c>
      <c r="R27" s="148" t="s">
        <v>170</v>
      </c>
      <c r="S27" s="148" t="s">
        <v>118</v>
      </c>
      <c r="T27" s="148" t="s">
        <v>119</v>
      </c>
      <c r="U27" s="148" t="s">
        <v>126</v>
      </c>
      <c r="V27" s="145">
        <f t="shared" si="4"/>
        <v>80</v>
      </c>
      <c r="W27" s="149"/>
      <c r="X27" s="145">
        <f t="shared" si="5"/>
        <v>153</v>
      </c>
    </row>
    <row r="28" spans="1:24">
      <c r="A28" s="155"/>
      <c r="B28" s="153">
        <v>437</v>
      </c>
      <c r="C28" s="154" t="s">
        <v>640</v>
      </c>
      <c r="D28" s="144">
        <v>12</v>
      </c>
      <c r="E28" s="145">
        <v>77</v>
      </c>
      <c r="F28" s="145">
        <v>84</v>
      </c>
      <c r="G28" s="145">
        <v>66</v>
      </c>
      <c r="H28" s="145">
        <v>80</v>
      </c>
      <c r="I28" s="145">
        <v>90</v>
      </c>
      <c r="J28" s="145">
        <f t="shared" si="3"/>
        <v>397</v>
      </c>
      <c r="K28" s="145">
        <v>12</v>
      </c>
      <c r="L28" s="147" t="s">
        <v>130</v>
      </c>
      <c r="M28" s="147" t="s">
        <v>130</v>
      </c>
      <c r="N28" s="147" t="s">
        <v>130</v>
      </c>
      <c r="O28" s="147" t="s">
        <v>114</v>
      </c>
      <c r="P28" s="147" t="s">
        <v>130</v>
      </c>
      <c r="Q28" s="147" t="s">
        <v>130</v>
      </c>
      <c r="R28" s="148" t="s">
        <v>153</v>
      </c>
      <c r="S28" s="148" t="s">
        <v>132</v>
      </c>
      <c r="T28" s="148" t="s">
        <v>119</v>
      </c>
      <c r="U28" s="148" t="s">
        <v>120</v>
      </c>
      <c r="V28" s="145">
        <f t="shared" si="4"/>
        <v>161</v>
      </c>
      <c r="W28" s="149"/>
      <c r="X28" s="145">
        <f t="shared" si="5"/>
        <v>227</v>
      </c>
    </row>
    <row r="29" spans="1:24">
      <c r="A29" s="155"/>
      <c r="B29" s="153">
        <v>175</v>
      </c>
      <c r="C29" s="154" t="s">
        <v>272</v>
      </c>
      <c r="D29" s="144">
        <v>9</v>
      </c>
      <c r="E29" s="145">
        <v>83</v>
      </c>
      <c r="F29" s="145">
        <v>76</v>
      </c>
      <c r="G29" s="145">
        <v>84</v>
      </c>
      <c r="H29" s="145">
        <v>62</v>
      </c>
      <c r="I29" s="145">
        <v>33</v>
      </c>
      <c r="J29" s="145">
        <f t="shared" si="3"/>
        <v>338</v>
      </c>
      <c r="K29" s="145">
        <v>78</v>
      </c>
      <c r="L29" s="147" t="s">
        <v>130</v>
      </c>
      <c r="M29" s="147" t="s">
        <v>114</v>
      </c>
      <c r="N29" s="147" t="s">
        <v>115</v>
      </c>
      <c r="O29" s="147" t="s">
        <v>114</v>
      </c>
      <c r="P29" s="147" t="s">
        <v>115</v>
      </c>
      <c r="Q29" s="147" t="s">
        <v>124</v>
      </c>
      <c r="R29" s="148" t="s">
        <v>266</v>
      </c>
      <c r="S29" s="148" t="s">
        <v>119</v>
      </c>
      <c r="T29" s="148" t="s">
        <v>136</v>
      </c>
      <c r="U29" s="148" t="s">
        <v>126</v>
      </c>
      <c r="V29" s="145">
        <f t="shared" si="4"/>
        <v>159</v>
      </c>
      <c r="W29" s="149"/>
      <c r="X29" s="145">
        <f t="shared" si="5"/>
        <v>243</v>
      </c>
    </row>
    <row r="30" spans="1:24">
      <c r="A30" s="155"/>
      <c r="B30" s="153">
        <v>445</v>
      </c>
      <c r="C30" s="154" t="s">
        <v>409</v>
      </c>
      <c r="D30" s="144">
        <v>5</v>
      </c>
      <c r="E30" s="145">
        <v>66</v>
      </c>
      <c r="F30" s="145">
        <v>89</v>
      </c>
      <c r="G30" s="145">
        <v>58</v>
      </c>
      <c r="H30" s="145">
        <v>50</v>
      </c>
      <c r="I30" s="145">
        <v>76</v>
      </c>
      <c r="J30" s="145">
        <f t="shared" si="3"/>
        <v>339</v>
      </c>
      <c r="K30" s="145">
        <v>9</v>
      </c>
      <c r="L30" s="147" t="s">
        <v>130</v>
      </c>
      <c r="M30" s="147" t="s">
        <v>130</v>
      </c>
      <c r="N30" s="147" t="s">
        <v>114</v>
      </c>
      <c r="O30" s="147" t="s">
        <v>130</v>
      </c>
      <c r="P30" s="147" t="s">
        <v>124</v>
      </c>
      <c r="Q30" s="147" t="s">
        <v>124</v>
      </c>
      <c r="R30" s="148" t="s">
        <v>393</v>
      </c>
      <c r="S30" s="148" t="s">
        <v>132</v>
      </c>
      <c r="T30" s="148" t="s">
        <v>133</v>
      </c>
      <c r="U30" s="148" t="s">
        <v>126</v>
      </c>
      <c r="V30" s="145">
        <f t="shared" si="4"/>
        <v>155</v>
      </c>
      <c r="W30" s="149"/>
      <c r="X30" s="145">
        <f t="shared" si="5"/>
        <v>213</v>
      </c>
    </row>
    <row r="31" spans="1:24">
      <c r="A31" s="152" t="s">
        <v>1458</v>
      </c>
      <c r="B31" s="153">
        <v>778</v>
      </c>
      <c r="C31" s="154" t="s">
        <v>833</v>
      </c>
      <c r="D31" s="144">
        <v>4</v>
      </c>
      <c r="E31" s="145">
        <v>77</v>
      </c>
      <c r="F31" s="145">
        <v>50</v>
      </c>
      <c r="G31" s="145">
        <v>66</v>
      </c>
      <c r="H31" s="145">
        <v>75</v>
      </c>
      <c r="I31" s="145">
        <v>56</v>
      </c>
      <c r="J31" s="145">
        <f t="shared" si="3"/>
        <v>324</v>
      </c>
      <c r="K31" s="145">
        <v>19</v>
      </c>
      <c r="L31" s="147" t="s">
        <v>124</v>
      </c>
      <c r="M31" s="147" t="s">
        <v>114</v>
      </c>
      <c r="N31" s="147" t="s">
        <v>114</v>
      </c>
      <c r="O31" s="147" t="s">
        <v>130</v>
      </c>
      <c r="P31" s="147" t="s">
        <v>130</v>
      </c>
      <c r="Q31" s="147" t="s">
        <v>130</v>
      </c>
      <c r="R31" s="148" t="s">
        <v>411</v>
      </c>
      <c r="S31" s="148" t="s">
        <v>119</v>
      </c>
      <c r="T31" s="148" t="s">
        <v>136</v>
      </c>
      <c r="U31" s="148" t="s">
        <v>250</v>
      </c>
      <c r="V31" s="145">
        <f t="shared" si="4"/>
        <v>127</v>
      </c>
      <c r="W31" s="149"/>
      <c r="X31" s="145">
        <f t="shared" si="5"/>
        <v>193</v>
      </c>
    </row>
    <row r="32" ht="17.6" spans="1:24">
      <c r="A32" s="152"/>
      <c r="B32" s="125">
        <v>41</v>
      </c>
      <c r="C32" s="128" t="s">
        <v>1459</v>
      </c>
      <c r="D32" s="127">
        <v>10</v>
      </c>
      <c r="E32" s="128" t="s">
        <v>1369</v>
      </c>
      <c r="F32" s="128" t="s">
        <v>292</v>
      </c>
      <c r="G32" s="145"/>
      <c r="H32" s="145"/>
      <c r="I32" s="145"/>
      <c r="J32" s="145"/>
      <c r="K32" s="145"/>
      <c r="L32" s="147"/>
      <c r="M32" s="147"/>
      <c r="N32" s="147"/>
      <c r="O32" s="147"/>
      <c r="P32" s="147"/>
      <c r="Q32" s="147"/>
      <c r="R32" s="148"/>
      <c r="S32" s="148"/>
      <c r="T32" s="148"/>
      <c r="U32" s="148"/>
      <c r="V32" s="145"/>
      <c r="W32" s="149"/>
      <c r="X32" s="145"/>
    </row>
    <row r="33" spans="1:24">
      <c r="A33" s="152"/>
      <c r="B33" s="153">
        <v>790</v>
      </c>
      <c r="C33" s="154" t="s">
        <v>412</v>
      </c>
      <c r="D33" s="144">
        <v>8</v>
      </c>
      <c r="E33" s="145">
        <v>76</v>
      </c>
      <c r="F33" s="145">
        <v>82</v>
      </c>
      <c r="G33" s="145">
        <v>64</v>
      </c>
      <c r="H33" s="145">
        <v>60</v>
      </c>
      <c r="I33" s="145">
        <v>76</v>
      </c>
      <c r="J33" s="145">
        <f t="shared" ref="J33:J43" si="6">SUM(E33:I33)</f>
        <v>358</v>
      </c>
      <c r="K33" s="145">
        <v>58</v>
      </c>
      <c r="L33" s="147" t="s">
        <v>130</v>
      </c>
      <c r="M33" s="147" t="s">
        <v>130</v>
      </c>
      <c r="N33" s="147" t="s">
        <v>115</v>
      </c>
      <c r="O33" s="147" t="s">
        <v>114</v>
      </c>
      <c r="P33" s="147" t="s">
        <v>124</v>
      </c>
      <c r="Q33" s="147" t="s">
        <v>114</v>
      </c>
      <c r="R33" s="148" t="s">
        <v>253</v>
      </c>
      <c r="S33" s="148" t="s">
        <v>132</v>
      </c>
      <c r="T33" s="148" t="s">
        <v>119</v>
      </c>
      <c r="U33" s="148" t="s">
        <v>126</v>
      </c>
      <c r="V33" s="145">
        <f t="shared" ref="V33:V43" si="7">E33+F33</f>
        <v>158</v>
      </c>
      <c r="W33" s="149"/>
      <c r="X33" s="145">
        <f t="shared" ref="X33:X43" si="8">E33+F33+G33</f>
        <v>222</v>
      </c>
    </row>
    <row r="34" spans="1:24">
      <c r="A34" s="152"/>
      <c r="B34" s="153">
        <v>777</v>
      </c>
      <c r="C34" s="154" t="s">
        <v>900</v>
      </c>
      <c r="D34" s="144">
        <v>7</v>
      </c>
      <c r="E34" s="145">
        <v>71</v>
      </c>
      <c r="F34" s="145">
        <v>55</v>
      </c>
      <c r="G34" s="145">
        <v>95</v>
      </c>
      <c r="H34" s="145">
        <v>88</v>
      </c>
      <c r="I34" s="145">
        <v>90</v>
      </c>
      <c r="J34" s="145">
        <f t="shared" si="6"/>
        <v>399</v>
      </c>
      <c r="K34" s="145">
        <v>23</v>
      </c>
      <c r="L34" s="147" t="s">
        <v>114</v>
      </c>
      <c r="M34" s="147" t="s">
        <v>130</v>
      </c>
      <c r="N34" s="147" t="s">
        <v>124</v>
      </c>
      <c r="O34" s="147" t="s">
        <v>130</v>
      </c>
      <c r="P34" s="147" t="s">
        <v>114</v>
      </c>
      <c r="Q34" s="147" t="s">
        <v>130</v>
      </c>
      <c r="R34" s="148" t="s">
        <v>476</v>
      </c>
      <c r="S34" s="148" t="s">
        <v>118</v>
      </c>
      <c r="T34" s="148" t="s">
        <v>133</v>
      </c>
      <c r="U34" s="148" t="s">
        <v>120</v>
      </c>
      <c r="V34" s="145">
        <f t="shared" si="7"/>
        <v>126</v>
      </c>
      <c r="W34" s="149"/>
      <c r="X34" s="145">
        <f t="shared" si="8"/>
        <v>221</v>
      </c>
    </row>
    <row r="35" spans="1:24">
      <c r="A35" s="152"/>
      <c r="B35" s="153">
        <v>363</v>
      </c>
      <c r="C35" s="154" t="s">
        <v>747</v>
      </c>
      <c r="D35" s="144">
        <v>6</v>
      </c>
      <c r="E35" s="145">
        <v>83</v>
      </c>
      <c r="F35" s="145">
        <v>76</v>
      </c>
      <c r="G35" s="145">
        <v>57</v>
      </c>
      <c r="H35" s="145">
        <v>72</v>
      </c>
      <c r="I35" s="145">
        <v>72</v>
      </c>
      <c r="J35" s="145">
        <f t="shared" si="6"/>
        <v>360</v>
      </c>
      <c r="K35" s="145">
        <v>78</v>
      </c>
      <c r="L35" s="147" t="s">
        <v>115</v>
      </c>
      <c r="M35" s="147" t="s">
        <v>114</v>
      </c>
      <c r="N35" s="147" t="s">
        <v>130</v>
      </c>
      <c r="O35" s="147" t="s">
        <v>114</v>
      </c>
      <c r="P35" s="147" t="s">
        <v>130</v>
      </c>
      <c r="Q35" s="147" t="s">
        <v>130</v>
      </c>
      <c r="R35" s="148" t="s">
        <v>192</v>
      </c>
      <c r="S35" s="148" t="s">
        <v>132</v>
      </c>
      <c r="T35" s="148" t="s">
        <v>119</v>
      </c>
      <c r="U35" s="148" t="s">
        <v>250</v>
      </c>
      <c r="V35" s="145">
        <f t="shared" si="7"/>
        <v>159</v>
      </c>
      <c r="W35" s="149"/>
      <c r="X35" s="145">
        <f t="shared" si="8"/>
        <v>216</v>
      </c>
    </row>
    <row r="36" spans="1:24">
      <c r="A36" s="152"/>
      <c r="B36" s="153">
        <v>684</v>
      </c>
      <c r="C36" s="154" t="s">
        <v>264</v>
      </c>
      <c r="D36" s="144">
        <v>11</v>
      </c>
      <c r="E36" s="145">
        <v>83</v>
      </c>
      <c r="F36" s="145">
        <v>79</v>
      </c>
      <c r="G36" s="145">
        <v>52</v>
      </c>
      <c r="H36" s="145">
        <v>38</v>
      </c>
      <c r="I36" s="145">
        <v>50</v>
      </c>
      <c r="J36" s="145">
        <f t="shared" si="6"/>
        <v>302</v>
      </c>
      <c r="K36" s="145">
        <v>95</v>
      </c>
      <c r="L36" s="147" t="s">
        <v>114</v>
      </c>
      <c r="M36" s="147" t="s">
        <v>130</v>
      </c>
      <c r="N36" s="147" t="s">
        <v>130</v>
      </c>
      <c r="O36" s="147" t="s">
        <v>114</v>
      </c>
      <c r="P36" s="147" t="s">
        <v>115</v>
      </c>
      <c r="Q36" s="147" t="s">
        <v>130</v>
      </c>
      <c r="R36" s="159" t="s">
        <v>200</v>
      </c>
      <c r="S36" s="148" t="s">
        <v>132</v>
      </c>
      <c r="T36" s="148" t="s">
        <v>119</v>
      </c>
      <c r="U36" s="148" t="s">
        <v>250</v>
      </c>
      <c r="V36" s="145">
        <f t="shared" si="7"/>
        <v>162</v>
      </c>
      <c r="W36" s="148"/>
      <c r="X36" s="145">
        <f t="shared" si="8"/>
        <v>214</v>
      </c>
    </row>
    <row r="37" spans="1:24">
      <c r="A37" s="152" t="s">
        <v>1460</v>
      </c>
      <c r="B37" s="153">
        <v>335</v>
      </c>
      <c r="C37" s="154" t="s">
        <v>603</v>
      </c>
      <c r="D37" s="144">
        <v>8</v>
      </c>
      <c r="E37" s="145">
        <v>67</v>
      </c>
      <c r="F37" s="145">
        <v>89</v>
      </c>
      <c r="G37" s="145">
        <v>23</v>
      </c>
      <c r="H37" s="145">
        <v>24</v>
      </c>
      <c r="I37" s="145">
        <v>25</v>
      </c>
      <c r="J37" s="145">
        <f t="shared" si="6"/>
        <v>228</v>
      </c>
      <c r="K37" s="145">
        <v>61</v>
      </c>
      <c r="L37" s="147" t="s">
        <v>130</v>
      </c>
      <c r="M37" s="147" t="s">
        <v>130</v>
      </c>
      <c r="N37" s="147" t="s">
        <v>114</v>
      </c>
      <c r="O37" s="147" t="s">
        <v>114</v>
      </c>
      <c r="P37" s="147" t="s">
        <v>124</v>
      </c>
      <c r="Q37" s="147" t="s">
        <v>130</v>
      </c>
      <c r="R37" s="148" t="s">
        <v>309</v>
      </c>
      <c r="S37" s="148" t="s">
        <v>119</v>
      </c>
      <c r="T37" s="148" t="s">
        <v>119</v>
      </c>
      <c r="U37" s="148" t="s">
        <v>250</v>
      </c>
      <c r="V37" s="145">
        <f t="shared" si="7"/>
        <v>156</v>
      </c>
      <c r="W37" s="149"/>
      <c r="X37" s="145">
        <f t="shared" si="8"/>
        <v>179</v>
      </c>
    </row>
    <row r="38" spans="1:24">
      <c r="A38" s="155"/>
      <c r="B38" s="153">
        <v>174</v>
      </c>
      <c r="C38" s="154" t="s">
        <v>218</v>
      </c>
      <c r="D38" s="144">
        <v>9</v>
      </c>
      <c r="E38" s="145">
        <v>85</v>
      </c>
      <c r="F38" s="145">
        <v>79</v>
      </c>
      <c r="G38" s="145">
        <v>77</v>
      </c>
      <c r="H38" s="145">
        <v>65</v>
      </c>
      <c r="I38" s="145">
        <v>68</v>
      </c>
      <c r="J38" s="145">
        <f t="shared" si="6"/>
        <v>374</v>
      </c>
      <c r="K38" s="145">
        <v>77</v>
      </c>
      <c r="L38" s="147" t="s">
        <v>114</v>
      </c>
      <c r="M38" s="147" t="s">
        <v>130</v>
      </c>
      <c r="N38" s="147" t="s">
        <v>130</v>
      </c>
      <c r="O38" s="147" t="s">
        <v>114</v>
      </c>
      <c r="P38" s="147" t="s">
        <v>115</v>
      </c>
      <c r="Q38" s="147" t="s">
        <v>124</v>
      </c>
      <c r="R38" s="148" t="s">
        <v>194</v>
      </c>
      <c r="S38" s="148" t="s">
        <v>132</v>
      </c>
      <c r="T38" s="148" t="s">
        <v>119</v>
      </c>
      <c r="U38" s="148" t="s">
        <v>126</v>
      </c>
      <c r="V38" s="145">
        <f t="shared" si="7"/>
        <v>164</v>
      </c>
      <c r="W38" s="149"/>
      <c r="X38" s="145">
        <f t="shared" si="8"/>
        <v>241</v>
      </c>
    </row>
    <row r="39" spans="1:24">
      <c r="A39" s="155"/>
      <c r="B39" s="153">
        <v>0</v>
      </c>
      <c r="C39" s="154" t="s">
        <v>635</v>
      </c>
      <c r="D39" s="144">
        <v>4</v>
      </c>
      <c r="E39" s="145">
        <v>67</v>
      </c>
      <c r="F39" s="145">
        <v>61</v>
      </c>
      <c r="G39" s="145">
        <v>70</v>
      </c>
      <c r="H39" s="145">
        <v>79</v>
      </c>
      <c r="I39" s="145">
        <v>91</v>
      </c>
      <c r="J39" s="145">
        <f t="shared" si="6"/>
        <v>368</v>
      </c>
      <c r="K39" s="145">
        <v>65</v>
      </c>
      <c r="L39" s="147" t="s">
        <v>130</v>
      </c>
      <c r="M39" s="147" t="s">
        <v>114</v>
      </c>
      <c r="N39" s="147" t="s">
        <v>130</v>
      </c>
      <c r="O39" s="147" t="s">
        <v>130</v>
      </c>
      <c r="P39" s="147" t="s">
        <v>130</v>
      </c>
      <c r="Q39" s="147" t="s">
        <v>124</v>
      </c>
      <c r="R39" s="148" t="s">
        <v>636</v>
      </c>
      <c r="S39" s="148" t="s">
        <v>119</v>
      </c>
      <c r="T39" s="148" t="s">
        <v>136</v>
      </c>
      <c r="U39" s="148" t="s">
        <v>120</v>
      </c>
      <c r="V39" s="145">
        <f t="shared" si="7"/>
        <v>128</v>
      </c>
      <c r="W39" s="149"/>
      <c r="X39" s="145">
        <f t="shared" si="8"/>
        <v>198</v>
      </c>
    </row>
    <row r="40" spans="1:24">
      <c r="A40" s="155"/>
      <c r="B40" s="153">
        <v>3</v>
      </c>
      <c r="C40" s="154" t="s">
        <v>295</v>
      </c>
      <c r="D40" s="144">
        <v>9</v>
      </c>
      <c r="E40" s="145">
        <v>37</v>
      </c>
      <c r="F40" s="145">
        <v>18</v>
      </c>
      <c r="G40" s="145">
        <v>90</v>
      </c>
      <c r="H40" s="145">
        <v>92</v>
      </c>
      <c r="I40" s="145">
        <v>92</v>
      </c>
      <c r="J40" s="145">
        <f t="shared" si="6"/>
        <v>329</v>
      </c>
      <c r="K40" s="145">
        <v>64</v>
      </c>
      <c r="L40" s="147" t="s">
        <v>124</v>
      </c>
      <c r="M40" s="147" t="s">
        <v>124</v>
      </c>
      <c r="N40" s="147" t="s">
        <v>124</v>
      </c>
      <c r="O40" s="147" t="s">
        <v>124</v>
      </c>
      <c r="P40" s="147" t="s">
        <v>124</v>
      </c>
      <c r="Q40" s="147" t="s">
        <v>124</v>
      </c>
      <c r="R40" s="158" t="s">
        <v>296</v>
      </c>
      <c r="S40" s="148" t="s">
        <v>132</v>
      </c>
      <c r="T40" s="148" t="s">
        <v>119</v>
      </c>
      <c r="U40" s="148" t="s">
        <v>126</v>
      </c>
      <c r="V40" s="145">
        <f t="shared" si="7"/>
        <v>55</v>
      </c>
      <c r="W40" s="148" t="s">
        <v>297</v>
      </c>
      <c r="X40" s="145">
        <f t="shared" si="8"/>
        <v>145</v>
      </c>
    </row>
    <row r="41" spans="1:24">
      <c r="A41" s="155"/>
      <c r="B41" s="153">
        <v>337</v>
      </c>
      <c r="C41" s="154" t="s">
        <v>399</v>
      </c>
      <c r="D41" s="144">
        <v>9</v>
      </c>
      <c r="E41" s="145">
        <v>32</v>
      </c>
      <c r="F41" s="145">
        <v>38</v>
      </c>
      <c r="G41" s="145">
        <v>68</v>
      </c>
      <c r="H41" s="145">
        <v>84</v>
      </c>
      <c r="I41" s="145">
        <v>77</v>
      </c>
      <c r="J41" s="145">
        <f t="shared" si="6"/>
        <v>299</v>
      </c>
      <c r="K41" s="145">
        <v>69</v>
      </c>
      <c r="L41" s="147" t="s">
        <v>124</v>
      </c>
      <c r="M41" s="147" t="s">
        <v>124</v>
      </c>
      <c r="N41" s="147" t="s">
        <v>124</v>
      </c>
      <c r="O41" s="147" t="s">
        <v>124</v>
      </c>
      <c r="P41" s="147" t="s">
        <v>124</v>
      </c>
      <c r="Q41" s="147" t="s">
        <v>124</v>
      </c>
      <c r="R41" s="148" t="s">
        <v>268</v>
      </c>
      <c r="S41" s="148" t="s">
        <v>119</v>
      </c>
      <c r="T41" s="148" t="s">
        <v>119</v>
      </c>
      <c r="U41" s="148" t="s">
        <v>148</v>
      </c>
      <c r="V41" s="145">
        <f t="shared" si="7"/>
        <v>70</v>
      </c>
      <c r="W41" s="149"/>
      <c r="X41" s="145">
        <f t="shared" si="8"/>
        <v>138</v>
      </c>
    </row>
    <row r="42" spans="1:24">
      <c r="A42" s="155"/>
      <c r="B42" s="153">
        <v>499</v>
      </c>
      <c r="C42" s="154" t="s">
        <v>325</v>
      </c>
      <c r="D42" s="144">
        <v>8</v>
      </c>
      <c r="E42" s="145">
        <v>37</v>
      </c>
      <c r="F42" s="145">
        <v>42</v>
      </c>
      <c r="G42" s="145">
        <v>82</v>
      </c>
      <c r="H42" s="145">
        <v>95</v>
      </c>
      <c r="I42" s="145">
        <v>88</v>
      </c>
      <c r="J42" s="145">
        <f t="shared" si="6"/>
        <v>344</v>
      </c>
      <c r="K42" s="145">
        <v>47</v>
      </c>
      <c r="L42" s="147" t="s">
        <v>124</v>
      </c>
      <c r="M42" s="147" t="s">
        <v>124</v>
      </c>
      <c r="N42" s="147" t="s">
        <v>124</v>
      </c>
      <c r="O42" s="147" t="s">
        <v>124</v>
      </c>
      <c r="P42" s="147" t="s">
        <v>124</v>
      </c>
      <c r="Q42" s="147" t="s">
        <v>124</v>
      </c>
      <c r="R42" s="148" t="s">
        <v>281</v>
      </c>
      <c r="S42" s="148" t="s">
        <v>132</v>
      </c>
      <c r="T42" s="148" t="s">
        <v>119</v>
      </c>
      <c r="U42" s="148" t="s">
        <v>126</v>
      </c>
      <c r="V42" s="145">
        <f t="shared" si="7"/>
        <v>79</v>
      </c>
      <c r="W42" s="149"/>
      <c r="X42" s="145">
        <f t="shared" si="8"/>
        <v>161</v>
      </c>
    </row>
    <row r="43" spans="1:24">
      <c r="A43" s="152" t="s">
        <v>1461</v>
      </c>
      <c r="B43" s="153">
        <v>795</v>
      </c>
      <c r="C43" s="154" t="s">
        <v>554</v>
      </c>
      <c r="D43" s="144">
        <v>6</v>
      </c>
      <c r="E43" s="145">
        <v>71</v>
      </c>
      <c r="F43" s="145">
        <v>82</v>
      </c>
      <c r="G43" s="145">
        <v>47</v>
      </c>
      <c r="H43" s="145">
        <v>45</v>
      </c>
      <c r="I43" s="145">
        <v>53</v>
      </c>
      <c r="J43" s="145">
        <f t="shared" si="6"/>
        <v>298</v>
      </c>
      <c r="K43" s="145">
        <v>74</v>
      </c>
      <c r="L43" s="147" t="s">
        <v>130</v>
      </c>
      <c r="M43" s="147" t="s">
        <v>124</v>
      </c>
      <c r="N43" s="147" t="s">
        <v>114</v>
      </c>
      <c r="O43" s="147" t="s">
        <v>115</v>
      </c>
      <c r="P43" s="147" t="s">
        <v>124</v>
      </c>
      <c r="Q43" s="147" t="s">
        <v>124</v>
      </c>
      <c r="R43" s="148" t="s">
        <v>416</v>
      </c>
      <c r="S43" s="148" t="s">
        <v>119</v>
      </c>
      <c r="T43" s="148" t="s">
        <v>133</v>
      </c>
      <c r="U43" s="148" t="s">
        <v>250</v>
      </c>
      <c r="V43" s="145">
        <f t="shared" si="7"/>
        <v>153</v>
      </c>
      <c r="W43" s="149"/>
      <c r="X43" s="145">
        <f t="shared" si="8"/>
        <v>200</v>
      </c>
    </row>
    <row r="44" ht="17.6" spans="1:24">
      <c r="A44" s="152"/>
      <c r="B44" s="122">
        <v>20</v>
      </c>
      <c r="C44" s="121" t="s">
        <v>1462</v>
      </c>
      <c r="D44" s="124">
        <v>4</v>
      </c>
      <c r="E44" s="121" t="s">
        <v>1401</v>
      </c>
      <c r="F44" s="121" t="s">
        <v>393</v>
      </c>
      <c r="G44" s="145"/>
      <c r="H44" s="145"/>
      <c r="I44" s="145"/>
      <c r="J44" s="145"/>
      <c r="K44" s="145"/>
      <c r="L44" s="147"/>
      <c r="M44" s="147"/>
      <c r="N44" s="147"/>
      <c r="O44" s="147"/>
      <c r="P44" s="147"/>
      <c r="Q44" s="147"/>
      <c r="R44" s="148"/>
      <c r="S44" s="148"/>
      <c r="T44" s="148"/>
      <c r="U44" s="148"/>
      <c r="V44" s="145"/>
      <c r="W44" s="149"/>
      <c r="X44" s="145"/>
    </row>
    <row r="45" spans="1:24">
      <c r="A45" s="152"/>
      <c r="B45" s="153">
        <v>124</v>
      </c>
      <c r="C45" s="154" t="s">
        <v>1049</v>
      </c>
      <c r="D45" s="144">
        <v>4</v>
      </c>
      <c r="E45" s="145">
        <v>76</v>
      </c>
      <c r="F45" s="145">
        <v>82</v>
      </c>
      <c r="G45" s="145">
        <v>55</v>
      </c>
      <c r="H45" s="145">
        <v>34</v>
      </c>
      <c r="I45" s="145">
        <v>39</v>
      </c>
      <c r="J45" s="145">
        <f t="shared" ref="J45:J50" si="9">SUM(E45:I45)</f>
        <v>286</v>
      </c>
      <c r="K45" s="145">
        <v>80</v>
      </c>
      <c r="L45" s="147" t="s">
        <v>114</v>
      </c>
      <c r="M45" s="147" t="s">
        <v>114</v>
      </c>
      <c r="N45" s="147" t="s">
        <v>114</v>
      </c>
      <c r="O45" s="147" t="s">
        <v>130</v>
      </c>
      <c r="P45" s="147" t="s">
        <v>114</v>
      </c>
      <c r="Q45" s="147" t="s">
        <v>130</v>
      </c>
      <c r="R45" s="148" t="s">
        <v>192</v>
      </c>
      <c r="S45" s="148" t="s">
        <v>119</v>
      </c>
      <c r="T45" s="148" t="s">
        <v>136</v>
      </c>
      <c r="U45" s="148" t="s">
        <v>250</v>
      </c>
      <c r="V45" s="145">
        <f t="shared" ref="V45:V50" si="10">E45+F45</f>
        <v>158</v>
      </c>
      <c r="W45" s="149"/>
      <c r="X45" s="145">
        <f t="shared" ref="X45:X50" si="11">E45+F45+G45</f>
        <v>213</v>
      </c>
    </row>
    <row r="46" spans="1:24">
      <c r="A46" s="152"/>
      <c r="B46" s="153">
        <v>145</v>
      </c>
      <c r="C46" s="154" t="s">
        <v>207</v>
      </c>
      <c r="D46" s="144">
        <v>11</v>
      </c>
      <c r="E46" s="145">
        <v>84</v>
      </c>
      <c r="F46" s="145">
        <v>80</v>
      </c>
      <c r="G46" s="145">
        <v>71</v>
      </c>
      <c r="H46" s="145">
        <v>91</v>
      </c>
      <c r="I46" s="145">
        <v>72</v>
      </c>
      <c r="J46" s="145">
        <f t="shared" si="9"/>
        <v>398</v>
      </c>
      <c r="K46" s="145">
        <v>74</v>
      </c>
      <c r="L46" s="147" t="s">
        <v>114</v>
      </c>
      <c r="M46" s="147" t="s">
        <v>115</v>
      </c>
      <c r="N46" s="147" t="s">
        <v>130</v>
      </c>
      <c r="O46" s="147" t="s">
        <v>124</v>
      </c>
      <c r="P46" s="147" t="s">
        <v>115</v>
      </c>
      <c r="Q46" s="147" t="s">
        <v>124</v>
      </c>
      <c r="R46" s="148" t="s">
        <v>208</v>
      </c>
      <c r="S46" s="148" t="s">
        <v>132</v>
      </c>
      <c r="T46" s="148" t="s">
        <v>133</v>
      </c>
      <c r="U46" s="148" t="s">
        <v>126</v>
      </c>
      <c r="V46" s="145">
        <f t="shared" si="10"/>
        <v>164</v>
      </c>
      <c r="W46" s="149"/>
      <c r="X46" s="145">
        <f t="shared" si="11"/>
        <v>235</v>
      </c>
    </row>
    <row r="47" spans="1:24">
      <c r="A47" s="152"/>
      <c r="B47" s="153">
        <v>315</v>
      </c>
      <c r="C47" s="154" t="s">
        <v>560</v>
      </c>
      <c r="D47" s="144">
        <v>4</v>
      </c>
      <c r="E47" s="145">
        <v>67</v>
      </c>
      <c r="F47" s="145">
        <v>87</v>
      </c>
      <c r="G47" s="145">
        <v>54</v>
      </c>
      <c r="H47" s="145">
        <v>46</v>
      </c>
      <c r="I47" s="145">
        <v>51</v>
      </c>
      <c r="J47" s="145">
        <f t="shared" si="9"/>
        <v>305</v>
      </c>
      <c r="K47" s="145">
        <v>85</v>
      </c>
      <c r="L47" s="147" t="s">
        <v>114</v>
      </c>
      <c r="M47" s="147" t="s">
        <v>114</v>
      </c>
      <c r="N47" s="147" t="s">
        <v>114</v>
      </c>
      <c r="O47" s="147" t="s">
        <v>130</v>
      </c>
      <c r="P47" s="147" t="s">
        <v>124</v>
      </c>
      <c r="Q47" s="147" t="s">
        <v>124</v>
      </c>
      <c r="R47" s="148" t="s">
        <v>192</v>
      </c>
      <c r="S47" s="148" t="s">
        <v>119</v>
      </c>
      <c r="T47" s="148" t="s">
        <v>119</v>
      </c>
      <c r="U47" s="148" t="s">
        <v>250</v>
      </c>
      <c r="V47" s="145">
        <f t="shared" si="10"/>
        <v>154</v>
      </c>
      <c r="W47" s="149"/>
      <c r="X47" s="145">
        <f t="shared" si="11"/>
        <v>208</v>
      </c>
    </row>
    <row r="48" spans="1:24">
      <c r="A48" s="152"/>
      <c r="B48" s="153">
        <v>570</v>
      </c>
      <c r="C48" s="154" t="s">
        <v>595</v>
      </c>
      <c r="D48" s="144">
        <v>5</v>
      </c>
      <c r="E48" s="145">
        <v>64</v>
      </c>
      <c r="F48" s="145">
        <v>91</v>
      </c>
      <c r="G48" s="145">
        <v>28</v>
      </c>
      <c r="H48" s="145">
        <v>29</v>
      </c>
      <c r="I48" s="145">
        <v>34</v>
      </c>
      <c r="J48" s="145">
        <f t="shared" si="9"/>
        <v>246</v>
      </c>
      <c r="K48" s="145">
        <v>31</v>
      </c>
      <c r="L48" s="147" t="s">
        <v>114</v>
      </c>
      <c r="M48" s="147" t="s">
        <v>130</v>
      </c>
      <c r="N48" s="147" t="s">
        <v>124</v>
      </c>
      <c r="O48" s="147" t="s">
        <v>114</v>
      </c>
      <c r="P48" s="147" t="s">
        <v>124</v>
      </c>
      <c r="Q48" s="147" t="s">
        <v>124</v>
      </c>
      <c r="R48" s="148" t="s">
        <v>311</v>
      </c>
      <c r="S48" s="148" t="s">
        <v>119</v>
      </c>
      <c r="T48" s="148" t="s">
        <v>119</v>
      </c>
      <c r="U48" s="148" t="s">
        <v>250</v>
      </c>
      <c r="V48" s="145">
        <f t="shared" si="10"/>
        <v>155</v>
      </c>
      <c r="W48" s="149"/>
      <c r="X48" s="145">
        <f t="shared" si="11"/>
        <v>183</v>
      </c>
    </row>
    <row r="49" spans="1:24">
      <c r="A49" s="152"/>
      <c r="B49" s="153">
        <v>533</v>
      </c>
      <c r="C49" s="154" t="s">
        <v>931</v>
      </c>
      <c r="D49" s="144">
        <v>7</v>
      </c>
      <c r="E49" s="145">
        <v>76</v>
      </c>
      <c r="F49" s="145">
        <v>83</v>
      </c>
      <c r="G49" s="145">
        <v>67</v>
      </c>
      <c r="H49" s="145">
        <v>77</v>
      </c>
      <c r="I49" s="145">
        <v>80</v>
      </c>
      <c r="J49" s="145">
        <f t="shared" si="9"/>
        <v>383</v>
      </c>
      <c r="K49" s="145">
        <v>42</v>
      </c>
      <c r="L49" s="147" t="s">
        <v>130</v>
      </c>
      <c r="M49" s="147" t="s">
        <v>114</v>
      </c>
      <c r="N49" s="147" t="s">
        <v>130</v>
      </c>
      <c r="O49" s="147" t="s">
        <v>114</v>
      </c>
      <c r="P49" s="147" t="s">
        <v>114</v>
      </c>
      <c r="Q49" s="147" t="s">
        <v>124</v>
      </c>
      <c r="R49" s="148" t="s">
        <v>294</v>
      </c>
      <c r="S49" s="148" t="s">
        <v>132</v>
      </c>
      <c r="T49" s="148" t="s">
        <v>119</v>
      </c>
      <c r="U49" s="148" t="s">
        <v>126</v>
      </c>
      <c r="V49" s="145">
        <f t="shared" si="10"/>
        <v>159</v>
      </c>
      <c r="W49" s="149"/>
      <c r="X49" s="145">
        <f t="shared" si="11"/>
        <v>226</v>
      </c>
    </row>
    <row r="50" spans="1:24">
      <c r="A50" s="152" t="s">
        <v>1463</v>
      </c>
      <c r="B50" s="153">
        <v>286</v>
      </c>
      <c r="C50" s="154" t="s">
        <v>1031</v>
      </c>
      <c r="D50" s="144">
        <v>4</v>
      </c>
      <c r="E50" s="145">
        <v>72</v>
      </c>
      <c r="F50" s="145">
        <v>62</v>
      </c>
      <c r="G50" s="145">
        <v>89</v>
      </c>
      <c r="H50" s="145">
        <v>71</v>
      </c>
      <c r="I50" s="145">
        <v>52</v>
      </c>
      <c r="J50" s="145">
        <f t="shared" si="9"/>
        <v>346</v>
      </c>
      <c r="K50" s="145">
        <v>135</v>
      </c>
      <c r="L50" s="147" t="s">
        <v>114</v>
      </c>
      <c r="M50" s="147" t="s">
        <v>130</v>
      </c>
      <c r="N50" s="147" t="s">
        <v>130</v>
      </c>
      <c r="O50" s="147" t="s">
        <v>114</v>
      </c>
      <c r="P50" s="147" t="s">
        <v>114</v>
      </c>
      <c r="Q50" s="147" t="s">
        <v>124</v>
      </c>
      <c r="R50" s="148" t="s">
        <v>499</v>
      </c>
      <c r="S50" s="148" t="s">
        <v>175</v>
      </c>
      <c r="T50" s="148" t="s">
        <v>145</v>
      </c>
      <c r="U50" s="148" t="s">
        <v>120</v>
      </c>
      <c r="V50" s="145">
        <f t="shared" si="10"/>
        <v>134</v>
      </c>
      <c r="W50" s="149"/>
      <c r="X50" s="145">
        <f t="shared" si="11"/>
        <v>223</v>
      </c>
    </row>
    <row r="51" ht="17.6" spans="1:24">
      <c r="A51" s="152"/>
      <c r="B51" s="122">
        <v>32</v>
      </c>
      <c r="C51" s="121" t="s">
        <v>1464</v>
      </c>
      <c r="D51" s="124">
        <v>8</v>
      </c>
      <c r="E51" s="121" t="s">
        <v>1369</v>
      </c>
      <c r="F51" s="121" t="s">
        <v>353</v>
      </c>
      <c r="G51" s="121" t="s">
        <v>1465</v>
      </c>
      <c r="H51" s="145"/>
      <c r="I51" s="145"/>
      <c r="J51" s="145"/>
      <c r="K51" s="145"/>
      <c r="L51" s="147"/>
      <c r="M51" s="147"/>
      <c r="N51" s="147"/>
      <c r="O51" s="147"/>
      <c r="P51" s="147"/>
      <c r="Q51" s="147"/>
      <c r="R51" s="148"/>
      <c r="S51" s="148"/>
      <c r="T51" s="148"/>
      <c r="U51" s="148"/>
      <c r="V51" s="145"/>
      <c r="W51" s="149"/>
      <c r="X51" s="145"/>
    </row>
    <row r="52" spans="1:24">
      <c r="A52" s="152"/>
      <c r="B52" s="153">
        <v>530</v>
      </c>
      <c r="C52" s="154" t="s">
        <v>697</v>
      </c>
      <c r="D52" s="144">
        <v>5</v>
      </c>
      <c r="E52" s="145">
        <v>75</v>
      </c>
      <c r="F52" s="145">
        <v>72</v>
      </c>
      <c r="G52" s="145">
        <v>71</v>
      </c>
      <c r="H52" s="145">
        <v>63</v>
      </c>
      <c r="I52" s="145">
        <v>80</v>
      </c>
      <c r="J52" s="145">
        <f t="shared" ref="J52:J61" si="12">SUM(E52:I52)</f>
        <v>361</v>
      </c>
      <c r="K52" s="145">
        <v>43</v>
      </c>
      <c r="L52" s="147" t="s">
        <v>114</v>
      </c>
      <c r="M52" s="147" t="s">
        <v>114</v>
      </c>
      <c r="N52" s="147" t="s">
        <v>130</v>
      </c>
      <c r="O52" s="147" t="s">
        <v>130</v>
      </c>
      <c r="P52" s="147" t="s">
        <v>130</v>
      </c>
      <c r="Q52" s="147" t="s">
        <v>124</v>
      </c>
      <c r="R52" s="148" t="s">
        <v>194</v>
      </c>
      <c r="S52" s="148" t="s">
        <v>132</v>
      </c>
      <c r="T52" s="148" t="s">
        <v>136</v>
      </c>
      <c r="U52" s="148" t="s">
        <v>126</v>
      </c>
      <c r="V52" s="145">
        <f t="shared" ref="V52:V61" si="13">E52+F52</f>
        <v>147</v>
      </c>
      <c r="W52" s="149"/>
      <c r="X52" s="145">
        <f t="shared" ref="X52:X61" si="14">E52+F52+G52</f>
        <v>218</v>
      </c>
    </row>
    <row r="53" spans="1:24">
      <c r="A53" s="152"/>
      <c r="B53" s="153">
        <v>13</v>
      </c>
      <c r="C53" s="154" t="s">
        <v>628</v>
      </c>
      <c r="D53" s="144">
        <v>13</v>
      </c>
      <c r="E53" s="145">
        <v>59</v>
      </c>
      <c r="F53" s="145">
        <v>54</v>
      </c>
      <c r="G53" s="145">
        <v>67</v>
      </c>
      <c r="H53" s="145">
        <v>73</v>
      </c>
      <c r="I53" s="145">
        <v>93</v>
      </c>
      <c r="J53" s="145">
        <f t="shared" si="12"/>
        <v>346</v>
      </c>
      <c r="K53" s="145">
        <v>68</v>
      </c>
      <c r="L53" s="147" t="s">
        <v>124</v>
      </c>
      <c r="M53" s="147" t="s">
        <v>124</v>
      </c>
      <c r="N53" s="147" t="s">
        <v>130</v>
      </c>
      <c r="O53" s="147" t="s">
        <v>124</v>
      </c>
      <c r="P53" s="147" t="s">
        <v>130</v>
      </c>
      <c r="Q53" s="147" t="s">
        <v>124</v>
      </c>
      <c r="R53" s="148" t="s">
        <v>153</v>
      </c>
      <c r="S53" s="148" t="s">
        <v>119</v>
      </c>
      <c r="T53" s="148" t="s">
        <v>136</v>
      </c>
      <c r="U53" s="148" t="s">
        <v>126</v>
      </c>
      <c r="V53" s="145">
        <f t="shared" si="13"/>
        <v>113</v>
      </c>
      <c r="W53" s="149"/>
      <c r="X53" s="145">
        <f t="shared" si="14"/>
        <v>180</v>
      </c>
    </row>
    <row r="54" spans="1:24">
      <c r="A54" s="152"/>
      <c r="B54" s="153">
        <v>32</v>
      </c>
      <c r="C54" s="154" t="s">
        <v>950</v>
      </c>
      <c r="D54" s="144">
        <v>7</v>
      </c>
      <c r="E54" s="145">
        <v>83</v>
      </c>
      <c r="F54" s="145">
        <v>76</v>
      </c>
      <c r="G54" s="145">
        <v>67</v>
      </c>
      <c r="H54" s="145">
        <v>71</v>
      </c>
      <c r="I54" s="145">
        <v>76</v>
      </c>
      <c r="J54" s="145">
        <f t="shared" si="12"/>
        <v>373</v>
      </c>
      <c r="K54" s="145">
        <v>28</v>
      </c>
      <c r="L54" s="147" t="s">
        <v>130</v>
      </c>
      <c r="M54" s="147" t="s">
        <v>114</v>
      </c>
      <c r="N54" s="147" t="s">
        <v>130</v>
      </c>
      <c r="O54" s="147" t="s">
        <v>130</v>
      </c>
      <c r="P54" s="147" t="s">
        <v>114</v>
      </c>
      <c r="Q54" s="147" t="s">
        <v>115</v>
      </c>
      <c r="R54" s="148" t="s">
        <v>194</v>
      </c>
      <c r="S54" s="148" t="s">
        <v>118</v>
      </c>
      <c r="T54" s="148" t="s">
        <v>119</v>
      </c>
      <c r="U54" s="148" t="s">
        <v>120</v>
      </c>
      <c r="V54" s="145">
        <f t="shared" si="13"/>
        <v>159</v>
      </c>
      <c r="W54" s="149"/>
      <c r="X54" s="145">
        <f t="shared" si="14"/>
        <v>226</v>
      </c>
    </row>
    <row r="55" spans="1:24">
      <c r="A55" s="152"/>
      <c r="B55" s="153">
        <v>55</v>
      </c>
      <c r="C55" s="154" t="s">
        <v>454</v>
      </c>
      <c r="D55" s="144">
        <v>6</v>
      </c>
      <c r="E55" s="145">
        <v>51</v>
      </c>
      <c r="F55" s="145">
        <v>49</v>
      </c>
      <c r="G55" s="145">
        <v>78</v>
      </c>
      <c r="H55" s="145">
        <v>100</v>
      </c>
      <c r="I55" s="145">
        <v>70</v>
      </c>
      <c r="J55" s="145">
        <f t="shared" si="12"/>
        <v>348</v>
      </c>
      <c r="K55" s="145">
        <v>19</v>
      </c>
      <c r="L55" s="147" t="s">
        <v>124</v>
      </c>
      <c r="M55" s="147" t="s">
        <v>124</v>
      </c>
      <c r="N55" s="147" t="s">
        <v>124</v>
      </c>
      <c r="O55" s="147" t="s">
        <v>124</v>
      </c>
      <c r="P55" s="147" t="s">
        <v>124</v>
      </c>
      <c r="Q55" s="147" t="s">
        <v>124</v>
      </c>
      <c r="R55" s="148" t="s">
        <v>314</v>
      </c>
      <c r="S55" s="148" t="s">
        <v>132</v>
      </c>
      <c r="T55" s="148" t="s">
        <v>133</v>
      </c>
      <c r="U55" s="148" t="s">
        <v>148</v>
      </c>
      <c r="V55" s="145">
        <f t="shared" si="13"/>
        <v>100</v>
      </c>
      <c r="W55" s="149"/>
      <c r="X55" s="145">
        <f t="shared" si="14"/>
        <v>178</v>
      </c>
    </row>
    <row r="56" spans="1:24">
      <c r="A56" s="152"/>
      <c r="B56" s="153">
        <v>676</v>
      </c>
      <c r="C56" s="154" t="s">
        <v>375</v>
      </c>
      <c r="D56" s="144">
        <v>1</v>
      </c>
      <c r="E56" s="145">
        <v>40</v>
      </c>
      <c r="F56" s="145">
        <v>43</v>
      </c>
      <c r="G56" s="145">
        <v>76</v>
      </c>
      <c r="H56" s="145">
        <v>81</v>
      </c>
      <c r="I56" s="145">
        <v>80</v>
      </c>
      <c r="J56" s="145">
        <f t="shared" si="12"/>
        <v>320</v>
      </c>
      <c r="K56" s="145">
        <v>62</v>
      </c>
      <c r="L56" s="147" t="s">
        <v>124</v>
      </c>
      <c r="M56" s="147" t="s">
        <v>124</v>
      </c>
      <c r="N56" s="147" t="s">
        <v>124</v>
      </c>
      <c r="O56" s="147" t="s">
        <v>124</v>
      </c>
      <c r="P56" s="147" t="s">
        <v>124</v>
      </c>
      <c r="Q56" s="147" t="s">
        <v>124</v>
      </c>
      <c r="R56" s="148" t="s">
        <v>147</v>
      </c>
      <c r="S56" s="148" t="s">
        <v>132</v>
      </c>
      <c r="T56" s="148" t="s">
        <v>119</v>
      </c>
      <c r="U56" s="148" t="s">
        <v>120</v>
      </c>
      <c r="V56" s="145">
        <f t="shared" si="13"/>
        <v>83</v>
      </c>
      <c r="W56" s="149"/>
      <c r="X56" s="145">
        <f t="shared" si="14"/>
        <v>159</v>
      </c>
    </row>
    <row r="57" spans="1:24">
      <c r="A57" s="152" t="s">
        <v>1466</v>
      </c>
      <c r="B57" s="153">
        <v>523</v>
      </c>
      <c r="C57" s="154" t="s">
        <v>557</v>
      </c>
      <c r="D57" s="144">
        <v>10</v>
      </c>
      <c r="E57" s="145">
        <v>57</v>
      </c>
      <c r="F57" s="145">
        <v>47</v>
      </c>
      <c r="G57" s="145">
        <v>77</v>
      </c>
      <c r="H57" s="145">
        <v>90</v>
      </c>
      <c r="I57" s="145">
        <v>53</v>
      </c>
      <c r="J57" s="145">
        <f t="shared" si="12"/>
        <v>324</v>
      </c>
      <c r="K57" s="145">
        <v>45</v>
      </c>
      <c r="L57" s="147" t="s">
        <v>124</v>
      </c>
      <c r="M57" s="147" t="s">
        <v>124</v>
      </c>
      <c r="N57" s="147" t="s">
        <v>130</v>
      </c>
      <c r="O57" s="147" t="s">
        <v>130</v>
      </c>
      <c r="P57" s="147" t="s">
        <v>124</v>
      </c>
      <c r="Q57" s="147" t="s">
        <v>124</v>
      </c>
      <c r="R57" s="148" t="s">
        <v>302</v>
      </c>
      <c r="S57" s="148" t="s">
        <v>132</v>
      </c>
      <c r="T57" s="148" t="s">
        <v>119</v>
      </c>
      <c r="U57" s="148" t="s">
        <v>126</v>
      </c>
      <c r="V57" s="145">
        <f t="shared" si="13"/>
        <v>104</v>
      </c>
      <c r="W57" s="149"/>
      <c r="X57" s="145">
        <f t="shared" si="14"/>
        <v>181</v>
      </c>
    </row>
    <row r="58" spans="1:24">
      <c r="A58" s="155"/>
      <c r="B58" s="153">
        <v>200</v>
      </c>
      <c r="C58" s="154" t="s">
        <v>525</v>
      </c>
      <c r="D58" s="144">
        <v>10</v>
      </c>
      <c r="E58" s="145">
        <v>72</v>
      </c>
      <c r="F58" s="145">
        <v>95</v>
      </c>
      <c r="G58" s="145">
        <v>27</v>
      </c>
      <c r="H58" s="145">
        <v>44</v>
      </c>
      <c r="I58" s="145">
        <v>60</v>
      </c>
      <c r="J58" s="145">
        <f t="shared" si="12"/>
        <v>298</v>
      </c>
      <c r="K58" s="145">
        <v>73</v>
      </c>
      <c r="L58" s="147" t="s">
        <v>130</v>
      </c>
      <c r="M58" s="147" t="s">
        <v>114</v>
      </c>
      <c r="N58" s="147" t="s">
        <v>124</v>
      </c>
      <c r="O58" s="147" t="s">
        <v>130</v>
      </c>
      <c r="P58" s="147" t="s">
        <v>124</v>
      </c>
      <c r="Q58" s="147" t="s">
        <v>124</v>
      </c>
      <c r="R58" s="148" t="s">
        <v>256</v>
      </c>
      <c r="S58" s="148" t="s">
        <v>118</v>
      </c>
      <c r="T58" s="148" t="s">
        <v>119</v>
      </c>
      <c r="U58" s="148" t="s">
        <v>250</v>
      </c>
      <c r="V58" s="145">
        <f t="shared" si="13"/>
        <v>167</v>
      </c>
      <c r="W58" s="149"/>
      <c r="X58" s="145">
        <f t="shared" si="14"/>
        <v>194</v>
      </c>
    </row>
    <row r="59" spans="1:24">
      <c r="A59" s="155"/>
      <c r="B59" s="153">
        <v>471</v>
      </c>
      <c r="C59" s="154" t="s">
        <v>588</v>
      </c>
      <c r="D59" s="157">
        <v>8</v>
      </c>
      <c r="E59" s="145">
        <v>56</v>
      </c>
      <c r="F59" s="145">
        <v>95</v>
      </c>
      <c r="G59" s="145">
        <v>22</v>
      </c>
      <c r="H59" s="145">
        <v>21</v>
      </c>
      <c r="I59" s="145">
        <v>38</v>
      </c>
      <c r="J59" s="145">
        <f t="shared" si="12"/>
        <v>232</v>
      </c>
      <c r="K59" s="145">
        <v>25</v>
      </c>
      <c r="L59" s="147" t="s">
        <v>130</v>
      </c>
      <c r="M59" s="147" t="s">
        <v>114</v>
      </c>
      <c r="N59" s="147" t="s">
        <v>124</v>
      </c>
      <c r="O59" s="147" t="s">
        <v>124</v>
      </c>
      <c r="P59" s="147" t="s">
        <v>124</v>
      </c>
      <c r="Q59" s="147" t="s">
        <v>124</v>
      </c>
      <c r="R59" s="158" t="s">
        <v>381</v>
      </c>
      <c r="S59" s="148" t="s">
        <v>118</v>
      </c>
      <c r="T59" s="148" t="s">
        <v>133</v>
      </c>
      <c r="U59" s="148" t="s">
        <v>250</v>
      </c>
      <c r="V59" s="145">
        <f t="shared" si="13"/>
        <v>151</v>
      </c>
      <c r="W59" s="148" t="s">
        <v>382</v>
      </c>
      <c r="X59" s="145">
        <f t="shared" si="14"/>
        <v>173</v>
      </c>
    </row>
    <row r="60" spans="1:24">
      <c r="A60" s="155"/>
      <c r="B60" s="153">
        <v>502</v>
      </c>
      <c r="C60" s="154" t="s">
        <v>1042</v>
      </c>
      <c r="D60" s="144">
        <v>12</v>
      </c>
      <c r="E60" s="145">
        <v>83</v>
      </c>
      <c r="F60" s="145">
        <v>83</v>
      </c>
      <c r="G60" s="145">
        <v>49</v>
      </c>
      <c r="H60" s="145">
        <v>31</v>
      </c>
      <c r="I60" s="145">
        <v>43</v>
      </c>
      <c r="J60" s="145">
        <f t="shared" si="12"/>
        <v>289</v>
      </c>
      <c r="K60" s="145">
        <v>40</v>
      </c>
      <c r="L60" s="147" t="s">
        <v>114</v>
      </c>
      <c r="M60" s="147" t="s">
        <v>130</v>
      </c>
      <c r="N60" s="147" t="s">
        <v>114</v>
      </c>
      <c r="O60" s="147" t="s">
        <v>114</v>
      </c>
      <c r="P60" s="147" t="s">
        <v>114</v>
      </c>
      <c r="Q60" s="147" t="s">
        <v>124</v>
      </c>
      <c r="R60" s="158" t="s">
        <v>232</v>
      </c>
      <c r="S60" s="148" t="s">
        <v>132</v>
      </c>
      <c r="T60" s="148" t="s">
        <v>119</v>
      </c>
      <c r="U60" s="148" t="s">
        <v>250</v>
      </c>
      <c r="V60" s="145">
        <f t="shared" si="13"/>
        <v>166</v>
      </c>
      <c r="W60" s="148" t="s">
        <v>233</v>
      </c>
      <c r="X60" s="145">
        <f t="shared" si="14"/>
        <v>215</v>
      </c>
    </row>
    <row r="61" spans="1:24">
      <c r="A61" s="152" t="s">
        <v>1467</v>
      </c>
      <c r="B61" s="153">
        <v>621</v>
      </c>
      <c r="C61" s="156" t="s">
        <v>899</v>
      </c>
      <c r="D61" s="144">
        <v>3</v>
      </c>
      <c r="E61" s="145">
        <v>33</v>
      </c>
      <c r="F61" s="145">
        <v>34</v>
      </c>
      <c r="G61" s="145">
        <v>75</v>
      </c>
      <c r="H61" s="145">
        <v>78</v>
      </c>
      <c r="I61" s="145">
        <v>90</v>
      </c>
      <c r="J61" s="145">
        <f t="shared" si="12"/>
        <v>310</v>
      </c>
      <c r="K61" s="145">
        <v>60</v>
      </c>
      <c r="L61" s="147" t="s">
        <v>124</v>
      </c>
      <c r="M61" s="147" t="s">
        <v>124</v>
      </c>
      <c r="N61" s="147" t="s">
        <v>124</v>
      </c>
      <c r="O61" s="147" t="s">
        <v>130</v>
      </c>
      <c r="P61" s="147" t="s">
        <v>114</v>
      </c>
      <c r="Q61" s="147" t="s">
        <v>124</v>
      </c>
      <c r="R61" s="148" t="s">
        <v>236</v>
      </c>
      <c r="S61" s="148" t="s">
        <v>132</v>
      </c>
      <c r="T61" s="148" t="s">
        <v>119</v>
      </c>
      <c r="U61" s="148" t="s">
        <v>120</v>
      </c>
      <c r="V61" s="145">
        <f t="shared" si="13"/>
        <v>67</v>
      </c>
      <c r="W61" s="149"/>
      <c r="X61" s="145">
        <f t="shared" si="14"/>
        <v>142</v>
      </c>
    </row>
    <row r="62" ht="17.6" spans="1:24">
      <c r="A62" s="152"/>
      <c r="B62" s="122">
        <v>2</v>
      </c>
      <c r="C62" s="121" t="s">
        <v>1468</v>
      </c>
      <c r="D62" s="124">
        <v>8</v>
      </c>
      <c r="E62" s="121" t="s">
        <v>1360</v>
      </c>
      <c r="F62" s="121" t="s">
        <v>256</v>
      </c>
      <c r="G62" s="145"/>
      <c r="H62" s="145"/>
      <c r="I62" s="145"/>
      <c r="J62" s="145"/>
      <c r="K62" s="145"/>
      <c r="L62" s="147"/>
      <c r="M62" s="147"/>
      <c r="N62" s="147"/>
      <c r="O62" s="147"/>
      <c r="P62" s="147"/>
      <c r="Q62" s="147"/>
      <c r="R62" s="148"/>
      <c r="S62" s="148"/>
      <c r="T62" s="148"/>
      <c r="U62" s="148"/>
      <c r="V62" s="145"/>
      <c r="W62" s="149"/>
      <c r="X62" s="145"/>
    </row>
    <row r="63" ht="17.6" spans="1:24">
      <c r="A63" s="152"/>
      <c r="B63" s="122">
        <v>10</v>
      </c>
      <c r="C63" s="121" t="s">
        <v>1469</v>
      </c>
      <c r="D63" s="124">
        <v>6</v>
      </c>
      <c r="E63" s="121" t="s">
        <v>1374</v>
      </c>
      <c r="F63" s="121" t="s">
        <v>311</v>
      </c>
      <c r="G63" s="145"/>
      <c r="H63" s="145"/>
      <c r="I63" s="145"/>
      <c r="J63" s="145"/>
      <c r="K63" s="145"/>
      <c r="L63" s="147"/>
      <c r="M63" s="147"/>
      <c r="N63" s="147"/>
      <c r="O63" s="147"/>
      <c r="P63" s="147"/>
      <c r="Q63" s="147"/>
      <c r="R63" s="148"/>
      <c r="S63" s="148"/>
      <c r="T63" s="148"/>
      <c r="U63" s="148"/>
      <c r="V63" s="145"/>
      <c r="W63" s="149"/>
      <c r="X63" s="145"/>
    </row>
    <row r="64" spans="1:24">
      <c r="A64" s="152"/>
      <c r="B64" s="153">
        <v>125</v>
      </c>
      <c r="C64" s="154" t="s">
        <v>374</v>
      </c>
      <c r="D64" s="144">
        <v>2</v>
      </c>
      <c r="E64" s="145">
        <v>78</v>
      </c>
      <c r="F64" s="145">
        <v>72</v>
      </c>
      <c r="G64" s="145">
        <v>68</v>
      </c>
      <c r="H64" s="145">
        <v>62</v>
      </c>
      <c r="I64" s="145">
        <v>81</v>
      </c>
      <c r="J64" s="145">
        <f t="shared" ref="J64:J95" si="15">SUM(E64:I64)</f>
        <v>361</v>
      </c>
      <c r="K64" s="145">
        <v>100</v>
      </c>
      <c r="L64" s="147" t="s">
        <v>114</v>
      </c>
      <c r="M64" s="147" t="s">
        <v>114</v>
      </c>
      <c r="N64" s="147" t="s">
        <v>130</v>
      </c>
      <c r="O64" s="147" t="s">
        <v>124</v>
      </c>
      <c r="P64" s="147" t="s">
        <v>124</v>
      </c>
      <c r="Q64" s="147" t="s">
        <v>114</v>
      </c>
      <c r="R64" s="149"/>
      <c r="S64" s="148" t="s">
        <v>119</v>
      </c>
      <c r="T64" s="148" t="s">
        <v>136</v>
      </c>
      <c r="U64" s="148" t="s">
        <v>250</v>
      </c>
      <c r="V64" s="145">
        <f t="shared" ref="V64:V95" si="16">E64+F64</f>
        <v>150</v>
      </c>
      <c r="W64" s="149"/>
      <c r="X64" s="145">
        <f t="shared" ref="X64:X95" si="17">E64+F64+G64</f>
        <v>218</v>
      </c>
    </row>
    <row r="65" spans="1:24">
      <c r="A65" s="152"/>
      <c r="B65" s="153">
        <v>451</v>
      </c>
      <c r="C65" s="154" t="s">
        <v>204</v>
      </c>
      <c r="D65" s="144">
        <v>3</v>
      </c>
      <c r="E65" s="145">
        <v>79</v>
      </c>
      <c r="F65" s="145">
        <v>68</v>
      </c>
      <c r="G65" s="145">
        <v>85</v>
      </c>
      <c r="H65" s="145">
        <v>73</v>
      </c>
      <c r="I65" s="145">
        <v>74</v>
      </c>
      <c r="J65" s="145">
        <f t="shared" si="15"/>
        <v>379</v>
      </c>
      <c r="K65" s="145">
        <v>13</v>
      </c>
      <c r="L65" s="147" t="s">
        <v>130</v>
      </c>
      <c r="M65" s="147" t="s">
        <v>130</v>
      </c>
      <c r="N65" s="147" t="s">
        <v>124</v>
      </c>
      <c r="O65" s="147" t="s">
        <v>130</v>
      </c>
      <c r="P65" s="147" t="s">
        <v>115</v>
      </c>
      <c r="Q65" s="147" t="s">
        <v>130</v>
      </c>
      <c r="R65" s="148" t="s">
        <v>205</v>
      </c>
      <c r="S65" s="148" t="s">
        <v>118</v>
      </c>
      <c r="T65" s="148" t="s">
        <v>119</v>
      </c>
      <c r="U65" s="148" t="s">
        <v>126</v>
      </c>
      <c r="V65" s="145">
        <f t="shared" si="16"/>
        <v>147</v>
      </c>
      <c r="W65" s="149"/>
      <c r="X65" s="145">
        <f t="shared" si="17"/>
        <v>232</v>
      </c>
    </row>
    <row r="66" spans="1:24">
      <c r="A66" s="152"/>
      <c r="B66" s="153">
        <v>260</v>
      </c>
      <c r="C66" s="154" t="s">
        <v>450</v>
      </c>
      <c r="D66" s="144">
        <v>1</v>
      </c>
      <c r="E66" s="145">
        <v>40</v>
      </c>
      <c r="F66" s="145">
        <v>52</v>
      </c>
      <c r="G66" s="145">
        <v>72</v>
      </c>
      <c r="H66" s="145">
        <v>73</v>
      </c>
      <c r="I66" s="145">
        <v>71</v>
      </c>
      <c r="J66" s="145">
        <f t="shared" si="15"/>
        <v>308</v>
      </c>
      <c r="K66" s="145">
        <v>139</v>
      </c>
      <c r="L66" s="147" t="s">
        <v>124</v>
      </c>
      <c r="M66" s="147" t="s">
        <v>124</v>
      </c>
      <c r="N66" s="147" t="s">
        <v>124</v>
      </c>
      <c r="O66" s="147" t="s">
        <v>130</v>
      </c>
      <c r="P66" s="147" t="s">
        <v>124</v>
      </c>
      <c r="Q66" s="147" t="s">
        <v>124</v>
      </c>
      <c r="R66" s="148" t="s">
        <v>339</v>
      </c>
      <c r="S66" s="148" t="s">
        <v>132</v>
      </c>
      <c r="T66" s="148" t="s">
        <v>119</v>
      </c>
      <c r="U66" s="148" t="s">
        <v>120</v>
      </c>
      <c r="V66" s="145">
        <f t="shared" si="16"/>
        <v>92</v>
      </c>
      <c r="W66" s="149"/>
      <c r="X66" s="145">
        <f t="shared" si="17"/>
        <v>164</v>
      </c>
    </row>
    <row r="67" spans="1:24">
      <c r="A67" s="152"/>
      <c r="B67" s="153">
        <v>90</v>
      </c>
      <c r="C67" s="154" t="s">
        <v>169</v>
      </c>
      <c r="D67" s="144">
        <v>7</v>
      </c>
      <c r="E67" s="145">
        <v>74</v>
      </c>
      <c r="F67" s="145">
        <v>61</v>
      </c>
      <c r="G67" s="145">
        <v>80</v>
      </c>
      <c r="H67" s="145">
        <v>92</v>
      </c>
      <c r="I67" s="145">
        <v>84</v>
      </c>
      <c r="J67" s="145">
        <f t="shared" si="15"/>
        <v>391</v>
      </c>
      <c r="K67" s="145">
        <v>97</v>
      </c>
      <c r="L67" s="147" t="s">
        <v>130</v>
      </c>
      <c r="M67" s="147" t="s">
        <v>114</v>
      </c>
      <c r="N67" s="147" t="s">
        <v>130</v>
      </c>
      <c r="O67" s="147" t="s">
        <v>124</v>
      </c>
      <c r="P67" s="147" t="s">
        <v>115</v>
      </c>
      <c r="Q67" s="147" t="s">
        <v>114</v>
      </c>
      <c r="R67" s="148" t="s">
        <v>170</v>
      </c>
      <c r="S67" s="148" t="s">
        <v>132</v>
      </c>
      <c r="T67" s="148" t="s">
        <v>119</v>
      </c>
      <c r="U67" s="148" t="s">
        <v>120</v>
      </c>
      <c r="V67" s="145">
        <f t="shared" si="16"/>
        <v>135</v>
      </c>
      <c r="W67" s="149"/>
      <c r="X67" s="145">
        <f t="shared" si="17"/>
        <v>215</v>
      </c>
    </row>
    <row r="68" spans="1:24">
      <c r="A68" s="152"/>
      <c r="B68" s="153">
        <v>97</v>
      </c>
      <c r="C68" s="154" t="s">
        <v>926</v>
      </c>
      <c r="D68" s="144">
        <v>2</v>
      </c>
      <c r="E68" s="145">
        <v>72</v>
      </c>
      <c r="F68" s="145">
        <v>63</v>
      </c>
      <c r="G68" s="145">
        <v>72</v>
      </c>
      <c r="H68" s="145">
        <v>82</v>
      </c>
      <c r="I68" s="145">
        <v>81</v>
      </c>
      <c r="J68" s="145">
        <f t="shared" si="15"/>
        <v>370</v>
      </c>
      <c r="K68" s="145">
        <v>98</v>
      </c>
      <c r="L68" s="147" t="s">
        <v>130</v>
      </c>
      <c r="M68" s="147" t="s">
        <v>130</v>
      </c>
      <c r="N68" s="147" t="s">
        <v>124</v>
      </c>
      <c r="O68" s="147" t="s">
        <v>124</v>
      </c>
      <c r="P68" s="147" t="s">
        <v>114</v>
      </c>
      <c r="Q68" s="147" t="s">
        <v>130</v>
      </c>
      <c r="R68" s="148" t="s">
        <v>299</v>
      </c>
      <c r="S68" s="148" t="s">
        <v>132</v>
      </c>
      <c r="T68" s="148" t="s">
        <v>133</v>
      </c>
      <c r="U68" s="148" t="s">
        <v>148</v>
      </c>
      <c r="V68" s="145">
        <f t="shared" si="16"/>
        <v>135</v>
      </c>
      <c r="W68" s="149"/>
      <c r="X68" s="145">
        <f t="shared" si="17"/>
        <v>207</v>
      </c>
    </row>
    <row r="69" spans="1:24">
      <c r="A69" s="152"/>
      <c r="B69" s="153">
        <v>219</v>
      </c>
      <c r="C69" s="154" t="s">
        <v>919</v>
      </c>
      <c r="D69" s="144">
        <v>4</v>
      </c>
      <c r="E69" s="145">
        <v>76</v>
      </c>
      <c r="F69" s="145">
        <v>73</v>
      </c>
      <c r="G69" s="145">
        <v>66</v>
      </c>
      <c r="H69" s="145">
        <v>79</v>
      </c>
      <c r="I69" s="145">
        <v>83</v>
      </c>
      <c r="J69" s="145">
        <f t="shared" si="15"/>
        <v>377</v>
      </c>
      <c r="K69" s="145">
        <v>90</v>
      </c>
      <c r="L69" s="147" t="s">
        <v>130</v>
      </c>
      <c r="M69" s="147" t="s">
        <v>130</v>
      </c>
      <c r="N69" s="147" t="s">
        <v>115</v>
      </c>
      <c r="O69" s="147" t="s">
        <v>114</v>
      </c>
      <c r="P69" s="147" t="s">
        <v>114</v>
      </c>
      <c r="Q69" s="147" t="s">
        <v>130</v>
      </c>
      <c r="R69" s="148" t="s">
        <v>203</v>
      </c>
      <c r="S69" s="148" t="s">
        <v>132</v>
      </c>
      <c r="T69" s="148" t="s">
        <v>119</v>
      </c>
      <c r="U69" s="148" t="s">
        <v>148</v>
      </c>
      <c r="V69" s="145">
        <f t="shared" si="16"/>
        <v>149</v>
      </c>
      <c r="W69" s="149"/>
      <c r="X69" s="145">
        <f t="shared" si="17"/>
        <v>215</v>
      </c>
    </row>
    <row r="70" spans="1:24">
      <c r="A70" s="152" t="s">
        <v>1470</v>
      </c>
      <c r="B70" s="153">
        <v>400</v>
      </c>
      <c r="C70" s="154" t="s">
        <v>556</v>
      </c>
      <c r="D70" s="144">
        <v>9</v>
      </c>
      <c r="E70" s="145">
        <v>72</v>
      </c>
      <c r="F70" s="145">
        <v>93</v>
      </c>
      <c r="G70" s="145">
        <v>52</v>
      </c>
      <c r="H70" s="145">
        <v>38</v>
      </c>
      <c r="I70" s="145">
        <v>53</v>
      </c>
      <c r="J70" s="145">
        <f t="shared" si="15"/>
        <v>308</v>
      </c>
      <c r="K70" s="145">
        <v>142</v>
      </c>
      <c r="L70" s="147" t="s">
        <v>114</v>
      </c>
      <c r="M70" s="147" t="s">
        <v>114</v>
      </c>
      <c r="N70" s="147" t="s">
        <v>130</v>
      </c>
      <c r="O70" s="147" t="s">
        <v>114</v>
      </c>
      <c r="P70" s="147" t="s">
        <v>124</v>
      </c>
      <c r="Q70" s="147" t="s">
        <v>130</v>
      </c>
      <c r="R70" s="148" t="s">
        <v>411</v>
      </c>
      <c r="S70" s="148" t="s">
        <v>132</v>
      </c>
      <c r="T70" s="148" t="s">
        <v>119</v>
      </c>
      <c r="U70" s="148" t="s">
        <v>250</v>
      </c>
      <c r="V70" s="145">
        <f t="shared" si="16"/>
        <v>165</v>
      </c>
      <c r="W70" s="149"/>
      <c r="X70" s="145">
        <f t="shared" si="17"/>
        <v>217</v>
      </c>
    </row>
    <row r="71" spans="1:24">
      <c r="A71" s="155"/>
      <c r="B71" s="153">
        <v>798</v>
      </c>
      <c r="C71" s="154" t="s">
        <v>493</v>
      </c>
      <c r="D71" s="144">
        <v>1</v>
      </c>
      <c r="E71" s="145">
        <v>37</v>
      </c>
      <c r="F71" s="145">
        <v>40</v>
      </c>
      <c r="G71" s="145">
        <v>80</v>
      </c>
      <c r="H71" s="145">
        <v>84</v>
      </c>
      <c r="I71" s="145">
        <v>65</v>
      </c>
      <c r="J71" s="145">
        <f t="shared" si="15"/>
        <v>306</v>
      </c>
      <c r="K71" s="145">
        <v>133</v>
      </c>
      <c r="L71" s="147" t="s">
        <v>124</v>
      </c>
      <c r="M71" s="147" t="s">
        <v>124</v>
      </c>
      <c r="N71" s="147" t="s">
        <v>124</v>
      </c>
      <c r="O71" s="147" t="s">
        <v>124</v>
      </c>
      <c r="P71" s="147" t="s">
        <v>124</v>
      </c>
      <c r="Q71" s="147" t="s">
        <v>124</v>
      </c>
      <c r="R71" s="148" t="s">
        <v>205</v>
      </c>
      <c r="S71" s="148" t="s">
        <v>119</v>
      </c>
      <c r="T71" s="148" t="s">
        <v>119</v>
      </c>
      <c r="U71" s="148" t="s">
        <v>120</v>
      </c>
      <c r="V71" s="145">
        <f t="shared" si="16"/>
        <v>77</v>
      </c>
      <c r="W71" s="149"/>
      <c r="X71" s="145">
        <f t="shared" si="17"/>
        <v>157</v>
      </c>
    </row>
    <row r="72" spans="1:24">
      <c r="A72" s="155"/>
      <c r="B72" s="153">
        <v>442</v>
      </c>
      <c r="C72" s="154" t="s">
        <v>826</v>
      </c>
      <c r="D72" s="144">
        <v>7</v>
      </c>
      <c r="E72" s="145">
        <v>75</v>
      </c>
      <c r="F72" s="145">
        <v>88</v>
      </c>
      <c r="G72" s="145">
        <v>41</v>
      </c>
      <c r="H72" s="145">
        <v>47</v>
      </c>
      <c r="I72" s="145">
        <v>57</v>
      </c>
      <c r="J72" s="145">
        <f t="shared" si="15"/>
        <v>308</v>
      </c>
      <c r="K72" s="145">
        <v>8</v>
      </c>
      <c r="L72" s="147" t="s">
        <v>130</v>
      </c>
      <c r="M72" s="147" t="s">
        <v>124</v>
      </c>
      <c r="N72" s="147" t="s">
        <v>114</v>
      </c>
      <c r="O72" s="147" t="s">
        <v>114</v>
      </c>
      <c r="P72" s="147" t="s">
        <v>130</v>
      </c>
      <c r="Q72" s="147" t="s">
        <v>124</v>
      </c>
      <c r="R72" s="148" t="s">
        <v>577</v>
      </c>
      <c r="S72" s="148" t="s">
        <v>132</v>
      </c>
      <c r="T72" s="148" t="s">
        <v>119</v>
      </c>
      <c r="U72" s="148" t="s">
        <v>250</v>
      </c>
      <c r="V72" s="145">
        <f t="shared" si="16"/>
        <v>163</v>
      </c>
      <c r="W72" s="149"/>
      <c r="X72" s="145">
        <f t="shared" si="17"/>
        <v>204</v>
      </c>
    </row>
    <row r="73" spans="1:24">
      <c r="A73" s="155"/>
      <c r="B73" s="153">
        <v>311</v>
      </c>
      <c r="C73" s="156" t="s">
        <v>558</v>
      </c>
      <c r="D73" s="144">
        <v>8</v>
      </c>
      <c r="E73" s="145">
        <v>80</v>
      </c>
      <c r="F73" s="145">
        <v>73</v>
      </c>
      <c r="G73" s="145">
        <v>93</v>
      </c>
      <c r="H73" s="145">
        <v>72</v>
      </c>
      <c r="I73" s="145">
        <v>53</v>
      </c>
      <c r="J73" s="145">
        <f t="shared" si="15"/>
        <v>371</v>
      </c>
      <c r="K73" s="145">
        <v>20</v>
      </c>
      <c r="L73" s="147" t="s">
        <v>130</v>
      </c>
      <c r="M73" s="147" t="s">
        <v>115</v>
      </c>
      <c r="N73" s="147" t="s">
        <v>124</v>
      </c>
      <c r="O73" s="147" t="s">
        <v>114</v>
      </c>
      <c r="P73" s="147" t="s">
        <v>124</v>
      </c>
      <c r="Q73" s="147" t="s">
        <v>130</v>
      </c>
      <c r="R73" s="148" t="s">
        <v>309</v>
      </c>
      <c r="S73" s="148" t="s">
        <v>132</v>
      </c>
      <c r="T73" s="148" t="s">
        <v>119</v>
      </c>
      <c r="U73" s="148" t="s">
        <v>250</v>
      </c>
      <c r="V73" s="145">
        <f t="shared" si="16"/>
        <v>153</v>
      </c>
      <c r="W73" s="149"/>
      <c r="X73" s="145">
        <f t="shared" si="17"/>
        <v>246</v>
      </c>
    </row>
    <row r="74" spans="1:24">
      <c r="A74" s="155"/>
      <c r="B74" s="153">
        <v>539</v>
      </c>
      <c r="C74" s="154" t="s">
        <v>564</v>
      </c>
      <c r="D74" s="144">
        <v>6</v>
      </c>
      <c r="E74" s="145">
        <v>67</v>
      </c>
      <c r="F74" s="145">
        <v>83</v>
      </c>
      <c r="G74" s="145">
        <v>59</v>
      </c>
      <c r="H74" s="145">
        <v>29</v>
      </c>
      <c r="I74" s="145">
        <v>49</v>
      </c>
      <c r="J74" s="145">
        <f t="shared" si="15"/>
        <v>287</v>
      </c>
      <c r="K74" s="145">
        <v>135</v>
      </c>
      <c r="L74" s="147" t="s">
        <v>130</v>
      </c>
      <c r="M74" s="147" t="s">
        <v>124</v>
      </c>
      <c r="N74" s="147" t="s">
        <v>130</v>
      </c>
      <c r="O74" s="147" t="s">
        <v>114</v>
      </c>
      <c r="P74" s="147" t="s">
        <v>124</v>
      </c>
      <c r="Q74" s="147" t="s">
        <v>124</v>
      </c>
      <c r="R74" s="148" t="s">
        <v>256</v>
      </c>
      <c r="S74" s="148" t="s">
        <v>275</v>
      </c>
      <c r="T74" s="148" t="s">
        <v>145</v>
      </c>
      <c r="U74" s="148" t="s">
        <v>250</v>
      </c>
      <c r="V74" s="145">
        <f t="shared" si="16"/>
        <v>150</v>
      </c>
      <c r="W74" s="149"/>
      <c r="X74" s="145">
        <f t="shared" si="17"/>
        <v>209</v>
      </c>
    </row>
    <row r="75" spans="1:24">
      <c r="A75" s="155"/>
      <c r="B75" s="153">
        <v>177</v>
      </c>
      <c r="C75" s="154" t="s">
        <v>421</v>
      </c>
      <c r="D75" s="144">
        <v>4</v>
      </c>
      <c r="E75" s="145">
        <v>21</v>
      </c>
      <c r="F75" s="145">
        <v>22</v>
      </c>
      <c r="G75" s="145">
        <v>74</v>
      </c>
      <c r="H75" s="145">
        <v>83</v>
      </c>
      <c r="I75" s="145">
        <v>74</v>
      </c>
      <c r="J75" s="145">
        <f t="shared" si="15"/>
        <v>274</v>
      </c>
      <c r="K75" s="145">
        <v>71</v>
      </c>
      <c r="L75" s="147" t="s">
        <v>124</v>
      </c>
      <c r="M75" s="147" t="s">
        <v>124</v>
      </c>
      <c r="N75" s="147" t="s">
        <v>124</v>
      </c>
      <c r="O75" s="147" t="s">
        <v>124</v>
      </c>
      <c r="P75" s="147" t="s">
        <v>124</v>
      </c>
      <c r="Q75" s="147" t="s">
        <v>124</v>
      </c>
      <c r="R75" s="148" t="s">
        <v>170</v>
      </c>
      <c r="S75" s="148" t="s">
        <v>132</v>
      </c>
      <c r="T75" s="148" t="s">
        <v>119</v>
      </c>
      <c r="U75" s="148" t="s">
        <v>126</v>
      </c>
      <c r="V75" s="145">
        <f t="shared" si="16"/>
        <v>43</v>
      </c>
      <c r="W75" s="149"/>
      <c r="X75" s="145">
        <f t="shared" si="17"/>
        <v>117</v>
      </c>
    </row>
    <row r="76" spans="1:24">
      <c r="A76" s="152" t="s">
        <v>1471</v>
      </c>
      <c r="B76" s="153">
        <v>290</v>
      </c>
      <c r="C76" s="154" t="s">
        <v>757</v>
      </c>
      <c r="D76" s="144">
        <v>12</v>
      </c>
      <c r="E76" s="145">
        <v>85</v>
      </c>
      <c r="F76" s="145">
        <v>85</v>
      </c>
      <c r="G76" s="145">
        <v>58</v>
      </c>
      <c r="H76" s="145">
        <v>50</v>
      </c>
      <c r="I76" s="145">
        <v>71</v>
      </c>
      <c r="J76" s="145">
        <f t="shared" si="15"/>
        <v>349</v>
      </c>
      <c r="K76" s="145">
        <v>23</v>
      </c>
      <c r="L76" s="147" t="s">
        <v>114</v>
      </c>
      <c r="M76" s="147" t="s">
        <v>114</v>
      </c>
      <c r="N76" s="147" t="s">
        <v>130</v>
      </c>
      <c r="O76" s="147" t="s">
        <v>115</v>
      </c>
      <c r="P76" s="147" t="s">
        <v>130</v>
      </c>
      <c r="Q76" s="147" t="s">
        <v>124</v>
      </c>
      <c r="R76" s="148" t="s">
        <v>577</v>
      </c>
      <c r="S76" s="148" t="s">
        <v>119</v>
      </c>
      <c r="T76" s="148" t="s">
        <v>119</v>
      </c>
      <c r="U76" s="148" t="s">
        <v>120</v>
      </c>
      <c r="V76" s="145">
        <f t="shared" si="16"/>
        <v>170</v>
      </c>
      <c r="W76" s="149"/>
      <c r="X76" s="145">
        <f t="shared" si="17"/>
        <v>228</v>
      </c>
    </row>
    <row r="77" spans="1:24">
      <c r="A77" s="155"/>
      <c r="B77" s="153">
        <v>247</v>
      </c>
      <c r="C77" s="154" t="s">
        <v>1034</v>
      </c>
      <c r="D77" s="144">
        <v>12</v>
      </c>
      <c r="E77" s="145">
        <v>79</v>
      </c>
      <c r="F77" s="145">
        <v>94</v>
      </c>
      <c r="G77" s="145">
        <v>54</v>
      </c>
      <c r="H77" s="145">
        <v>59</v>
      </c>
      <c r="I77" s="145">
        <v>51</v>
      </c>
      <c r="J77" s="145">
        <f t="shared" si="15"/>
        <v>337</v>
      </c>
      <c r="K77" s="145">
        <v>141</v>
      </c>
      <c r="L77" s="147" t="s">
        <v>130</v>
      </c>
      <c r="M77" s="147" t="s">
        <v>130</v>
      </c>
      <c r="N77" s="147" t="s">
        <v>115</v>
      </c>
      <c r="O77" s="147" t="s">
        <v>114</v>
      </c>
      <c r="P77" s="147" t="s">
        <v>114</v>
      </c>
      <c r="Q77" s="147" t="s">
        <v>124</v>
      </c>
      <c r="R77" s="148" t="s">
        <v>266</v>
      </c>
      <c r="S77" s="148" t="s">
        <v>119</v>
      </c>
      <c r="T77" s="148" t="s">
        <v>136</v>
      </c>
      <c r="U77" s="148" t="s">
        <v>250</v>
      </c>
      <c r="V77" s="145">
        <f t="shared" si="16"/>
        <v>173</v>
      </c>
      <c r="W77" s="149"/>
      <c r="X77" s="145">
        <f t="shared" si="17"/>
        <v>227</v>
      </c>
    </row>
    <row r="78" spans="1:24">
      <c r="A78" s="155"/>
      <c r="B78" s="153">
        <v>416</v>
      </c>
      <c r="C78" s="154" t="s">
        <v>821</v>
      </c>
      <c r="D78" s="144">
        <v>6</v>
      </c>
      <c r="E78" s="145">
        <v>81</v>
      </c>
      <c r="F78" s="145">
        <v>72</v>
      </c>
      <c r="G78" s="145">
        <v>79</v>
      </c>
      <c r="H78" s="145">
        <v>72</v>
      </c>
      <c r="I78" s="145">
        <v>59</v>
      </c>
      <c r="J78" s="145">
        <f t="shared" si="15"/>
        <v>363</v>
      </c>
      <c r="K78" s="145">
        <v>0</v>
      </c>
      <c r="L78" s="147" t="s">
        <v>114</v>
      </c>
      <c r="M78" s="147" t="s">
        <v>114</v>
      </c>
      <c r="N78" s="147" t="s">
        <v>130</v>
      </c>
      <c r="O78" s="147" t="s">
        <v>114</v>
      </c>
      <c r="P78" s="147" t="s">
        <v>130</v>
      </c>
      <c r="Q78" s="147" t="s">
        <v>124</v>
      </c>
      <c r="R78" s="148" t="s">
        <v>230</v>
      </c>
      <c r="S78" s="148" t="s">
        <v>119</v>
      </c>
      <c r="T78" s="148" t="s">
        <v>136</v>
      </c>
      <c r="U78" s="148" t="s">
        <v>126</v>
      </c>
      <c r="V78" s="145">
        <f t="shared" si="16"/>
        <v>153</v>
      </c>
      <c r="W78" s="149"/>
      <c r="X78" s="145">
        <f t="shared" si="17"/>
        <v>232</v>
      </c>
    </row>
    <row r="79" spans="1:24">
      <c r="A79" s="155"/>
      <c r="B79" s="153">
        <v>434</v>
      </c>
      <c r="C79" s="154" t="s">
        <v>213</v>
      </c>
      <c r="D79" s="144">
        <v>5</v>
      </c>
      <c r="E79" s="145">
        <v>82</v>
      </c>
      <c r="F79" s="145">
        <v>66</v>
      </c>
      <c r="G79" s="145">
        <v>93</v>
      </c>
      <c r="H79" s="145">
        <v>78</v>
      </c>
      <c r="I79" s="145">
        <v>70</v>
      </c>
      <c r="J79" s="145">
        <f t="shared" si="15"/>
        <v>389</v>
      </c>
      <c r="K79" s="145">
        <v>9</v>
      </c>
      <c r="L79" s="147" t="s">
        <v>114</v>
      </c>
      <c r="M79" s="147" t="s">
        <v>130</v>
      </c>
      <c r="N79" s="147" t="s">
        <v>114</v>
      </c>
      <c r="O79" s="147" t="s">
        <v>130</v>
      </c>
      <c r="P79" s="147" t="s">
        <v>115</v>
      </c>
      <c r="Q79" s="147" t="s">
        <v>114</v>
      </c>
      <c r="R79" s="148" t="s">
        <v>168</v>
      </c>
      <c r="S79" s="148" t="s">
        <v>132</v>
      </c>
      <c r="T79" s="148" t="s">
        <v>119</v>
      </c>
      <c r="U79" s="148" t="s">
        <v>148</v>
      </c>
      <c r="V79" s="145">
        <f t="shared" si="16"/>
        <v>148</v>
      </c>
      <c r="W79" s="149"/>
      <c r="X79" s="145">
        <f t="shared" si="17"/>
        <v>241</v>
      </c>
    </row>
    <row r="80" spans="1:24">
      <c r="A80" s="155"/>
      <c r="B80" s="153">
        <v>472</v>
      </c>
      <c r="C80" s="154" t="s">
        <v>691</v>
      </c>
      <c r="D80" s="144">
        <v>3</v>
      </c>
      <c r="E80" s="145">
        <v>77</v>
      </c>
      <c r="F80" s="145">
        <v>64</v>
      </c>
      <c r="G80" s="145">
        <v>79</v>
      </c>
      <c r="H80" s="145">
        <v>69</v>
      </c>
      <c r="I80" s="145">
        <v>81</v>
      </c>
      <c r="J80" s="145">
        <f t="shared" si="15"/>
        <v>370</v>
      </c>
      <c r="K80" s="145">
        <v>32</v>
      </c>
      <c r="L80" s="147" t="s">
        <v>130</v>
      </c>
      <c r="M80" s="147" t="s">
        <v>114</v>
      </c>
      <c r="N80" s="147" t="s">
        <v>115</v>
      </c>
      <c r="O80" s="147" t="s">
        <v>130</v>
      </c>
      <c r="P80" s="147" t="s">
        <v>130</v>
      </c>
      <c r="Q80" s="147" t="s">
        <v>130</v>
      </c>
      <c r="R80" s="148" t="s">
        <v>358</v>
      </c>
      <c r="S80" s="148" t="s">
        <v>175</v>
      </c>
      <c r="T80" s="148" t="s">
        <v>145</v>
      </c>
      <c r="U80" s="148" t="s">
        <v>120</v>
      </c>
      <c r="V80" s="145">
        <f t="shared" si="16"/>
        <v>141</v>
      </c>
      <c r="W80" s="149"/>
      <c r="X80" s="145">
        <f t="shared" si="17"/>
        <v>220</v>
      </c>
    </row>
    <row r="81" spans="1:24">
      <c r="A81" s="152" t="s">
        <v>1472</v>
      </c>
      <c r="B81" s="153">
        <v>237</v>
      </c>
      <c r="C81" s="154" t="s">
        <v>617</v>
      </c>
      <c r="D81" s="144">
        <v>10</v>
      </c>
      <c r="E81" s="145">
        <v>63</v>
      </c>
      <c r="F81" s="145">
        <v>53</v>
      </c>
      <c r="G81" s="145">
        <v>87</v>
      </c>
      <c r="H81" s="145">
        <v>91</v>
      </c>
      <c r="I81" s="145">
        <v>95</v>
      </c>
      <c r="J81" s="145">
        <f t="shared" si="15"/>
        <v>389</v>
      </c>
      <c r="K81" s="145">
        <v>33</v>
      </c>
      <c r="L81" s="147" t="s">
        <v>130</v>
      </c>
      <c r="M81" s="147" t="s">
        <v>130</v>
      </c>
      <c r="N81" s="147" t="s">
        <v>130</v>
      </c>
      <c r="O81" s="147" t="s">
        <v>130</v>
      </c>
      <c r="P81" s="147" t="s">
        <v>130</v>
      </c>
      <c r="Q81" s="147" t="s">
        <v>130</v>
      </c>
      <c r="R81" s="158" t="s">
        <v>296</v>
      </c>
      <c r="S81" s="148" t="s">
        <v>118</v>
      </c>
      <c r="T81" s="148" t="s">
        <v>119</v>
      </c>
      <c r="U81" s="148" t="s">
        <v>120</v>
      </c>
      <c r="V81" s="145">
        <f t="shared" si="16"/>
        <v>116</v>
      </c>
      <c r="W81" s="148" t="s">
        <v>297</v>
      </c>
      <c r="X81" s="145">
        <f t="shared" si="17"/>
        <v>203</v>
      </c>
    </row>
    <row r="82" spans="1:24">
      <c r="A82" s="155"/>
      <c r="B82" s="153">
        <v>19</v>
      </c>
      <c r="C82" s="154" t="s">
        <v>280</v>
      </c>
      <c r="D82" s="144">
        <v>9</v>
      </c>
      <c r="E82" s="145">
        <v>25</v>
      </c>
      <c r="F82" s="145">
        <v>42</v>
      </c>
      <c r="G82" s="145">
        <v>78</v>
      </c>
      <c r="H82" s="145">
        <v>78</v>
      </c>
      <c r="I82" s="145">
        <v>100</v>
      </c>
      <c r="J82" s="145">
        <f t="shared" si="15"/>
        <v>323</v>
      </c>
      <c r="K82" s="145">
        <v>62</v>
      </c>
      <c r="L82" s="147" t="s">
        <v>124</v>
      </c>
      <c r="M82" s="147" t="s">
        <v>124</v>
      </c>
      <c r="N82" s="147" t="s">
        <v>124</v>
      </c>
      <c r="O82" s="147" t="s">
        <v>124</v>
      </c>
      <c r="P82" s="147" t="s">
        <v>124</v>
      </c>
      <c r="Q82" s="147" t="s">
        <v>124</v>
      </c>
      <c r="R82" s="148" t="s">
        <v>281</v>
      </c>
      <c r="S82" s="148" t="s">
        <v>118</v>
      </c>
      <c r="T82" s="148" t="s">
        <v>119</v>
      </c>
      <c r="U82" s="148" t="s">
        <v>126</v>
      </c>
      <c r="V82" s="145">
        <f t="shared" si="16"/>
        <v>67</v>
      </c>
      <c r="W82" s="149"/>
      <c r="X82" s="145">
        <f t="shared" si="17"/>
        <v>145</v>
      </c>
    </row>
    <row r="83" spans="1:24">
      <c r="A83" s="155"/>
      <c r="B83" s="153">
        <v>70</v>
      </c>
      <c r="C83" s="154" t="s">
        <v>536</v>
      </c>
      <c r="D83" s="144">
        <v>4</v>
      </c>
      <c r="E83" s="145">
        <v>44</v>
      </c>
      <c r="F83" s="145">
        <v>30</v>
      </c>
      <c r="G83" s="145">
        <v>92</v>
      </c>
      <c r="H83" s="145">
        <v>85</v>
      </c>
      <c r="I83" s="145">
        <v>57</v>
      </c>
      <c r="J83" s="145">
        <f t="shared" si="15"/>
        <v>308</v>
      </c>
      <c r="K83" s="145">
        <v>4</v>
      </c>
      <c r="L83" s="147" t="s">
        <v>124</v>
      </c>
      <c r="M83" s="147" t="s">
        <v>124</v>
      </c>
      <c r="N83" s="147" t="s">
        <v>130</v>
      </c>
      <c r="O83" s="147" t="s">
        <v>124</v>
      </c>
      <c r="P83" s="147" t="s">
        <v>124</v>
      </c>
      <c r="Q83" s="147" t="s">
        <v>124</v>
      </c>
      <c r="R83" s="148" t="s">
        <v>165</v>
      </c>
      <c r="S83" s="148" t="s">
        <v>119</v>
      </c>
      <c r="T83" s="148" t="s">
        <v>136</v>
      </c>
      <c r="U83" s="148" t="s">
        <v>120</v>
      </c>
      <c r="V83" s="145">
        <f t="shared" si="16"/>
        <v>74</v>
      </c>
      <c r="W83" s="149"/>
      <c r="X83" s="145">
        <f t="shared" si="17"/>
        <v>166</v>
      </c>
    </row>
    <row r="84" spans="1:24">
      <c r="A84" s="155"/>
      <c r="B84" s="153">
        <v>614</v>
      </c>
      <c r="C84" s="154" t="s">
        <v>1047</v>
      </c>
      <c r="D84" s="144">
        <v>3</v>
      </c>
      <c r="E84" s="145">
        <v>75</v>
      </c>
      <c r="F84" s="145">
        <v>81</v>
      </c>
      <c r="G84" s="145">
        <v>38</v>
      </c>
      <c r="H84" s="145">
        <v>27</v>
      </c>
      <c r="I84" s="145">
        <v>40</v>
      </c>
      <c r="J84" s="145">
        <f t="shared" si="15"/>
        <v>261</v>
      </c>
      <c r="K84" s="145">
        <v>37</v>
      </c>
      <c r="L84" s="147" t="s">
        <v>130</v>
      </c>
      <c r="M84" s="147" t="s">
        <v>124</v>
      </c>
      <c r="N84" s="147" t="s">
        <v>130</v>
      </c>
      <c r="O84" s="147" t="s">
        <v>130</v>
      </c>
      <c r="P84" s="147" t="s">
        <v>114</v>
      </c>
      <c r="Q84" s="147" t="s">
        <v>114</v>
      </c>
      <c r="R84" s="148" t="s">
        <v>587</v>
      </c>
      <c r="S84" s="148" t="s">
        <v>119</v>
      </c>
      <c r="T84" s="148" t="s">
        <v>119</v>
      </c>
      <c r="U84" s="148" t="s">
        <v>250</v>
      </c>
      <c r="V84" s="145">
        <f t="shared" si="16"/>
        <v>156</v>
      </c>
      <c r="W84" s="149"/>
      <c r="X84" s="145">
        <f t="shared" si="17"/>
        <v>194</v>
      </c>
    </row>
    <row r="85" spans="1:24">
      <c r="A85" s="155"/>
      <c r="B85" s="153">
        <v>651</v>
      </c>
      <c r="C85" s="154" t="s">
        <v>475</v>
      </c>
      <c r="D85" s="144">
        <v>3</v>
      </c>
      <c r="E85" s="145">
        <v>45</v>
      </c>
      <c r="F85" s="145">
        <v>43</v>
      </c>
      <c r="G85" s="145">
        <v>92</v>
      </c>
      <c r="H85" s="145">
        <v>77</v>
      </c>
      <c r="I85" s="145">
        <v>67</v>
      </c>
      <c r="J85" s="145">
        <f t="shared" si="15"/>
        <v>324</v>
      </c>
      <c r="K85" s="145">
        <v>75</v>
      </c>
      <c r="L85" s="147" t="s">
        <v>124</v>
      </c>
      <c r="M85" s="147" t="s">
        <v>124</v>
      </c>
      <c r="N85" s="147" t="s">
        <v>124</v>
      </c>
      <c r="O85" s="147" t="s">
        <v>124</v>
      </c>
      <c r="P85" s="147" t="s">
        <v>124</v>
      </c>
      <c r="Q85" s="147" t="s">
        <v>124</v>
      </c>
      <c r="R85" s="148" t="s">
        <v>476</v>
      </c>
      <c r="S85" s="148" t="s">
        <v>132</v>
      </c>
      <c r="T85" s="148" t="s">
        <v>119</v>
      </c>
      <c r="U85" s="148" t="s">
        <v>120</v>
      </c>
      <c r="V85" s="145">
        <f t="shared" si="16"/>
        <v>88</v>
      </c>
      <c r="W85" s="149"/>
      <c r="X85" s="145">
        <f t="shared" si="17"/>
        <v>180</v>
      </c>
    </row>
    <row r="86" spans="1:24">
      <c r="A86" s="152" t="s">
        <v>1473</v>
      </c>
      <c r="B86" s="153">
        <v>121</v>
      </c>
      <c r="C86" s="154" t="s">
        <v>521</v>
      </c>
      <c r="D86" s="144">
        <v>9</v>
      </c>
      <c r="E86" s="145">
        <v>22</v>
      </c>
      <c r="F86" s="145">
        <v>29</v>
      </c>
      <c r="G86" s="145">
        <v>89</v>
      </c>
      <c r="H86" s="145">
        <v>67</v>
      </c>
      <c r="I86" s="145">
        <v>60</v>
      </c>
      <c r="J86" s="145">
        <f t="shared" si="15"/>
        <v>267</v>
      </c>
      <c r="K86" s="145">
        <v>6</v>
      </c>
      <c r="L86" s="147" t="s">
        <v>124</v>
      </c>
      <c r="M86" s="147" t="s">
        <v>124</v>
      </c>
      <c r="N86" s="147" t="s">
        <v>124</v>
      </c>
      <c r="O86" s="147" t="s">
        <v>124</v>
      </c>
      <c r="P86" s="147" t="s">
        <v>124</v>
      </c>
      <c r="Q86" s="147" t="s">
        <v>124</v>
      </c>
      <c r="R86" s="158" t="s">
        <v>522</v>
      </c>
      <c r="S86" s="148" t="s">
        <v>119</v>
      </c>
      <c r="T86" s="148" t="s">
        <v>119</v>
      </c>
      <c r="U86" s="148" t="s">
        <v>120</v>
      </c>
      <c r="V86" s="145">
        <f t="shared" si="16"/>
        <v>51</v>
      </c>
      <c r="W86" s="148" t="s">
        <v>523</v>
      </c>
      <c r="X86" s="145">
        <f t="shared" si="17"/>
        <v>140</v>
      </c>
    </row>
    <row r="87" spans="1:24">
      <c r="A87" s="155"/>
      <c r="B87" s="153">
        <v>410</v>
      </c>
      <c r="C87" s="154" t="s">
        <v>937</v>
      </c>
      <c r="D87" s="144">
        <v>1</v>
      </c>
      <c r="E87" s="145">
        <v>69</v>
      </c>
      <c r="F87" s="145">
        <v>59</v>
      </c>
      <c r="G87" s="145">
        <v>75</v>
      </c>
      <c r="H87" s="145">
        <v>79</v>
      </c>
      <c r="I87" s="145">
        <v>79</v>
      </c>
      <c r="J87" s="145">
        <f t="shared" si="15"/>
        <v>361</v>
      </c>
      <c r="K87" s="145">
        <v>121</v>
      </c>
      <c r="L87" s="147" t="s">
        <v>130</v>
      </c>
      <c r="M87" s="147" t="s">
        <v>130</v>
      </c>
      <c r="N87" s="147" t="s">
        <v>130</v>
      </c>
      <c r="O87" s="147" t="s">
        <v>124</v>
      </c>
      <c r="P87" s="147" t="s">
        <v>114</v>
      </c>
      <c r="Q87" s="147" t="s">
        <v>130</v>
      </c>
      <c r="R87" s="148" t="s">
        <v>299</v>
      </c>
      <c r="S87" s="148" t="s">
        <v>132</v>
      </c>
      <c r="T87" s="148" t="s">
        <v>119</v>
      </c>
      <c r="U87" s="148" t="s">
        <v>120</v>
      </c>
      <c r="V87" s="145">
        <f t="shared" si="16"/>
        <v>128</v>
      </c>
      <c r="W87" s="149"/>
      <c r="X87" s="145">
        <f t="shared" si="17"/>
        <v>203</v>
      </c>
    </row>
    <row r="88" spans="1:24">
      <c r="A88" s="155"/>
      <c r="B88" s="153">
        <v>601</v>
      </c>
      <c r="C88" s="156" t="s">
        <v>398</v>
      </c>
      <c r="D88" s="144">
        <v>11</v>
      </c>
      <c r="E88" s="145">
        <v>36</v>
      </c>
      <c r="F88" s="145">
        <v>32</v>
      </c>
      <c r="G88" s="145">
        <v>70</v>
      </c>
      <c r="H88" s="145">
        <v>83</v>
      </c>
      <c r="I88" s="145">
        <v>77</v>
      </c>
      <c r="J88" s="145">
        <f t="shared" si="15"/>
        <v>298</v>
      </c>
      <c r="K88" s="145">
        <v>63</v>
      </c>
      <c r="L88" s="147" t="s">
        <v>124</v>
      </c>
      <c r="M88" s="147" t="s">
        <v>124</v>
      </c>
      <c r="N88" s="147" t="s">
        <v>124</v>
      </c>
      <c r="O88" s="147" t="s">
        <v>124</v>
      </c>
      <c r="P88" s="147" t="s">
        <v>124</v>
      </c>
      <c r="Q88" s="147" t="s">
        <v>124</v>
      </c>
      <c r="R88" s="148" t="s">
        <v>263</v>
      </c>
      <c r="S88" s="148" t="s">
        <v>175</v>
      </c>
      <c r="T88" s="148" t="s">
        <v>133</v>
      </c>
      <c r="U88" s="148" t="s">
        <v>120</v>
      </c>
      <c r="V88" s="145">
        <f t="shared" si="16"/>
        <v>68</v>
      </c>
      <c r="W88" s="149"/>
      <c r="X88" s="145">
        <f t="shared" si="17"/>
        <v>138</v>
      </c>
    </row>
    <row r="89" spans="1:24">
      <c r="A89" s="155"/>
      <c r="B89" s="153">
        <v>303</v>
      </c>
      <c r="C89" s="154" t="s">
        <v>934</v>
      </c>
      <c r="D89" s="144">
        <v>5</v>
      </c>
      <c r="E89" s="145">
        <v>74</v>
      </c>
      <c r="F89" s="145">
        <v>71</v>
      </c>
      <c r="G89" s="145">
        <v>80</v>
      </c>
      <c r="H89" s="145">
        <v>84</v>
      </c>
      <c r="I89" s="145">
        <v>80</v>
      </c>
      <c r="J89" s="145">
        <f t="shared" si="15"/>
        <v>389</v>
      </c>
      <c r="K89" s="145">
        <v>130</v>
      </c>
      <c r="L89" s="147" t="s">
        <v>130</v>
      </c>
      <c r="M89" s="147" t="s">
        <v>114</v>
      </c>
      <c r="N89" s="147" t="s">
        <v>114</v>
      </c>
      <c r="O89" s="147" t="s">
        <v>114</v>
      </c>
      <c r="P89" s="147" t="s">
        <v>114</v>
      </c>
      <c r="Q89" s="147" t="s">
        <v>124</v>
      </c>
      <c r="R89" s="148" t="s">
        <v>353</v>
      </c>
      <c r="S89" s="148" t="s">
        <v>132</v>
      </c>
      <c r="T89" s="148" t="s">
        <v>119</v>
      </c>
      <c r="U89" s="148" t="s">
        <v>120</v>
      </c>
      <c r="V89" s="145">
        <f t="shared" si="16"/>
        <v>145</v>
      </c>
      <c r="W89" s="149"/>
      <c r="X89" s="145">
        <f t="shared" si="17"/>
        <v>225</v>
      </c>
    </row>
    <row r="90" spans="1:24">
      <c r="A90" s="155"/>
      <c r="B90" s="153">
        <v>662</v>
      </c>
      <c r="C90" s="154" t="s">
        <v>154</v>
      </c>
      <c r="D90" s="144">
        <v>8</v>
      </c>
      <c r="E90" s="145">
        <v>80</v>
      </c>
      <c r="F90" s="145">
        <v>62</v>
      </c>
      <c r="G90" s="145">
        <v>85</v>
      </c>
      <c r="H90" s="145">
        <v>82</v>
      </c>
      <c r="I90" s="145">
        <v>97</v>
      </c>
      <c r="J90" s="145">
        <f t="shared" si="15"/>
        <v>406</v>
      </c>
      <c r="K90" s="145">
        <v>90</v>
      </c>
      <c r="L90" s="147" t="s">
        <v>130</v>
      </c>
      <c r="M90" s="147" t="s">
        <v>115</v>
      </c>
      <c r="N90" s="147" t="s">
        <v>114</v>
      </c>
      <c r="O90" s="147" t="s">
        <v>130</v>
      </c>
      <c r="P90" s="147" t="s">
        <v>115</v>
      </c>
      <c r="Q90" s="147" t="s">
        <v>130</v>
      </c>
      <c r="R90" s="148" t="s">
        <v>155</v>
      </c>
      <c r="S90" s="148" t="s">
        <v>118</v>
      </c>
      <c r="T90" s="148" t="s">
        <v>119</v>
      </c>
      <c r="U90" s="148" t="s">
        <v>126</v>
      </c>
      <c r="V90" s="145">
        <f t="shared" si="16"/>
        <v>142</v>
      </c>
      <c r="W90" s="149"/>
      <c r="X90" s="145">
        <f t="shared" si="17"/>
        <v>227</v>
      </c>
    </row>
    <row r="91" spans="1:24">
      <c r="A91" s="152" t="s">
        <v>1474</v>
      </c>
      <c r="B91" s="153">
        <v>104</v>
      </c>
      <c r="C91" s="154" t="s">
        <v>366</v>
      </c>
      <c r="D91" s="144">
        <v>1</v>
      </c>
      <c r="E91" s="145">
        <v>35</v>
      </c>
      <c r="F91" s="145">
        <v>31</v>
      </c>
      <c r="G91" s="145">
        <v>78</v>
      </c>
      <c r="H91" s="145">
        <v>86</v>
      </c>
      <c r="I91" s="145">
        <v>82</v>
      </c>
      <c r="J91" s="145">
        <f t="shared" si="15"/>
        <v>312</v>
      </c>
      <c r="K91" s="145">
        <v>96</v>
      </c>
      <c r="L91" s="147" t="s">
        <v>124</v>
      </c>
      <c r="M91" s="147" t="s">
        <v>124</v>
      </c>
      <c r="N91" s="147" t="s">
        <v>124</v>
      </c>
      <c r="O91" s="147" t="s">
        <v>124</v>
      </c>
      <c r="P91" s="147" t="s">
        <v>124</v>
      </c>
      <c r="Q91" s="147" t="s">
        <v>124</v>
      </c>
      <c r="R91" s="148" t="s">
        <v>147</v>
      </c>
      <c r="S91" s="148" t="s">
        <v>119</v>
      </c>
      <c r="T91" s="148" t="s">
        <v>133</v>
      </c>
      <c r="U91" s="148" t="s">
        <v>148</v>
      </c>
      <c r="V91" s="145">
        <f t="shared" si="16"/>
        <v>66</v>
      </c>
      <c r="W91" s="149"/>
      <c r="X91" s="145">
        <f t="shared" si="17"/>
        <v>144</v>
      </c>
    </row>
    <row r="92" spans="1:24">
      <c r="A92" s="155"/>
      <c r="B92" s="153">
        <v>321</v>
      </c>
      <c r="C92" s="154" t="s">
        <v>527</v>
      </c>
      <c r="D92" s="144">
        <v>2</v>
      </c>
      <c r="E92" s="145">
        <v>57</v>
      </c>
      <c r="F92" s="145">
        <v>29</v>
      </c>
      <c r="G92" s="145">
        <v>87</v>
      </c>
      <c r="H92" s="145">
        <v>77</v>
      </c>
      <c r="I92" s="145">
        <v>59</v>
      </c>
      <c r="J92" s="145">
        <f t="shared" si="15"/>
        <v>309</v>
      </c>
      <c r="K92" s="145">
        <v>52</v>
      </c>
      <c r="L92" s="147" t="s">
        <v>124</v>
      </c>
      <c r="M92" s="147" t="s">
        <v>130</v>
      </c>
      <c r="N92" s="147" t="s">
        <v>124</v>
      </c>
      <c r="O92" s="147" t="s">
        <v>124</v>
      </c>
      <c r="P92" s="147" t="s">
        <v>124</v>
      </c>
      <c r="Q92" s="147" t="s">
        <v>130</v>
      </c>
      <c r="R92" s="148" t="s">
        <v>503</v>
      </c>
      <c r="S92" s="148" t="s">
        <v>119</v>
      </c>
      <c r="T92" s="148" t="s">
        <v>136</v>
      </c>
      <c r="U92" s="148" t="s">
        <v>250</v>
      </c>
      <c r="V92" s="145">
        <f t="shared" si="16"/>
        <v>86</v>
      </c>
      <c r="W92" s="149"/>
      <c r="X92" s="145">
        <f t="shared" si="17"/>
        <v>173</v>
      </c>
    </row>
    <row r="93" spans="1:24">
      <c r="A93" s="155"/>
      <c r="B93" s="153">
        <v>226</v>
      </c>
      <c r="C93" s="154" t="s">
        <v>301</v>
      </c>
      <c r="D93" s="144">
        <v>11</v>
      </c>
      <c r="E93" s="145">
        <v>48</v>
      </c>
      <c r="F93" s="145">
        <v>34</v>
      </c>
      <c r="G93" s="145">
        <v>82</v>
      </c>
      <c r="H93" s="145">
        <v>95</v>
      </c>
      <c r="I93" s="145">
        <v>91</v>
      </c>
      <c r="J93" s="145">
        <f t="shared" si="15"/>
        <v>350</v>
      </c>
      <c r="K93" s="145">
        <v>32</v>
      </c>
      <c r="L93" s="147" t="s">
        <v>124</v>
      </c>
      <c r="M93" s="147" t="s">
        <v>124</v>
      </c>
      <c r="N93" s="147" t="s">
        <v>124</v>
      </c>
      <c r="O93" s="147" t="s">
        <v>124</v>
      </c>
      <c r="P93" s="147" t="s">
        <v>124</v>
      </c>
      <c r="Q93" s="147" t="s">
        <v>124</v>
      </c>
      <c r="R93" s="148" t="s">
        <v>302</v>
      </c>
      <c r="S93" s="148" t="s">
        <v>132</v>
      </c>
      <c r="T93" s="148" t="s">
        <v>119</v>
      </c>
      <c r="U93" s="148" t="s">
        <v>148</v>
      </c>
      <c r="V93" s="145">
        <f t="shared" si="16"/>
        <v>82</v>
      </c>
      <c r="W93" s="149"/>
      <c r="X93" s="145">
        <f t="shared" si="17"/>
        <v>164</v>
      </c>
    </row>
    <row r="94" spans="1:24">
      <c r="A94" s="155"/>
      <c r="B94" s="153">
        <v>769</v>
      </c>
      <c r="C94" s="154" t="s">
        <v>667</v>
      </c>
      <c r="D94" s="144">
        <v>8</v>
      </c>
      <c r="E94" s="145">
        <v>75</v>
      </c>
      <c r="F94" s="145">
        <v>82</v>
      </c>
      <c r="G94" s="145">
        <v>64</v>
      </c>
      <c r="H94" s="145">
        <v>72</v>
      </c>
      <c r="I94" s="145">
        <v>84</v>
      </c>
      <c r="J94" s="145">
        <f t="shared" si="15"/>
        <v>377</v>
      </c>
      <c r="K94" s="145">
        <v>93</v>
      </c>
      <c r="L94" s="147" t="s">
        <v>114</v>
      </c>
      <c r="M94" s="147" t="s">
        <v>114</v>
      </c>
      <c r="N94" s="147" t="s">
        <v>115</v>
      </c>
      <c r="O94" s="147" t="s">
        <v>114</v>
      </c>
      <c r="P94" s="147" t="s">
        <v>130</v>
      </c>
      <c r="Q94" s="147" t="s">
        <v>130</v>
      </c>
      <c r="R94" s="148" t="s">
        <v>194</v>
      </c>
      <c r="S94" s="148" t="s">
        <v>118</v>
      </c>
      <c r="T94" s="148" t="s">
        <v>119</v>
      </c>
      <c r="U94" s="148" t="s">
        <v>126</v>
      </c>
      <c r="V94" s="145">
        <f t="shared" si="16"/>
        <v>157</v>
      </c>
      <c r="W94" s="149"/>
      <c r="X94" s="145">
        <f t="shared" si="17"/>
        <v>221</v>
      </c>
    </row>
    <row r="95" spans="1:24">
      <c r="A95" s="155"/>
      <c r="B95" s="153">
        <v>573</v>
      </c>
      <c r="C95" s="154" t="s">
        <v>804</v>
      </c>
      <c r="D95" s="144">
        <v>7</v>
      </c>
      <c r="E95" s="145">
        <v>75</v>
      </c>
      <c r="F95" s="145">
        <v>85</v>
      </c>
      <c r="G95" s="145">
        <v>44</v>
      </c>
      <c r="H95" s="145">
        <v>58</v>
      </c>
      <c r="I95" s="145">
        <v>63</v>
      </c>
      <c r="J95" s="145">
        <f t="shared" si="15"/>
        <v>325</v>
      </c>
      <c r="K95" s="145">
        <v>37</v>
      </c>
      <c r="L95" s="147" t="s">
        <v>130</v>
      </c>
      <c r="M95" s="147" t="s">
        <v>114</v>
      </c>
      <c r="N95" s="147" t="s">
        <v>130</v>
      </c>
      <c r="O95" s="147" t="s">
        <v>115</v>
      </c>
      <c r="P95" s="147" t="s">
        <v>130</v>
      </c>
      <c r="Q95" s="147" t="s">
        <v>124</v>
      </c>
      <c r="R95" s="148" t="s">
        <v>416</v>
      </c>
      <c r="S95" s="148" t="s">
        <v>132</v>
      </c>
      <c r="T95" s="148" t="s">
        <v>119</v>
      </c>
      <c r="U95" s="148" t="s">
        <v>148</v>
      </c>
      <c r="V95" s="145">
        <f t="shared" si="16"/>
        <v>160</v>
      </c>
      <c r="W95" s="149"/>
      <c r="X95" s="145">
        <f t="shared" si="17"/>
        <v>204</v>
      </c>
    </row>
    <row r="96" spans="1:24">
      <c r="A96" s="155"/>
      <c r="B96" s="153">
        <v>2</v>
      </c>
      <c r="C96" s="154" t="s">
        <v>659</v>
      </c>
      <c r="D96" s="144">
        <v>4</v>
      </c>
      <c r="E96" s="145">
        <v>43</v>
      </c>
      <c r="F96" s="145">
        <v>46</v>
      </c>
      <c r="G96" s="145">
        <v>73</v>
      </c>
      <c r="H96" s="145">
        <v>87</v>
      </c>
      <c r="I96" s="145">
        <v>85</v>
      </c>
      <c r="J96" s="145">
        <f t="shared" ref="J96:J127" si="18">SUM(E96:I96)</f>
        <v>334</v>
      </c>
      <c r="K96" s="145">
        <v>65</v>
      </c>
      <c r="L96" s="147" t="s">
        <v>124</v>
      </c>
      <c r="M96" s="147" t="s">
        <v>124</v>
      </c>
      <c r="N96" s="147" t="s">
        <v>130</v>
      </c>
      <c r="O96" s="147" t="s">
        <v>124</v>
      </c>
      <c r="P96" s="147" t="s">
        <v>130</v>
      </c>
      <c r="Q96" s="147" t="s">
        <v>124</v>
      </c>
      <c r="R96" s="148" t="s">
        <v>353</v>
      </c>
      <c r="S96" s="148" t="s">
        <v>118</v>
      </c>
      <c r="T96" s="148" t="s">
        <v>133</v>
      </c>
      <c r="U96" s="148" t="s">
        <v>148</v>
      </c>
      <c r="V96" s="145">
        <f t="shared" ref="V96:V127" si="19">E96+F96</f>
        <v>89</v>
      </c>
      <c r="W96" s="149"/>
      <c r="X96" s="145">
        <f t="shared" ref="X96:X127" si="20">E96+F96+G96</f>
        <v>162</v>
      </c>
    </row>
    <row r="97" spans="1:24">
      <c r="A97" s="155"/>
      <c r="B97" s="153">
        <v>111</v>
      </c>
      <c r="C97" s="154" t="s">
        <v>285</v>
      </c>
      <c r="D97" s="144">
        <v>3</v>
      </c>
      <c r="E97" s="145">
        <v>43</v>
      </c>
      <c r="F97" s="145">
        <v>47</v>
      </c>
      <c r="G97" s="145">
        <v>78</v>
      </c>
      <c r="H97" s="145">
        <v>82</v>
      </c>
      <c r="I97" s="145">
        <v>97</v>
      </c>
      <c r="J97" s="145">
        <f t="shared" si="18"/>
        <v>347</v>
      </c>
      <c r="K97" s="145">
        <v>23</v>
      </c>
      <c r="L97" s="147" t="s">
        <v>124</v>
      </c>
      <c r="M97" s="147" t="s">
        <v>124</v>
      </c>
      <c r="N97" s="147" t="s">
        <v>124</v>
      </c>
      <c r="O97" s="147" t="s">
        <v>124</v>
      </c>
      <c r="P97" s="147" t="s">
        <v>124</v>
      </c>
      <c r="Q97" s="147" t="s">
        <v>130</v>
      </c>
      <c r="R97" s="148" t="s">
        <v>286</v>
      </c>
      <c r="S97" s="148" t="s">
        <v>118</v>
      </c>
      <c r="T97" s="148" t="s">
        <v>279</v>
      </c>
      <c r="U97" s="148" t="s">
        <v>148</v>
      </c>
      <c r="V97" s="145">
        <f t="shared" si="19"/>
        <v>90</v>
      </c>
      <c r="W97" s="149"/>
      <c r="X97" s="145">
        <f t="shared" si="20"/>
        <v>168</v>
      </c>
    </row>
    <row r="98" spans="1:24">
      <c r="A98" s="152" t="s">
        <v>1475</v>
      </c>
      <c r="B98" s="153">
        <v>22</v>
      </c>
      <c r="C98" s="154" t="s">
        <v>702</v>
      </c>
      <c r="D98" s="144">
        <v>5</v>
      </c>
      <c r="E98" s="145">
        <v>67</v>
      </c>
      <c r="F98" s="145">
        <v>54</v>
      </c>
      <c r="G98" s="145">
        <v>88</v>
      </c>
      <c r="H98" s="145">
        <v>89</v>
      </c>
      <c r="I98" s="145">
        <v>79</v>
      </c>
      <c r="J98" s="145">
        <f t="shared" si="18"/>
        <v>377</v>
      </c>
      <c r="K98" s="145">
        <v>20</v>
      </c>
      <c r="L98" s="147" t="s">
        <v>124</v>
      </c>
      <c r="M98" s="147" t="s">
        <v>114</v>
      </c>
      <c r="N98" s="147" t="s">
        <v>130</v>
      </c>
      <c r="O98" s="147" t="s">
        <v>130</v>
      </c>
      <c r="P98" s="147" t="s">
        <v>130</v>
      </c>
      <c r="Q98" s="147" t="s">
        <v>124</v>
      </c>
      <c r="R98" s="148" t="s">
        <v>358</v>
      </c>
      <c r="S98" s="148" t="s">
        <v>118</v>
      </c>
      <c r="T98" s="148" t="s">
        <v>133</v>
      </c>
      <c r="U98" s="148" t="s">
        <v>120</v>
      </c>
      <c r="V98" s="145">
        <f t="shared" si="19"/>
        <v>121</v>
      </c>
      <c r="W98" s="149"/>
      <c r="X98" s="145">
        <f t="shared" si="20"/>
        <v>209</v>
      </c>
    </row>
    <row r="99" spans="1:24">
      <c r="A99" s="155"/>
      <c r="B99" s="153">
        <v>799</v>
      </c>
      <c r="C99" s="154" t="s">
        <v>807</v>
      </c>
      <c r="D99" s="144">
        <v>5</v>
      </c>
      <c r="E99" s="145">
        <v>75</v>
      </c>
      <c r="F99" s="145">
        <v>77</v>
      </c>
      <c r="G99" s="145">
        <v>54</v>
      </c>
      <c r="H99" s="145">
        <v>54</v>
      </c>
      <c r="I99" s="145">
        <v>62</v>
      </c>
      <c r="J99" s="145">
        <f t="shared" si="18"/>
        <v>322</v>
      </c>
      <c r="K99" s="145">
        <v>135</v>
      </c>
      <c r="L99" s="147" t="s">
        <v>114</v>
      </c>
      <c r="M99" s="147" t="s">
        <v>130</v>
      </c>
      <c r="N99" s="147" t="s">
        <v>114</v>
      </c>
      <c r="O99" s="147" t="s">
        <v>114</v>
      </c>
      <c r="P99" s="147" t="s">
        <v>130</v>
      </c>
      <c r="Q99" s="147" t="s">
        <v>124</v>
      </c>
      <c r="R99" s="148" t="s">
        <v>194</v>
      </c>
      <c r="S99" s="148" t="s">
        <v>132</v>
      </c>
      <c r="T99" s="148" t="s">
        <v>119</v>
      </c>
      <c r="U99" s="148" t="s">
        <v>126</v>
      </c>
      <c r="V99" s="145">
        <f t="shared" si="19"/>
        <v>152</v>
      </c>
      <c r="W99" s="149"/>
      <c r="X99" s="145">
        <f t="shared" si="20"/>
        <v>206</v>
      </c>
    </row>
    <row r="100" spans="1:24">
      <c r="A100" s="155"/>
      <c r="B100" s="153">
        <v>351</v>
      </c>
      <c r="C100" s="156" t="s">
        <v>891</v>
      </c>
      <c r="D100" s="144">
        <v>6</v>
      </c>
      <c r="E100" s="145">
        <v>77</v>
      </c>
      <c r="F100" s="145">
        <v>64</v>
      </c>
      <c r="G100" s="145">
        <v>78</v>
      </c>
      <c r="H100" s="145">
        <v>72</v>
      </c>
      <c r="I100" s="145">
        <v>93</v>
      </c>
      <c r="J100" s="145">
        <f t="shared" si="18"/>
        <v>384</v>
      </c>
      <c r="K100" s="145">
        <v>70</v>
      </c>
      <c r="L100" s="147" t="s">
        <v>114</v>
      </c>
      <c r="M100" s="147" t="s">
        <v>130</v>
      </c>
      <c r="N100" s="147" t="s">
        <v>114</v>
      </c>
      <c r="O100" s="147" t="s">
        <v>114</v>
      </c>
      <c r="P100" s="147" t="s">
        <v>114</v>
      </c>
      <c r="Q100" s="147" t="s">
        <v>130</v>
      </c>
      <c r="R100" s="148" t="s">
        <v>172</v>
      </c>
      <c r="S100" s="148" t="s">
        <v>319</v>
      </c>
      <c r="T100" s="148" t="s">
        <v>119</v>
      </c>
      <c r="U100" s="148" t="s">
        <v>120</v>
      </c>
      <c r="V100" s="145">
        <f t="shared" si="19"/>
        <v>141</v>
      </c>
      <c r="W100" s="149"/>
      <c r="X100" s="145">
        <f t="shared" si="20"/>
        <v>219</v>
      </c>
    </row>
    <row r="101" spans="1:24">
      <c r="A101" s="155"/>
      <c r="B101" s="153">
        <v>568</v>
      </c>
      <c r="C101" s="156" t="s">
        <v>442</v>
      </c>
      <c r="D101" s="144">
        <v>2</v>
      </c>
      <c r="E101" s="145">
        <v>54</v>
      </c>
      <c r="F101" s="145">
        <v>55</v>
      </c>
      <c r="G101" s="145">
        <v>79</v>
      </c>
      <c r="H101" s="145">
        <v>65</v>
      </c>
      <c r="I101" s="145">
        <v>72</v>
      </c>
      <c r="J101" s="145">
        <f t="shared" si="18"/>
        <v>325</v>
      </c>
      <c r="K101" s="145">
        <v>100</v>
      </c>
      <c r="L101" s="147" t="s">
        <v>130</v>
      </c>
      <c r="M101" s="147" t="s">
        <v>130</v>
      </c>
      <c r="N101" s="147" t="s">
        <v>114</v>
      </c>
      <c r="O101" s="147" t="s">
        <v>124</v>
      </c>
      <c r="P101" s="147" t="s">
        <v>124</v>
      </c>
      <c r="Q101" s="147" t="s">
        <v>115</v>
      </c>
      <c r="R101" s="148" t="s">
        <v>245</v>
      </c>
      <c r="S101" s="148" t="s">
        <v>132</v>
      </c>
      <c r="T101" s="148" t="s">
        <v>119</v>
      </c>
      <c r="U101" s="148" t="s">
        <v>148</v>
      </c>
      <c r="V101" s="145">
        <f t="shared" si="19"/>
        <v>109</v>
      </c>
      <c r="W101" s="149"/>
      <c r="X101" s="145">
        <f t="shared" si="20"/>
        <v>188</v>
      </c>
    </row>
    <row r="102" spans="1:24">
      <c r="A102" s="155"/>
      <c r="B102" s="153">
        <v>155</v>
      </c>
      <c r="C102" s="154" t="s">
        <v>600</v>
      </c>
      <c r="D102" s="144">
        <v>3</v>
      </c>
      <c r="E102" s="145">
        <v>50</v>
      </c>
      <c r="F102" s="145">
        <v>43</v>
      </c>
      <c r="G102" s="145">
        <v>80</v>
      </c>
      <c r="H102" s="145">
        <v>89</v>
      </c>
      <c r="I102" s="145">
        <v>29</v>
      </c>
      <c r="J102" s="145">
        <f t="shared" si="18"/>
        <v>291</v>
      </c>
      <c r="K102" s="145">
        <v>74</v>
      </c>
      <c r="L102" s="147" t="s">
        <v>124</v>
      </c>
      <c r="M102" s="147" t="s">
        <v>130</v>
      </c>
      <c r="N102" s="147" t="s">
        <v>130</v>
      </c>
      <c r="O102" s="147" t="s">
        <v>124</v>
      </c>
      <c r="P102" s="147" t="s">
        <v>124</v>
      </c>
      <c r="Q102" s="147" t="s">
        <v>124</v>
      </c>
      <c r="R102" s="148" t="s">
        <v>205</v>
      </c>
      <c r="S102" s="148" t="s">
        <v>118</v>
      </c>
      <c r="T102" s="148" t="s">
        <v>119</v>
      </c>
      <c r="U102" s="148" t="s">
        <v>126</v>
      </c>
      <c r="V102" s="145">
        <f t="shared" si="19"/>
        <v>93</v>
      </c>
      <c r="W102" s="149"/>
      <c r="X102" s="145">
        <f t="shared" si="20"/>
        <v>173</v>
      </c>
    </row>
    <row r="103" spans="1:24">
      <c r="A103" s="155"/>
      <c r="B103" s="153">
        <v>25</v>
      </c>
      <c r="C103" s="154" t="s">
        <v>685</v>
      </c>
      <c r="D103" s="144">
        <v>2</v>
      </c>
      <c r="E103" s="145">
        <v>62</v>
      </c>
      <c r="F103" s="145">
        <v>52</v>
      </c>
      <c r="G103" s="145">
        <v>83</v>
      </c>
      <c r="H103" s="145">
        <v>78</v>
      </c>
      <c r="I103" s="145">
        <v>81</v>
      </c>
      <c r="J103" s="145">
        <f t="shared" si="18"/>
        <v>356</v>
      </c>
      <c r="K103" s="145">
        <v>21</v>
      </c>
      <c r="L103" s="147" t="s">
        <v>124</v>
      </c>
      <c r="M103" s="147" t="s">
        <v>124</v>
      </c>
      <c r="N103" s="147" t="s">
        <v>130</v>
      </c>
      <c r="O103" s="147" t="s">
        <v>124</v>
      </c>
      <c r="P103" s="147" t="s">
        <v>130</v>
      </c>
      <c r="Q103" s="147" t="s">
        <v>124</v>
      </c>
      <c r="R103" s="148" t="s">
        <v>686</v>
      </c>
      <c r="S103" s="148" t="s">
        <v>118</v>
      </c>
      <c r="T103" s="148" t="s">
        <v>119</v>
      </c>
      <c r="U103" s="148" t="s">
        <v>120</v>
      </c>
      <c r="V103" s="145">
        <f t="shared" si="19"/>
        <v>114</v>
      </c>
      <c r="W103" s="149"/>
      <c r="X103" s="145">
        <f t="shared" si="20"/>
        <v>197</v>
      </c>
    </row>
    <row r="104" spans="1:24">
      <c r="A104" s="155"/>
      <c r="B104" s="153">
        <v>784</v>
      </c>
      <c r="C104" s="154" t="s">
        <v>796</v>
      </c>
      <c r="D104" s="144">
        <v>8</v>
      </c>
      <c r="E104" s="145">
        <v>79</v>
      </c>
      <c r="F104" s="145">
        <v>89</v>
      </c>
      <c r="G104" s="145">
        <v>55</v>
      </c>
      <c r="H104" s="145">
        <v>51</v>
      </c>
      <c r="I104" s="145">
        <v>64</v>
      </c>
      <c r="J104" s="145">
        <f t="shared" si="18"/>
        <v>338</v>
      </c>
      <c r="K104" s="145">
        <v>59</v>
      </c>
      <c r="L104" s="147" t="s">
        <v>114</v>
      </c>
      <c r="M104" s="147" t="s">
        <v>130</v>
      </c>
      <c r="N104" s="147" t="s">
        <v>114</v>
      </c>
      <c r="O104" s="147" t="s">
        <v>115</v>
      </c>
      <c r="P104" s="147" t="s">
        <v>130</v>
      </c>
      <c r="Q104" s="147" t="s">
        <v>114</v>
      </c>
      <c r="R104" s="148" t="s">
        <v>577</v>
      </c>
      <c r="S104" s="148" t="s">
        <v>118</v>
      </c>
      <c r="T104" s="148" t="s">
        <v>119</v>
      </c>
      <c r="U104" s="148" t="s">
        <v>126</v>
      </c>
      <c r="V104" s="145">
        <f t="shared" si="19"/>
        <v>168</v>
      </c>
      <c r="W104" s="149"/>
      <c r="X104" s="145">
        <f t="shared" si="20"/>
        <v>223</v>
      </c>
    </row>
    <row r="105" spans="1:24">
      <c r="A105" s="155"/>
      <c r="B105" s="153">
        <v>489</v>
      </c>
      <c r="C105" s="154" t="s">
        <v>982</v>
      </c>
      <c r="D105" s="144">
        <v>10</v>
      </c>
      <c r="E105" s="145">
        <v>65</v>
      </c>
      <c r="F105" s="145">
        <v>98</v>
      </c>
      <c r="G105" s="145">
        <v>50</v>
      </c>
      <c r="H105" s="145">
        <v>31</v>
      </c>
      <c r="I105" s="145">
        <v>69</v>
      </c>
      <c r="J105" s="145">
        <f t="shared" si="18"/>
        <v>313</v>
      </c>
      <c r="K105" s="145">
        <v>41</v>
      </c>
      <c r="L105" s="147" t="s">
        <v>115</v>
      </c>
      <c r="M105" s="147" t="s">
        <v>130</v>
      </c>
      <c r="N105" s="147" t="s">
        <v>124</v>
      </c>
      <c r="O105" s="147" t="s">
        <v>130</v>
      </c>
      <c r="P105" s="147" t="s">
        <v>114</v>
      </c>
      <c r="Q105" s="147" t="s">
        <v>124</v>
      </c>
      <c r="R105" s="148" t="s">
        <v>783</v>
      </c>
      <c r="S105" s="148" t="s">
        <v>118</v>
      </c>
      <c r="T105" s="148" t="s">
        <v>119</v>
      </c>
      <c r="U105" s="148" t="s">
        <v>250</v>
      </c>
      <c r="V105" s="145">
        <f t="shared" si="19"/>
        <v>163</v>
      </c>
      <c r="W105" s="149"/>
      <c r="X105" s="145">
        <f t="shared" si="20"/>
        <v>213</v>
      </c>
    </row>
    <row r="106" spans="1:24">
      <c r="A106" s="152" t="s">
        <v>1476</v>
      </c>
      <c r="B106" s="153">
        <v>466</v>
      </c>
      <c r="C106" s="154" t="s">
        <v>726</v>
      </c>
      <c r="D106" s="144">
        <v>4</v>
      </c>
      <c r="E106" s="145">
        <v>51</v>
      </c>
      <c r="F106" s="145">
        <v>45</v>
      </c>
      <c r="G106" s="145">
        <v>89</v>
      </c>
      <c r="H106" s="145">
        <v>85</v>
      </c>
      <c r="I106" s="145">
        <v>75</v>
      </c>
      <c r="J106" s="145">
        <f t="shared" si="18"/>
        <v>345</v>
      </c>
      <c r="K106" s="145">
        <v>94</v>
      </c>
      <c r="L106" s="147" t="s">
        <v>124</v>
      </c>
      <c r="M106" s="147" t="s">
        <v>124</v>
      </c>
      <c r="N106" s="147" t="s">
        <v>124</v>
      </c>
      <c r="O106" s="147" t="s">
        <v>124</v>
      </c>
      <c r="P106" s="147" t="s">
        <v>130</v>
      </c>
      <c r="Q106" s="147" t="s">
        <v>124</v>
      </c>
      <c r="R106" s="148" t="s">
        <v>499</v>
      </c>
      <c r="S106" s="148" t="s">
        <v>119</v>
      </c>
      <c r="T106" s="148" t="s">
        <v>119</v>
      </c>
      <c r="U106" s="148" t="s">
        <v>120</v>
      </c>
      <c r="V106" s="145">
        <f t="shared" si="19"/>
        <v>96</v>
      </c>
      <c r="W106" s="149"/>
      <c r="X106" s="145">
        <f t="shared" si="20"/>
        <v>185</v>
      </c>
    </row>
    <row r="107" spans="1:24">
      <c r="A107" s="155"/>
      <c r="B107" s="153">
        <v>243</v>
      </c>
      <c r="C107" s="154" t="s">
        <v>921</v>
      </c>
      <c r="D107" s="144">
        <v>4</v>
      </c>
      <c r="E107" s="145">
        <v>78</v>
      </c>
      <c r="F107" s="145">
        <v>83</v>
      </c>
      <c r="G107" s="145">
        <v>68</v>
      </c>
      <c r="H107" s="145">
        <v>72</v>
      </c>
      <c r="I107" s="145">
        <v>82</v>
      </c>
      <c r="J107" s="145">
        <f t="shared" si="18"/>
        <v>383</v>
      </c>
      <c r="K107" s="145">
        <v>140</v>
      </c>
      <c r="L107" s="147" t="s">
        <v>114</v>
      </c>
      <c r="M107" s="147" t="s">
        <v>130</v>
      </c>
      <c r="N107" s="147" t="s">
        <v>114</v>
      </c>
      <c r="O107" s="147" t="s">
        <v>114</v>
      </c>
      <c r="P107" s="147" t="s">
        <v>114</v>
      </c>
      <c r="Q107" s="147" t="s">
        <v>124</v>
      </c>
      <c r="R107" s="148" t="s">
        <v>416</v>
      </c>
      <c r="S107" s="148" t="s">
        <v>119</v>
      </c>
      <c r="T107" s="148" t="s">
        <v>136</v>
      </c>
      <c r="U107" s="148" t="s">
        <v>126</v>
      </c>
      <c r="V107" s="145">
        <f t="shared" si="19"/>
        <v>161</v>
      </c>
      <c r="W107" s="149"/>
      <c r="X107" s="145">
        <f t="shared" si="20"/>
        <v>229</v>
      </c>
    </row>
    <row r="108" spans="1:24">
      <c r="A108" s="155"/>
      <c r="B108" s="153">
        <v>17</v>
      </c>
      <c r="C108" s="154" t="s">
        <v>607</v>
      </c>
      <c r="D108" s="144">
        <v>13</v>
      </c>
      <c r="E108" s="145">
        <v>65</v>
      </c>
      <c r="F108" s="145">
        <v>65</v>
      </c>
      <c r="G108" s="145">
        <v>88</v>
      </c>
      <c r="H108" s="145">
        <v>98</v>
      </c>
      <c r="I108" s="145">
        <v>110</v>
      </c>
      <c r="J108" s="145">
        <f t="shared" si="18"/>
        <v>426</v>
      </c>
      <c r="K108" s="145">
        <v>62</v>
      </c>
      <c r="L108" s="147" t="s">
        <v>124</v>
      </c>
      <c r="M108" s="147" t="s">
        <v>124</v>
      </c>
      <c r="N108" s="147" t="s">
        <v>130</v>
      </c>
      <c r="O108" s="147" t="s">
        <v>124</v>
      </c>
      <c r="P108" s="147" t="s">
        <v>130</v>
      </c>
      <c r="Q108" s="147" t="s">
        <v>124</v>
      </c>
      <c r="R108" s="148" t="s">
        <v>608</v>
      </c>
      <c r="S108" s="148" t="s">
        <v>118</v>
      </c>
      <c r="T108" s="148" t="s">
        <v>136</v>
      </c>
      <c r="U108" s="148" t="s">
        <v>126</v>
      </c>
      <c r="V108" s="145">
        <f t="shared" si="19"/>
        <v>130</v>
      </c>
      <c r="W108" s="149"/>
      <c r="X108" s="145">
        <f t="shared" si="20"/>
        <v>218</v>
      </c>
    </row>
    <row r="109" spans="1:24">
      <c r="A109" s="155"/>
      <c r="B109" s="153">
        <v>580</v>
      </c>
      <c r="C109" s="154" t="s">
        <v>326</v>
      </c>
      <c r="D109" s="144">
        <v>1</v>
      </c>
      <c r="E109" s="145">
        <v>36</v>
      </c>
      <c r="F109" s="145">
        <v>46</v>
      </c>
      <c r="G109" s="145">
        <v>74</v>
      </c>
      <c r="H109" s="145">
        <v>77</v>
      </c>
      <c r="I109" s="145">
        <v>87</v>
      </c>
      <c r="J109" s="145">
        <f t="shared" si="18"/>
        <v>320</v>
      </c>
      <c r="K109" s="145">
        <v>32</v>
      </c>
      <c r="L109" s="147" t="s">
        <v>124</v>
      </c>
      <c r="M109" s="147" t="s">
        <v>124</v>
      </c>
      <c r="N109" s="147" t="s">
        <v>124</v>
      </c>
      <c r="O109" s="147" t="s">
        <v>124</v>
      </c>
      <c r="P109" s="147" t="s">
        <v>124</v>
      </c>
      <c r="Q109" s="147" t="s">
        <v>124</v>
      </c>
      <c r="R109" s="148" t="s">
        <v>286</v>
      </c>
      <c r="S109" s="148" t="s">
        <v>175</v>
      </c>
      <c r="T109" s="148" t="s">
        <v>119</v>
      </c>
      <c r="U109" s="148" t="s">
        <v>148</v>
      </c>
      <c r="V109" s="145">
        <f t="shared" si="19"/>
        <v>82</v>
      </c>
      <c r="W109" s="149"/>
      <c r="X109" s="145">
        <f t="shared" si="20"/>
        <v>156</v>
      </c>
    </row>
    <row r="110" spans="1:24">
      <c r="A110" s="155"/>
      <c r="B110" s="153">
        <v>5</v>
      </c>
      <c r="C110" s="154" t="s">
        <v>951</v>
      </c>
      <c r="D110" s="144">
        <v>7</v>
      </c>
      <c r="E110" s="145">
        <v>80</v>
      </c>
      <c r="F110" s="145">
        <v>64</v>
      </c>
      <c r="G110" s="145">
        <v>80</v>
      </c>
      <c r="H110" s="145">
        <v>79</v>
      </c>
      <c r="I110" s="145">
        <v>76</v>
      </c>
      <c r="J110" s="145">
        <f t="shared" si="18"/>
        <v>379</v>
      </c>
      <c r="K110" s="145">
        <v>66</v>
      </c>
      <c r="L110" s="147" t="s">
        <v>115</v>
      </c>
      <c r="M110" s="147" t="s">
        <v>115</v>
      </c>
      <c r="N110" s="147" t="s">
        <v>114</v>
      </c>
      <c r="O110" s="147" t="s">
        <v>130</v>
      </c>
      <c r="P110" s="147" t="s">
        <v>114</v>
      </c>
      <c r="Q110" s="147" t="s">
        <v>114</v>
      </c>
      <c r="R110" s="148" t="s">
        <v>856</v>
      </c>
      <c r="S110" s="148" t="s">
        <v>132</v>
      </c>
      <c r="T110" s="148" t="s">
        <v>119</v>
      </c>
      <c r="U110" s="148" t="s">
        <v>126</v>
      </c>
      <c r="V110" s="145">
        <f t="shared" si="19"/>
        <v>144</v>
      </c>
      <c r="W110" s="149"/>
      <c r="X110" s="145">
        <f t="shared" si="20"/>
        <v>224</v>
      </c>
    </row>
    <row r="111" spans="1:24">
      <c r="A111" s="155"/>
      <c r="B111" s="153">
        <v>775</v>
      </c>
      <c r="C111" s="154" t="s">
        <v>706</v>
      </c>
      <c r="D111" s="144">
        <v>2</v>
      </c>
      <c r="E111" s="145">
        <v>76</v>
      </c>
      <c r="F111" s="145">
        <v>80</v>
      </c>
      <c r="G111" s="145">
        <v>67</v>
      </c>
      <c r="H111" s="145">
        <v>72</v>
      </c>
      <c r="I111" s="145">
        <v>78</v>
      </c>
      <c r="J111" s="145">
        <f t="shared" si="18"/>
        <v>373</v>
      </c>
      <c r="K111" s="145">
        <v>142</v>
      </c>
      <c r="L111" s="147" t="s">
        <v>114</v>
      </c>
      <c r="M111" s="147" t="s">
        <v>124</v>
      </c>
      <c r="N111" s="147" t="s">
        <v>114</v>
      </c>
      <c r="O111" s="147" t="s">
        <v>114</v>
      </c>
      <c r="P111" s="147" t="s">
        <v>130</v>
      </c>
      <c r="Q111" s="147" t="s">
        <v>130</v>
      </c>
      <c r="R111" s="149"/>
      <c r="S111" s="148" t="s">
        <v>132</v>
      </c>
      <c r="T111" s="148" t="s">
        <v>119</v>
      </c>
      <c r="U111" s="148" t="s">
        <v>126</v>
      </c>
      <c r="V111" s="145">
        <f t="shared" si="19"/>
        <v>156</v>
      </c>
      <c r="W111" s="149"/>
      <c r="X111" s="145">
        <f t="shared" si="20"/>
        <v>223</v>
      </c>
    </row>
    <row r="112" spans="1:24">
      <c r="A112" s="155"/>
      <c r="B112" s="153">
        <v>313</v>
      </c>
      <c r="C112" s="154" t="s">
        <v>573</v>
      </c>
      <c r="D112" s="144">
        <v>4</v>
      </c>
      <c r="E112" s="145">
        <v>72</v>
      </c>
      <c r="F112" s="145">
        <v>81</v>
      </c>
      <c r="G112" s="145">
        <v>50</v>
      </c>
      <c r="H112" s="145">
        <v>35</v>
      </c>
      <c r="I112" s="145">
        <v>46</v>
      </c>
      <c r="J112" s="145">
        <f t="shared" si="18"/>
        <v>284</v>
      </c>
      <c r="K112" s="145">
        <v>131</v>
      </c>
      <c r="L112" s="147" t="s">
        <v>114</v>
      </c>
      <c r="M112" s="147" t="s">
        <v>114</v>
      </c>
      <c r="N112" s="147" t="s">
        <v>130</v>
      </c>
      <c r="O112" s="147" t="s">
        <v>114</v>
      </c>
      <c r="P112" s="147" t="s">
        <v>124</v>
      </c>
      <c r="Q112" s="147" t="s">
        <v>124</v>
      </c>
      <c r="R112" s="148" t="s">
        <v>321</v>
      </c>
      <c r="S112" s="148" t="s">
        <v>132</v>
      </c>
      <c r="T112" s="148" t="s">
        <v>119</v>
      </c>
      <c r="U112" s="148" t="s">
        <v>250</v>
      </c>
      <c r="V112" s="145">
        <f t="shared" si="19"/>
        <v>153</v>
      </c>
      <c r="W112" s="149"/>
      <c r="X112" s="145">
        <f t="shared" si="20"/>
        <v>203</v>
      </c>
    </row>
    <row r="113" spans="1:24">
      <c r="A113" s="152" t="s">
        <v>1477</v>
      </c>
      <c r="B113" s="153">
        <v>583</v>
      </c>
      <c r="C113" s="156" t="s">
        <v>646</v>
      </c>
      <c r="D113" s="144">
        <v>11</v>
      </c>
      <c r="E113" s="145">
        <v>44</v>
      </c>
      <c r="F113" s="145">
        <v>38</v>
      </c>
      <c r="G113" s="145">
        <v>87</v>
      </c>
      <c r="H113" s="145">
        <v>95</v>
      </c>
      <c r="I113" s="145">
        <v>88</v>
      </c>
      <c r="J113" s="145">
        <f t="shared" si="18"/>
        <v>352</v>
      </c>
      <c r="K113" s="145">
        <v>76</v>
      </c>
      <c r="L113" s="147" t="s">
        <v>124</v>
      </c>
      <c r="M113" s="147" t="s">
        <v>124</v>
      </c>
      <c r="N113" s="147" t="s">
        <v>124</v>
      </c>
      <c r="O113" s="147" t="s">
        <v>124</v>
      </c>
      <c r="P113" s="147" t="s">
        <v>130</v>
      </c>
      <c r="Q113" s="147" t="s">
        <v>114</v>
      </c>
      <c r="R113" s="148" t="s">
        <v>302</v>
      </c>
      <c r="S113" s="148" t="s">
        <v>118</v>
      </c>
      <c r="T113" s="148" t="s">
        <v>119</v>
      </c>
      <c r="U113" s="148" t="s">
        <v>120</v>
      </c>
      <c r="V113" s="145">
        <f t="shared" si="19"/>
        <v>82</v>
      </c>
      <c r="W113" s="149"/>
      <c r="X113" s="145">
        <f t="shared" si="20"/>
        <v>169</v>
      </c>
    </row>
    <row r="114" spans="1:24">
      <c r="A114" s="155"/>
      <c r="B114" s="153">
        <v>682</v>
      </c>
      <c r="C114" s="154" t="s">
        <v>591</v>
      </c>
      <c r="D114" s="144">
        <v>12</v>
      </c>
      <c r="E114" s="145">
        <v>70</v>
      </c>
      <c r="F114" s="145">
        <v>92</v>
      </c>
      <c r="G114" s="145">
        <v>37</v>
      </c>
      <c r="H114" s="145">
        <v>23</v>
      </c>
      <c r="I114" s="145">
        <v>36</v>
      </c>
      <c r="J114" s="145">
        <f t="shared" si="18"/>
        <v>258</v>
      </c>
      <c r="K114" s="145">
        <v>86</v>
      </c>
      <c r="L114" s="147" t="s">
        <v>114</v>
      </c>
      <c r="M114" s="147" t="s">
        <v>114</v>
      </c>
      <c r="N114" s="147" t="s">
        <v>114</v>
      </c>
      <c r="O114" s="147" t="s">
        <v>130</v>
      </c>
      <c r="P114" s="147" t="s">
        <v>124</v>
      </c>
      <c r="Q114" s="147" t="s">
        <v>130</v>
      </c>
      <c r="R114" s="148" t="s">
        <v>592</v>
      </c>
      <c r="S114" s="148" t="s">
        <v>132</v>
      </c>
      <c r="T114" s="148" t="s">
        <v>119</v>
      </c>
      <c r="U114" s="148" t="s">
        <v>250</v>
      </c>
      <c r="V114" s="145">
        <f t="shared" si="19"/>
        <v>162</v>
      </c>
      <c r="W114" s="149"/>
      <c r="X114" s="145">
        <f t="shared" si="20"/>
        <v>199</v>
      </c>
    </row>
    <row r="115" spans="1:24">
      <c r="A115" s="155"/>
      <c r="B115" s="153">
        <v>512</v>
      </c>
      <c r="C115" s="154" t="s">
        <v>629</v>
      </c>
      <c r="D115" s="144">
        <v>3</v>
      </c>
      <c r="E115" s="145">
        <v>72</v>
      </c>
      <c r="F115" s="145">
        <v>58</v>
      </c>
      <c r="G115" s="145">
        <v>75</v>
      </c>
      <c r="H115" s="145">
        <v>79</v>
      </c>
      <c r="I115" s="145">
        <v>93</v>
      </c>
      <c r="J115" s="145">
        <f t="shared" si="18"/>
        <v>377</v>
      </c>
      <c r="K115" s="145">
        <v>46</v>
      </c>
      <c r="L115" s="147" t="s">
        <v>130</v>
      </c>
      <c r="M115" s="147" t="s">
        <v>114</v>
      </c>
      <c r="N115" s="147" t="s">
        <v>114</v>
      </c>
      <c r="O115" s="147" t="s">
        <v>124</v>
      </c>
      <c r="P115" s="147" t="s">
        <v>130</v>
      </c>
      <c r="Q115" s="147" t="s">
        <v>124</v>
      </c>
      <c r="R115" s="148" t="s">
        <v>314</v>
      </c>
      <c r="S115" s="148" t="s">
        <v>118</v>
      </c>
      <c r="T115" s="148" t="s">
        <v>119</v>
      </c>
      <c r="U115" s="148" t="s">
        <v>126</v>
      </c>
      <c r="V115" s="145">
        <f t="shared" si="19"/>
        <v>130</v>
      </c>
      <c r="W115" s="149"/>
      <c r="X115" s="145">
        <f t="shared" si="20"/>
        <v>205</v>
      </c>
    </row>
    <row r="116" spans="1:24">
      <c r="A116" s="155"/>
      <c r="B116" s="153">
        <v>797</v>
      </c>
      <c r="C116" s="154" t="s">
        <v>310</v>
      </c>
      <c r="D116" s="144">
        <v>4</v>
      </c>
      <c r="E116" s="145">
        <v>67</v>
      </c>
      <c r="F116" s="145">
        <v>72</v>
      </c>
      <c r="G116" s="145">
        <v>71</v>
      </c>
      <c r="H116" s="145">
        <v>74</v>
      </c>
      <c r="I116" s="145">
        <v>90</v>
      </c>
      <c r="J116" s="145">
        <f t="shared" si="18"/>
        <v>374</v>
      </c>
      <c r="K116" s="145">
        <v>92</v>
      </c>
      <c r="L116" s="147" t="s">
        <v>124</v>
      </c>
      <c r="M116" s="147" t="s">
        <v>130</v>
      </c>
      <c r="N116" s="147" t="s">
        <v>114</v>
      </c>
      <c r="O116" s="147" t="s">
        <v>130</v>
      </c>
      <c r="P116" s="147" t="s">
        <v>124</v>
      </c>
      <c r="Q116" s="147" t="s">
        <v>114</v>
      </c>
      <c r="R116" s="148" t="s">
        <v>311</v>
      </c>
      <c r="S116" s="148" t="s">
        <v>118</v>
      </c>
      <c r="T116" s="148" t="s">
        <v>119</v>
      </c>
      <c r="U116" s="148" t="s">
        <v>126</v>
      </c>
      <c r="V116" s="145">
        <f t="shared" si="19"/>
        <v>139</v>
      </c>
      <c r="W116" s="149"/>
      <c r="X116" s="145">
        <f t="shared" si="20"/>
        <v>210</v>
      </c>
    </row>
    <row r="117" spans="1:24">
      <c r="A117" s="155"/>
      <c r="B117" s="153">
        <v>215</v>
      </c>
      <c r="C117" s="154" t="s">
        <v>1052</v>
      </c>
      <c r="D117" s="144">
        <v>12</v>
      </c>
      <c r="E117" s="145">
        <v>84</v>
      </c>
      <c r="F117" s="145">
        <v>74</v>
      </c>
      <c r="G117" s="145">
        <v>55</v>
      </c>
      <c r="H117" s="145">
        <v>27</v>
      </c>
      <c r="I117" s="145">
        <v>32</v>
      </c>
      <c r="J117" s="145">
        <f t="shared" si="18"/>
        <v>272</v>
      </c>
      <c r="K117" s="145">
        <v>94</v>
      </c>
      <c r="L117" s="147" t="s">
        <v>114</v>
      </c>
      <c r="M117" s="147" t="s">
        <v>115</v>
      </c>
      <c r="N117" s="147" t="s">
        <v>114</v>
      </c>
      <c r="O117" s="147" t="s">
        <v>130</v>
      </c>
      <c r="P117" s="147" t="s">
        <v>114</v>
      </c>
      <c r="Q117" s="147" t="s">
        <v>114</v>
      </c>
      <c r="R117" s="148" t="s">
        <v>160</v>
      </c>
      <c r="S117" s="148" t="s">
        <v>119</v>
      </c>
      <c r="T117" s="148" t="s">
        <v>119</v>
      </c>
      <c r="U117" s="148" t="s">
        <v>126</v>
      </c>
      <c r="V117" s="145">
        <f t="shared" si="19"/>
        <v>158</v>
      </c>
      <c r="W117" s="149"/>
      <c r="X117" s="145">
        <f t="shared" si="20"/>
        <v>213</v>
      </c>
    </row>
    <row r="118" spans="1:24">
      <c r="A118" s="152" t="s">
        <v>1478</v>
      </c>
      <c r="B118" s="153">
        <v>123</v>
      </c>
      <c r="C118" s="154" t="s">
        <v>843</v>
      </c>
      <c r="D118" s="144">
        <v>6</v>
      </c>
      <c r="E118" s="145">
        <v>73</v>
      </c>
      <c r="F118" s="145">
        <v>90</v>
      </c>
      <c r="G118" s="145">
        <v>43</v>
      </c>
      <c r="H118" s="145">
        <v>58</v>
      </c>
      <c r="I118" s="145">
        <v>52</v>
      </c>
      <c r="J118" s="145">
        <f t="shared" si="18"/>
        <v>316</v>
      </c>
      <c r="K118" s="145">
        <v>68</v>
      </c>
      <c r="L118" s="147" t="s">
        <v>114</v>
      </c>
      <c r="M118" s="147" t="s">
        <v>124</v>
      </c>
      <c r="N118" s="147" t="s">
        <v>130</v>
      </c>
      <c r="O118" s="147" t="s">
        <v>114</v>
      </c>
      <c r="P118" s="147" t="s">
        <v>130</v>
      </c>
      <c r="Q118" s="147" t="s">
        <v>124</v>
      </c>
      <c r="R118" s="148" t="s">
        <v>404</v>
      </c>
      <c r="S118" s="148" t="s">
        <v>132</v>
      </c>
      <c r="T118" s="148" t="s">
        <v>119</v>
      </c>
      <c r="U118" s="148" t="s">
        <v>250</v>
      </c>
      <c r="V118" s="145">
        <f t="shared" si="19"/>
        <v>163</v>
      </c>
      <c r="W118" s="149"/>
      <c r="X118" s="145">
        <f t="shared" si="20"/>
        <v>206</v>
      </c>
    </row>
    <row r="119" spans="1:24">
      <c r="A119" s="155"/>
      <c r="B119" s="153">
        <v>469</v>
      </c>
      <c r="C119" s="154" t="s">
        <v>651</v>
      </c>
      <c r="D119" s="144">
        <v>2</v>
      </c>
      <c r="E119" s="145">
        <v>65</v>
      </c>
      <c r="F119" s="145">
        <v>61</v>
      </c>
      <c r="G119" s="145">
        <v>76</v>
      </c>
      <c r="H119" s="145">
        <v>84</v>
      </c>
      <c r="I119" s="145">
        <v>87</v>
      </c>
      <c r="J119" s="145">
        <f t="shared" si="18"/>
        <v>373</v>
      </c>
      <c r="K119" s="145">
        <v>63</v>
      </c>
      <c r="L119" s="147" t="s">
        <v>130</v>
      </c>
      <c r="M119" s="147" t="s">
        <v>130</v>
      </c>
      <c r="N119" s="147" t="s">
        <v>114</v>
      </c>
      <c r="O119" s="147" t="s">
        <v>124</v>
      </c>
      <c r="P119" s="147" t="s">
        <v>130</v>
      </c>
      <c r="Q119" s="147" t="s">
        <v>130</v>
      </c>
      <c r="R119" s="148" t="s">
        <v>414</v>
      </c>
      <c r="S119" s="148" t="s">
        <v>132</v>
      </c>
      <c r="T119" s="148" t="s">
        <v>119</v>
      </c>
      <c r="U119" s="148" t="s">
        <v>120</v>
      </c>
      <c r="V119" s="145">
        <f t="shared" si="19"/>
        <v>126</v>
      </c>
      <c r="W119" s="149"/>
      <c r="X119" s="145">
        <f t="shared" si="20"/>
        <v>202</v>
      </c>
    </row>
    <row r="120" spans="1:24">
      <c r="A120" s="155"/>
      <c r="B120" s="153">
        <v>272</v>
      </c>
      <c r="C120" s="154" t="s">
        <v>304</v>
      </c>
      <c r="D120" s="144">
        <v>12</v>
      </c>
      <c r="E120" s="145">
        <v>69</v>
      </c>
      <c r="F120" s="145">
        <v>57</v>
      </c>
      <c r="G120" s="145">
        <v>84</v>
      </c>
      <c r="H120" s="145">
        <v>93</v>
      </c>
      <c r="I120" s="145">
        <v>91</v>
      </c>
      <c r="J120" s="145">
        <f t="shared" si="18"/>
        <v>394</v>
      </c>
      <c r="K120" s="145">
        <v>64</v>
      </c>
      <c r="L120" s="147" t="s">
        <v>114</v>
      </c>
      <c r="M120" s="147" t="s">
        <v>114</v>
      </c>
      <c r="N120" s="147" t="s">
        <v>114</v>
      </c>
      <c r="O120" s="147" t="s">
        <v>124</v>
      </c>
      <c r="P120" s="147" t="s">
        <v>124</v>
      </c>
      <c r="Q120" s="147" t="s">
        <v>124</v>
      </c>
      <c r="R120" s="148" t="s">
        <v>268</v>
      </c>
      <c r="S120" s="148" t="s">
        <v>132</v>
      </c>
      <c r="T120" s="148" t="s">
        <v>136</v>
      </c>
      <c r="U120" s="148" t="s">
        <v>126</v>
      </c>
      <c r="V120" s="145">
        <f t="shared" si="19"/>
        <v>126</v>
      </c>
      <c r="W120" s="149"/>
      <c r="X120" s="145">
        <f t="shared" si="20"/>
        <v>210</v>
      </c>
    </row>
    <row r="121" spans="1:24">
      <c r="A121" s="155"/>
      <c r="B121" s="153">
        <v>449</v>
      </c>
      <c r="C121" s="154" t="s">
        <v>793</v>
      </c>
      <c r="D121" s="144">
        <v>4</v>
      </c>
      <c r="E121" s="145">
        <v>74</v>
      </c>
      <c r="F121" s="145">
        <v>82</v>
      </c>
      <c r="G121" s="145">
        <v>53</v>
      </c>
      <c r="H121" s="145">
        <v>73</v>
      </c>
      <c r="I121" s="145">
        <v>65</v>
      </c>
      <c r="J121" s="145">
        <f t="shared" si="18"/>
        <v>347</v>
      </c>
      <c r="K121" s="145">
        <v>14</v>
      </c>
      <c r="L121" s="147" t="s">
        <v>130</v>
      </c>
      <c r="M121" s="147" t="s">
        <v>114</v>
      </c>
      <c r="N121" s="147" t="s">
        <v>114</v>
      </c>
      <c r="O121" s="147" t="s">
        <v>130</v>
      </c>
      <c r="P121" s="147" t="s">
        <v>130</v>
      </c>
      <c r="Q121" s="147" t="s">
        <v>124</v>
      </c>
      <c r="R121" s="148" t="s">
        <v>155</v>
      </c>
      <c r="S121" s="148" t="s">
        <v>118</v>
      </c>
      <c r="T121" s="148" t="s">
        <v>133</v>
      </c>
      <c r="U121" s="148" t="s">
        <v>126</v>
      </c>
      <c r="V121" s="145">
        <f t="shared" si="19"/>
        <v>156</v>
      </c>
      <c r="W121" s="149"/>
      <c r="X121" s="145">
        <f t="shared" si="20"/>
        <v>209</v>
      </c>
    </row>
    <row r="122" spans="1:24">
      <c r="A122" s="155"/>
      <c r="B122" s="153">
        <v>190</v>
      </c>
      <c r="C122" s="154" t="s">
        <v>948</v>
      </c>
      <c r="D122" s="144">
        <v>6</v>
      </c>
      <c r="E122" s="145">
        <v>82</v>
      </c>
      <c r="F122" s="145">
        <v>63</v>
      </c>
      <c r="G122" s="145">
        <v>87</v>
      </c>
      <c r="H122" s="145">
        <v>78</v>
      </c>
      <c r="I122" s="145">
        <v>77</v>
      </c>
      <c r="J122" s="145">
        <f t="shared" si="18"/>
        <v>387</v>
      </c>
      <c r="K122" s="145">
        <v>70</v>
      </c>
      <c r="L122" s="147" t="s">
        <v>114</v>
      </c>
      <c r="M122" s="147" t="s">
        <v>115</v>
      </c>
      <c r="N122" s="147" t="s">
        <v>114</v>
      </c>
      <c r="O122" s="147" t="s">
        <v>130</v>
      </c>
      <c r="P122" s="147" t="s">
        <v>114</v>
      </c>
      <c r="Q122" s="147" t="s">
        <v>130</v>
      </c>
      <c r="R122" s="148" t="s">
        <v>286</v>
      </c>
      <c r="S122" s="148" t="s">
        <v>132</v>
      </c>
      <c r="T122" s="148" t="s">
        <v>119</v>
      </c>
      <c r="U122" s="148" t="s">
        <v>126</v>
      </c>
      <c r="V122" s="145">
        <f t="shared" si="19"/>
        <v>145</v>
      </c>
      <c r="W122" s="149"/>
      <c r="X122" s="145">
        <f t="shared" si="20"/>
        <v>232</v>
      </c>
    </row>
    <row r="123" spans="1:24">
      <c r="A123" s="155"/>
      <c r="B123" s="153">
        <v>268</v>
      </c>
      <c r="C123" s="154" t="s">
        <v>861</v>
      </c>
      <c r="D123" s="144">
        <v>5</v>
      </c>
      <c r="E123" s="145">
        <v>74</v>
      </c>
      <c r="F123" s="145">
        <v>82</v>
      </c>
      <c r="G123" s="145">
        <v>48</v>
      </c>
      <c r="H123" s="145">
        <v>43</v>
      </c>
      <c r="I123" s="145">
        <v>45</v>
      </c>
      <c r="J123" s="145">
        <f t="shared" si="18"/>
        <v>292</v>
      </c>
      <c r="K123" s="145">
        <v>111</v>
      </c>
      <c r="L123" s="147" t="s">
        <v>130</v>
      </c>
      <c r="M123" s="147" t="s">
        <v>130</v>
      </c>
      <c r="N123" s="147" t="s">
        <v>114</v>
      </c>
      <c r="O123" s="147" t="s">
        <v>124</v>
      </c>
      <c r="P123" s="147" t="s">
        <v>130</v>
      </c>
      <c r="Q123" s="147" t="s">
        <v>115</v>
      </c>
      <c r="R123" s="148" t="s">
        <v>186</v>
      </c>
      <c r="S123" s="148" t="s">
        <v>119</v>
      </c>
      <c r="T123" s="148" t="s">
        <v>119</v>
      </c>
      <c r="U123" s="148" t="s">
        <v>126</v>
      </c>
      <c r="V123" s="145">
        <f t="shared" si="19"/>
        <v>156</v>
      </c>
      <c r="W123" s="149"/>
      <c r="X123" s="145">
        <f t="shared" si="20"/>
        <v>204</v>
      </c>
    </row>
    <row r="124" spans="1:24">
      <c r="A124" s="152" t="s">
        <v>1479</v>
      </c>
      <c r="B124" s="153">
        <v>183</v>
      </c>
      <c r="C124" s="156" t="s">
        <v>293</v>
      </c>
      <c r="D124" s="144">
        <v>11</v>
      </c>
      <c r="E124" s="145">
        <v>85</v>
      </c>
      <c r="F124" s="145">
        <v>80</v>
      </c>
      <c r="G124" s="145">
        <v>83</v>
      </c>
      <c r="H124" s="145">
        <v>85</v>
      </c>
      <c r="I124" s="145">
        <v>93</v>
      </c>
      <c r="J124" s="145">
        <f t="shared" si="18"/>
        <v>426</v>
      </c>
      <c r="K124" s="145">
        <v>52</v>
      </c>
      <c r="L124" s="147" t="s">
        <v>114</v>
      </c>
      <c r="M124" s="147" t="s">
        <v>115</v>
      </c>
      <c r="N124" s="147" t="s">
        <v>114</v>
      </c>
      <c r="O124" s="147" t="s">
        <v>114</v>
      </c>
      <c r="P124" s="147" t="s">
        <v>124</v>
      </c>
      <c r="Q124" s="147" t="s">
        <v>124</v>
      </c>
      <c r="R124" s="148" t="s">
        <v>294</v>
      </c>
      <c r="S124" s="148" t="s">
        <v>132</v>
      </c>
      <c r="T124" s="148" t="s">
        <v>119</v>
      </c>
      <c r="U124" s="148" t="s">
        <v>120</v>
      </c>
      <c r="V124" s="145">
        <f t="shared" si="19"/>
        <v>165</v>
      </c>
      <c r="W124" s="149"/>
      <c r="X124" s="145">
        <f t="shared" si="20"/>
        <v>248</v>
      </c>
    </row>
    <row r="125" spans="1:24">
      <c r="A125" s="155"/>
      <c r="B125" s="153">
        <v>18</v>
      </c>
      <c r="C125" s="154" t="s">
        <v>929</v>
      </c>
      <c r="D125" s="144">
        <v>4</v>
      </c>
      <c r="E125" s="145">
        <v>73</v>
      </c>
      <c r="F125" s="145">
        <v>67</v>
      </c>
      <c r="G125" s="145">
        <v>65</v>
      </c>
      <c r="H125" s="145">
        <v>72</v>
      </c>
      <c r="I125" s="145">
        <v>80</v>
      </c>
      <c r="J125" s="145">
        <f t="shared" si="18"/>
        <v>357</v>
      </c>
      <c r="K125" s="145">
        <v>67</v>
      </c>
      <c r="L125" s="147" t="s">
        <v>124</v>
      </c>
      <c r="M125" s="147" t="s">
        <v>130</v>
      </c>
      <c r="N125" s="147" t="s">
        <v>115</v>
      </c>
      <c r="O125" s="147" t="s">
        <v>124</v>
      </c>
      <c r="P125" s="147" t="s">
        <v>114</v>
      </c>
      <c r="Q125" s="147" t="s">
        <v>124</v>
      </c>
      <c r="R125" s="148" t="s">
        <v>200</v>
      </c>
      <c r="S125" s="148" t="s">
        <v>119</v>
      </c>
      <c r="T125" s="148" t="s">
        <v>145</v>
      </c>
      <c r="U125" s="148" t="s">
        <v>126</v>
      </c>
      <c r="V125" s="145">
        <f t="shared" si="19"/>
        <v>140</v>
      </c>
      <c r="W125" s="149"/>
      <c r="X125" s="145">
        <f t="shared" si="20"/>
        <v>205</v>
      </c>
    </row>
    <row r="126" spans="1:24">
      <c r="A126" s="155"/>
      <c r="B126" s="153">
        <v>501</v>
      </c>
      <c r="C126" s="154" t="s">
        <v>927</v>
      </c>
      <c r="D126" s="144">
        <v>8</v>
      </c>
      <c r="E126" s="145">
        <v>87</v>
      </c>
      <c r="F126" s="145">
        <v>35</v>
      </c>
      <c r="G126" s="145">
        <v>83</v>
      </c>
      <c r="H126" s="145">
        <v>84</v>
      </c>
      <c r="I126" s="145">
        <v>81</v>
      </c>
      <c r="J126" s="145">
        <f t="shared" si="18"/>
        <v>370</v>
      </c>
      <c r="K126" s="145">
        <v>28</v>
      </c>
      <c r="L126" s="147" t="s">
        <v>114</v>
      </c>
      <c r="M126" s="147" t="s">
        <v>130</v>
      </c>
      <c r="N126" s="147" t="s">
        <v>115</v>
      </c>
      <c r="O126" s="147" t="s">
        <v>124</v>
      </c>
      <c r="P126" s="147" t="s">
        <v>114</v>
      </c>
      <c r="Q126" s="147" t="s">
        <v>115</v>
      </c>
      <c r="R126" s="148" t="s">
        <v>318</v>
      </c>
      <c r="S126" s="148" t="s">
        <v>132</v>
      </c>
      <c r="T126" s="148" t="s">
        <v>119</v>
      </c>
      <c r="U126" s="148" t="s">
        <v>126</v>
      </c>
      <c r="V126" s="145">
        <f t="shared" si="19"/>
        <v>122</v>
      </c>
      <c r="W126" s="149"/>
      <c r="X126" s="145">
        <f t="shared" si="20"/>
        <v>205</v>
      </c>
    </row>
    <row r="127" spans="1:24">
      <c r="A127" s="155"/>
      <c r="B127" s="153">
        <v>141</v>
      </c>
      <c r="C127" s="154" t="s">
        <v>708</v>
      </c>
      <c r="D127" s="144">
        <v>7</v>
      </c>
      <c r="E127" s="145">
        <v>68</v>
      </c>
      <c r="F127" s="145">
        <v>71</v>
      </c>
      <c r="G127" s="145">
        <v>84</v>
      </c>
      <c r="H127" s="145">
        <v>106</v>
      </c>
      <c r="I127" s="145">
        <v>78</v>
      </c>
      <c r="J127" s="145">
        <f t="shared" si="18"/>
        <v>407</v>
      </c>
      <c r="K127" s="145">
        <v>75</v>
      </c>
      <c r="L127" s="147" t="s">
        <v>130</v>
      </c>
      <c r="M127" s="147" t="s">
        <v>130</v>
      </c>
      <c r="N127" s="147" t="s">
        <v>130</v>
      </c>
      <c r="O127" s="147" t="s">
        <v>130</v>
      </c>
      <c r="P127" s="147" t="s">
        <v>130</v>
      </c>
      <c r="Q127" s="147" t="s">
        <v>130</v>
      </c>
      <c r="R127" s="148" t="s">
        <v>474</v>
      </c>
      <c r="S127" s="148" t="s">
        <v>132</v>
      </c>
      <c r="T127" s="148" t="s">
        <v>145</v>
      </c>
      <c r="U127" s="148" t="s">
        <v>126</v>
      </c>
      <c r="V127" s="145">
        <f t="shared" si="19"/>
        <v>139</v>
      </c>
      <c r="W127" s="149"/>
      <c r="X127" s="145">
        <f t="shared" si="20"/>
        <v>223</v>
      </c>
    </row>
    <row r="128" spans="1:24">
      <c r="A128" s="155"/>
      <c r="B128" s="153">
        <v>433</v>
      </c>
      <c r="C128" s="154" t="s">
        <v>394</v>
      </c>
      <c r="D128" s="144">
        <v>5</v>
      </c>
      <c r="E128" s="145">
        <v>42</v>
      </c>
      <c r="F128" s="145">
        <v>71</v>
      </c>
      <c r="G128" s="145">
        <v>72</v>
      </c>
      <c r="H128" s="145">
        <v>89</v>
      </c>
      <c r="I128" s="145">
        <v>78</v>
      </c>
      <c r="J128" s="145">
        <f t="shared" ref="J128:J159" si="21">SUM(E128:I128)</f>
        <v>352</v>
      </c>
      <c r="K128" s="145">
        <v>4</v>
      </c>
      <c r="L128" s="147" t="s">
        <v>124</v>
      </c>
      <c r="M128" s="147" t="s">
        <v>130</v>
      </c>
      <c r="N128" s="147" t="s">
        <v>124</v>
      </c>
      <c r="O128" s="147" t="s">
        <v>124</v>
      </c>
      <c r="P128" s="147" t="s">
        <v>124</v>
      </c>
      <c r="Q128" s="147" t="s">
        <v>124</v>
      </c>
      <c r="R128" s="148" t="s">
        <v>170</v>
      </c>
      <c r="S128" s="148" t="s">
        <v>132</v>
      </c>
      <c r="T128" s="148" t="s">
        <v>119</v>
      </c>
      <c r="U128" s="148" t="s">
        <v>148</v>
      </c>
      <c r="V128" s="145">
        <f t="shared" ref="V128:V159" si="22">E128+F128</f>
        <v>113</v>
      </c>
      <c r="W128" s="149"/>
      <c r="X128" s="145">
        <f t="shared" ref="X128:X159" si="23">E128+F128+G128</f>
        <v>185</v>
      </c>
    </row>
    <row r="129" spans="1:24">
      <c r="A129" s="155"/>
      <c r="B129" s="153">
        <v>51</v>
      </c>
      <c r="C129" s="154" t="s">
        <v>1045</v>
      </c>
      <c r="D129" s="144">
        <v>6</v>
      </c>
      <c r="E129" s="145">
        <v>80</v>
      </c>
      <c r="F129" s="145">
        <v>72</v>
      </c>
      <c r="G129" s="145">
        <v>68</v>
      </c>
      <c r="H129" s="145">
        <v>48</v>
      </c>
      <c r="I129" s="145">
        <v>42</v>
      </c>
      <c r="J129" s="145">
        <f t="shared" si="21"/>
        <v>310</v>
      </c>
      <c r="K129" s="145">
        <v>16</v>
      </c>
      <c r="L129" s="147" t="s">
        <v>130</v>
      </c>
      <c r="M129" s="147" t="s">
        <v>114</v>
      </c>
      <c r="N129" s="147" t="s">
        <v>114</v>
      </c>
      <c r="O129" s="147" t="s">
        <v>130</v>
      </c>
      <c r="P129" s="147" t="s">
        <v>114</v>
      </c>
      <c r="Q129" s="147" t="s">
        <v>130</v>
      </c>
      <c r="R129" s="148" t="s">
        <v>260</v>
      </c>
      <c r="S129" s="148" t="s">
        <v>119</v>
      </c>
      <c r="T129" s="148" t="s">
        <v>136</v>
      </c>
      <c r="U129" s="148" t="s">
        <v>250</v>
      </c>
      <c r="V129" s="145">
        <f t="shared" si="22"/>
        <v>152</v>
      </c>
      <c r="W129" s="149"/>
      <c r="X129" s="145">
        <f t="shared" si="23"/>
        <v>220</v>
      </c>
    </row>
    <row r="130" spans="1:24">
      <c r="A130" s="155"/>
      <c r="B130" s="153">
        <v>329</v>
      </c>
      <c r="C130" s="154" t="s">
        <v>500</v>
      </c>
      <c r="D130" s="144">
        <v>1</v>
      </c>
      <c r="E130" s="145">
        <v>61</v>
      </c>
      <c r="F130" s="145">
        <v>45</v>
      </c>
      <c r="G130" s="145">
        <v>70</v>
      </c>
      <c r="H130" s="145">
        <v>81</v>
      </c>
      <c r="I130" s="145">
        <v>64</v>
      </c>
      <c r="J130" s="145">
        <f t="shared" si="21"/>
        <v>321</v>
      </c>
      <c r="K130" s="145">
        <v>63</v>
      </c>
      <c r="L130" s="147" t="s">
        <v>130</v>
      </c>
      <c r="M130" s="147" t="s">
        <v>130</v>
      </c>
      <c r="N130" s="147" t="s">
        <v>130</v>
      </c>
      <c r="O130" s="147" t="s">
        <v>124</v>
      </c>
      <c r="P130" s="147" t="s">
        <v>124</v>
      </c>
      <c r="Q130" s="147" t="s">
        <v>114</v>
      </c>
      <c r="R130" s="148" t="s">
        <v>365</v>
      </c>
      <c r="S130" s="148" t="s">
        <v>132</v>
      </c>
      <c r="T130" s="148" t="s">
        <v>119</v>
      </c>
      <c r="U130" s="148" t="s">
        <v>148</v>
      </c>
      <c r="V130" s="145">
        <f t="shared" si="22"/>
        <v>106</v>
      </c>
      <c r="W130" s="149"/>
      <c r="X130" s="145">
        <f t="shared" si="23"/>
        <v>176</v>
      </c>
    </row>
    <row r="131" spans="1:24">
      <c r="A131" s="152" t="s">
        <v>1480</v>
      </c>
      <c r="B131" s="153">
        <v>291</v>
      </c>
      <c r="C131" s="154" t="s">
        <v>977</v>
      </c>
      <c r="D131" s="144">
        <v>3</v>
      </c>
      <c r="E131" s="145">
        <v>76</v>
      </c>
      <c r="F131" s="145">
        <v>66</v>
      </c>
      <c r="G131" s="145">
        <v>65</v>
      </c>
      <c r="H131" s="145">
        <v>80</v>
      </c>
      <c r="I131" s="145">
        <v>70</v>
      </c>
      <c r="J131" s="145">
        <f t="shared" si="21"/>
        <v>357</v>
      </c>
      <c r="K131" s="145">
        <v>135</v>
      </c>
      <c r="L131" s="147" t="s">
        <v>130</v>
      </c>
      <c r="M131" s="147" t="s">
        <v>114</v>
      </c>
      <c r="N131" s="147" t="s">
        <v>130</v>
      </c>
      <c r="O131" s="147" t="s">
        <v>114</v>
      </c>
      <c r="P131" s="147" t="s">
        <v>114</v>
      </c>
      <c r="Q131" s="147" t="s">
        <v>124</v>
      </c>
      <c r="R131" s="148" t="s">
        <v>579</v>
      </c>
      <c r="S131" s="148" t="s">
        <v>132</v>
      </c>
      <c r="T131" s="148" t="s">
        <v>119</v>
      </c>
      <c r="U131" s="148" t="s">
        <v>120</v>
      </c>
      <c r="V131" s="145">
        <f t="shared" si="22"/>
        <v>142</v>
      </c>
      <c r="W131" s="149"/>
      <c r="X131" s="145">
        <f t="shared" si="23"/>
        <v>207</v>
      </c>
    </row>
    <row r="132" spans="1:24">
      <c r="A132" s="155"/>
      <c r="B132" s="153">
        <v>218</v>
      </c>
      <c r="C132" s="154" t="s">
        <v>341</v>
      </c>
      <c r="D132" s="144">
        <v>1</v>
      </c>
      <c r="E132" s="145">
        <v>44</v>
      </c>
      <c r="F132" s="145">
        <v>31</v>
      </c>
      <c r="G132" s="145">
        <v>70</v>
      </c>
      <c r="H132" s="145">
        <v>78</v>
      </c>
      <c r="I132" s="145">
        <v>85</v>
      </c>
      <c r="J132" s="145">
        <f t="shared" si="21"/>
        <v>308</v>
      </c>
      <c r="K132" s="145">
        <v>71</v>
      </c>
      <c r="L132" s="147" t="s">
        <v>124</v>
      </c>
      <c r="M132" s="147" t="s">
        <v>124</v>
      </c>
      <c r="N132" s="147" t="s">
        <v>124</v>
      </c>
      <c r="O132" s="147" t="s">
        <v>124</v>
      </c>
      <c r="P132" s="147" t="s">
        <v>124</v>
      </c>
      <c r="Q132" s="147" t="s">
        <v>124</v>
      </c>
      <c r="R132" s="148" t="s">
        <v>342</v>
      </c>
      <c r="S132" s="148" t="s">
        <v>118</v>
      </c>
      <c r="T132" s="148" t="s">
        <v>119</v>
      </c>
      <c r="U132" s="148" t="s">
        <v>120</v>
      </c>
      <c r="V132" s="145">
        <f t="shared" si="22"/>
        <v>75</v>
      </c>
      <c r="W132" s="149"/>
      <c r="X132" s="145">
        <f t="shared" si="23"/>
        <v>145</v>
      </c>
    </row>
    <row r="133" spans="1:24">
      <c r="A133" s="155"/>
      <c r="B133" s="153">
        <v>233</v>
      </c>
      <c r="C133" s="154" t="s">
        <v>965</v>
      </c>
      <c r="D133" s="144">
        <v>6</v>
      </c>
      <c r="E133" s="145">
        <v>84</v>
      </c>
      <c r="F133" s="145">
        <v>67</v>
      </c>
      <c r="G133" s="145">
        <v>74</v>
      </c>
      <c r="H133" s="145">
        <v>81</v>
      </c>
      <c r="I133" s="145">
        <v>74</v>
      </c>
      <c r="J133" s="145">
        <f t="shared" si="21"/>
        <v>380</v>
      </c>
      <c r="K133" s="145">
        <v>34</v>
      </c>
      <c r="L133" s="147" t="s">
        <v>130</v>
      </c>
      <c r="M133" s="147" t="s">
        <v>115</v>
      </c>
      <c r="N133" s="147" t="s">
        <v>114</v>
      </c>
      <c r="O133" s="147" t="s">
        <v>124</v>
      </c>
      <c r="P133" s="147" t="s">
        <v>114</v>
      </c>
      <c r="Q133" s="147" t="s">
        <v>115</v>
      </c>
      <c r="R133" s="148" t="s">
        <v>245</v>
      </c>
      <c r="S133" s="148" t="s">
        <v>119</v>
      </c>
      <c r="T133" s="148" t="s">
        <v>119</v>
      </c>
      <c r="U133" s="148" t="s">
        <v>148</v>
      </c>
      <c r="V133" s="145">
        <f t="shared" si="22"/>
        <v>151</v>
      </c>
      <c r="W133" s="149"/>
      <c r="X133" s="145">
        <f t="shared" si="23"/>
        <v>225</v>
      </c>
    </row>
    <row r="134" spans="1:24">
      <c r="A134" s="155"/>
      <c r="B134" s="153">
        <v>383</v>
      </c>
      <c r="C134" s="154" t="s">
        <v>736</v>
      </c>
      <c r="D134" s="144">
        <v>4</v>
      </c>
      <c r="E134" s="145">
        <v>71</v>
      </c>
      <c r="F134" s="145">
        <v>59</v>
      </c>
      <c r="G134" s="145">
        <v>63</v>
      </c>
      <c r="H134" s="145">
        <v>75</v>
      </c>
      <c r="I134" s="145">
        <v>73</v>
      </c>
      <c r="J134" s="145">
        <f t="shared" si="21"/>
        <v>341</v>
      </c>
      <c r="K134" s="145">
        <v>144</v>
      </c>
      <c r="L134" s="147" t="s">
        <v>124</v>
      </c>
      <c r="M134" s="147" t="s">
        <v>124</v>
      </c>
      <c r="N134" s="147" t="s">
        <v>130</v>
      </c>
      <c r="O134" s="147" t="s">
        <v>114</v>
      </c>
      <c r="P134" s="147" t="s">
        <v>130</v>
      </c>
      <c r="Q134" s="147" t="s">
        <v>124</v>
      </c>
      <c r="R134" s="148" t="s">
        <v>170</v>
      </c>
      <c r="S134" s="148" t="s">
        <v>132</v>
      </c>
      <c r="T134" s="148" t="s">
        <v>133</v>
      </c>
      <c r="U134" s="148" t="s">
        <v>148</v>
      </c>
      <c r="V134" s="145">
        <f t="shared" si="22"/>
        <v>130</v>
      </c>
      <c r="W134" s="149"/>
      <c r="X134" s="145">
        <f t="shared" si="23"/>
        <v>193</v>
      </c>
    </row>
    <row r="135" spans="1:24">
      <c r="A135" s="155"/>
      <c r="B135" s="153">
        <v>610</v>
      </c>
      <c r="C135" s="154" t="s">
        <v>838</v>
      </c>
      <c r="D135" s="144">
        <v>3</v>
      </c>
      <c r="E135" s="145">
        <v>74</v>
      </c>
      <c r="F135" s="145">
        <v>77</v>
      </c>
      <c r="G135" s="145">
        <v>47</v>
      </c>
      <c r="H135" s="145">
        <v>54</v>
      </c>
      <c r="I135" s="145">
        <v>54</v>
      </c>
      <c r="J135" s="145">
        <f t="shared" si="21"/>
        <v>306</v>
      </c>
      <c r="K135" s="145">
        <v>54</v>
      </c>
      <c r="L135" s="147" t="s">
        <v>124</v>
      </c>
      <c r="M135" s="147" t="s">
        <v>130</v>
      </c>
      <c r="N135" s="147" t="s">
        <v>114</v>
      </c>
      <c r="O135" s="147" t="s">
        <v>124</v>
      </c>
      <c r="P135" s="147" t="s">
        <v>130</v>
      </c>
      <c r="Q135" s="147" t="s">
        <v>114</v>
      </c>
      <c r="R135" s="148" t="s">
        <v>452</v>
      </c>
      <c r="S135" s="148" t="s">
        <v>119</v>
      </c>
      <c r="T135" s="148" t="s">
        <v>119</v>
      </c>
      <c r="U135" s="148" t="s">
        <v>148</v>
      </c>
      <c r="V135" s="145">
        <f t="shared" si="22"/>
        <v>151</v>
      </c>
      <c r="W135" s="149"/>
      <c r="X135" s="145">
        <f t="shared" si="23"/>
        <v>198</v>
      </c>
    </row>
    <row r="136" spans="1:24">
      <c r="A136" s="155"/>
      <c r="B136" s="153">
        <v>339</v>
      </c>
      <c r="C136" s="154" t="s">
        <v>464</v>
      </c>
      <c r="D136" s="144">
        <v>1</v>
      </c>
      <c r="E136" s="145">
        <v>28</v>
      </c>
      <c r="F136" s="145">
        <v>32</v>
      </c>
      <c r="G136" s="145">
        <v>82</v>
      </c>
      <c r="H136" s="145">
        <v>68</v>
      </c>
      <c r="I136" s="145">
        <v>68</v>
      </c>
      <c r="J136" s="145">
        <f t="shared" si="21"/>
        <v>278</v>
      </c>
      <c r="K136" s="145">
        <v>25</v>
      </c>
      <c r="L136" s="147" t="s">
        <v>124</v>
      </c>
      <c r="M136" s="147" t="s">
        <v>124</v>
      </c>
      <c r="N136" s="147" t="s">
        <v>124</v>
      </c>
      <c r="O136" s="147" t="s">
        <v>124</v>
      </c>
      <c r="P136" s="147" t="s">
        <v>124</v>
      </c>
      <c r="Q136" s="147" t="s">
        <v>124</v>
      </c>
      <c r="R136" s="148" t="s">
        <v>284</v>
      </c>
      <c r="S136" s="148" t="s">
        <v>132</v>
      </c>
      <c r="T136" s="148" t="s">
        <v>279</v>
      </c>
      <c r="U136" s="148" t="s">
        <v>250</v>
      </c>
      <c r="V136" s="145">
        <f t="shared" si="22"/>
        <v>60</v>
      </c>
      <c r="W136" s="149"/>
      <c r="X136" s="145">
        <f t="shared" si="23"/>
        <v>142</v>
      </c>
    </row>
    <row r="137" spans="1:24">
      <c r="A137" s="155"/>
      <c r="B137" s="153">
        <v>28</v>
      </c>
      <c r="C137" s="154" t="s">
        <v>913</v>
      </c>
      <c r="D137" s="144">
        <v>2</v>
      </c>
      <c r="E137" s="145">
        <v>68</v>
      </c>
      <c r="F137" s="145">
        <v>61</v>
      </c>
      <c r="G137" s="145">
        <v>76</v>
      </c>
      <c r="H137" s="145">
        <v>85</v>
      </c>
      <c r="I137" s="145">
        <v>85</v>
      </c>
      <c r="J137" s="145">
        <f t="shared" si="21"/>
        <v>375</v>
      </c>
      <c r="K137" s="145">
        <v>22</v>
      </c>
      <c r="L137" s="147" t="s">
        <v>130</v>
      </c>
      <c r="M137" s="147" t="s">
        <v>114</v>
      </c>
      <c r="N137" s="147" t="s">
        <v>130</v>
      </c>
      <c r="O137" s="147" t="s">
        <v>124</v>
      </c>
      <c r="P137" s="147" t="s">
        <v>114</v>
      </c>
      <c r="Q137" s="147" t="s">
        <v>124</v>
      </c>
      <c r="R137" s="148" t="s">
        <v>168</v>
      </c>
      <c r="S137" s="148" t="s">
        <v>132</v>
      </c>
      <c r="T137" s="148" t="s">
        <v>136</v>
      </c>
      <c r="U137" s="148" t="s">
        <v>148</v>
      </c>
      <c r="V137" s="145">
        <f t="shared" si="22"/>
        <v>129</v>
      </c>
      <c r="W137" s="149"/>
      <c r="X137" s="145">
        <f t="shared" si="23"/>
        <v>205</v>
      </c>
    </row>
    <row r="138" spans="1:24">
      <c r="A138" s="155"/>
      <c r="B138" s="153">
        <v>139</v>
      </c>
      <c r="C138" s="154" t="s">
        <v>808</v>
      </c>
      <c r="D138" s="144">
        <v>3</v>
      </c>
      <c r="E138" s="145">
        <v>68</v>
      </c>
      <c r="F138" s="145">
        <v>58</v>
      </c>
      <c r="G138" s="145">
        <v>88</v>
      </c>
      <c r="H138" s="145">
        <v>63</v>
      </c>
      <c r="I138" s="145">
        <v>62</v>
      </c>
      <c r="J138" s="145">
        <f t="shared" si="21"/>
        <v>339</v>
      </c>
      <c r="K138" s="145">
        <v>82</v>
      </c>
      <c r="L138" s="147" t="s">
        <v>130</v>
      </c>
      <c r="M138" s="147" t="s">
        <v>130</v>
      </c>
      <c r="N138" s="147" t="s">
        <v>124</v>
      </c>
      <c r="O138" s="147" t="s">
        <v>130</v>
      </c>
      <c r="P138" s="147" t="s">
        <v>130</v>
      </c>
      <c r="Q138" s="147" t="s">
        <v>124</v>
      </c>
      <c r="R138" s="148" t="s">
        <v>476</v>
      </c>
      <c r="S138" s="148" t="s">
        <v>132</v>
      </c>
      <c r="T138" s="148" t="s">
        <v>119</v>
      </c>
      <c r="U138" s="148" t="s">
        <v>120</v>
      </c>
      <c r="V138" s="145">
        <f t="shared" si="22"/>
        <v>126</v>
      </c>
      <c r="W138" s="149"/>
      <c r="X138" s="145">
        <f t="shared" si="23"/>
        <v>214</v>
      </c>
    </row>
    <row r="139" spans="1:24">
      <c r="A139" s="155"/>
      <c r="B139" s="153">
        <v>783</v>
      </c>
      <c r="C139" s="154" t="s">
        <v>972</v>
      </c>
      <c r="D139" s="144">
        <v>11</v>
      </c>
      <c r="E139" s="145">
        <v>78</v>
      </c>
      <c r="F139" s="145">
        <v>91</v>
      </c>
      <c r="G139" s="145">
        <v>68</v>
      </c>
      <c r="H139" s="145">
        <v>69</v>
      </c>
      <c r="I139" s="145">
        <v>71</v>
      </c>
      <c r="J139" s="145">
        <f t="shared" si="21"/>
        <v>377</v>
      </c>
      <c r="K139" s="145">
        <v>63</v>
      </c>
      <c r="L139" s="147" t="s">
        <v>130</v>
      </c>
      <c r="M139" s="147" t="s">
        <v>130</v>
      </c>
      <c r="N139" s="147" t="s">
        <v>115</v>
      </c>
      <c r="O139" s="147" t="s">
        <v>114</v>
      </c>
      <c r="P139" s="147" t="s">
        <v>114</v>
      </c>
      <c r="Q139" s="147" t="s">
        <v>114</v>
      </c>
      <c r="R139" s="148" t="s">
        <v>266</v>
      </c>
      <c r="S139" s="148" t="s">
        <v>132</v>
      </c>
      <c r="T139" s="148" t="s">
        <v>119</v>
      </c>
      <c r="U139" s="148" t="s">
        <v>148</v>
      </c>
      <c r="V139" s="145">
        <f t="shared" si="22"/>
        <v>169</v>
      </c>
      <c r="W139" s="149"/>
      <c r="X139" s="145">
        <f t="shared" si="23"/>
        <v>237</v>
      </c>
    </row>
    <row r="140" spans="1:24">
      <c r="A140" s="152" t="s">
        <v>1481</v>
      </c>
      <c r="B140" s="153">
        <v>328</v>
      </c>
      <c r="C140" s="156" t="s">
        <v>1011</v>
      </c>
      <c r="D140" s="144">
        <v>9</v>
      </c>
      <c r="E140" s="145">
        <v>78</v>
      </c>
      <c r="F140" s="145">
        <v>88</v>
      </c>
      <c r="G140" s="145">
        <v>80</v>
      </c>
      <c r="H140" s="145">
        <v>61</v>
      </c>
      <c r="I140" s="145">
        <v>60</v>
      </c>
      <c r="J140" s="145">
        <f t="shared" si="21"/>
        <v>367</v>
      </c>
      <c r="K140" s="145">
        <v>29</v>
      </c>
      <c r="L140" s="147" t="s">
        <v>114</v>
      </c>
      <c r="M140" s="147" t="s">
        <v>130</v>
      </c>
      <c r="N140" s="147" t="s">
        <v>114</v>
      </c>
      <c r="O140" s="147" t="s">
        <v>115</v>
      </c>
      <c r="P140" s="147" t="s">
        <v>114</v>
      </c>
      <c r="Q140" s="147" t="s">
        <v>124</v>
      </c>
      <c r="R140" s="148" t="s">
        <v>472</v>
      </c>
      <c r="S140" s="148" t="s">
        <v>119</v>
      </c>
      <c r="T140" s="148" t="s">
        <v>145</v>
      </c>
      <c r="U140" s="148" t="s">
        <v>126</v>
      </c>
      <c r="V140" s="145">
        <f t="shared" si="22"/>
        <v>166</v>
      </c>
      <c r="W140" s="149"/>
      <c r="X140" s="145">
        <f t="shared" si="23"/>
        <v>246</v>
      </c>
    </row>
    <row r="141" spans="1:24">
      <c r="A141" s="155"/>
      <c r="B141" s="153">
        <v>443</v>
      </c>
      <c r="C141" s="154" t="s">
        <v>574</v>
      </c>
      <c r="D141" s="144">
        <v>7</v>
      </c>
      <c r="E141" s="145">
        <v>73</v>
      </c>
      <c r="F141" s="145">
        <v>85</v>
      </c>
      <c r="G141" s="145">
        <v>43</v>
      </c>
      <c r="H141" s="145">
        <v>35</v>
      </c>
      <c r="I141" s="145">
        <v>45</v>
      </c>
      <c r="J141" s="145">
        <f t="shared" si="21"/>
        <v>281</v>
      </c>
      <c r="K141" s="145">
        <v>11</v>
      </c>
      <c r="L141" s="147" t="s">
        <v>124</v>
      </c>
      <c r="M141" s="147" t="s">
        <v>130</v>
      </c>
      <c r="N141" s="147" t="s">
        <v>130</v>
      </c>
      <c r="O141" s="147" t="s">
        <v>114</v>
      </c>
      <c r="P141" s="147" t="s">
        <v>124</v>
      </c>
      <c r="Q141" s="147" t="s">
        <v>124</v>
      </c>
      <c r="R141" s="148" t="s">
        <v>194</v>
      </c>
      <c r="S141" s="148" t="s">
        <v>132</v>
      </c>
      <c r="T141" s="148" t="s">
        <v>119</v>
      </c>
      <c r="U141" s="148" t="s">
        <v>148</v>
      </c>
      <c r="V141" s="145">
        <f t="shared" si="22"/>
        <v>158</v>
      </c>
      <c r="W141" s="149"/>
      <c r="X141" s="145">
        <f t="shared" si="23"/>
        <v>201</v>
      </c>
    </row>
    <row r="142" spans="1:24">
      <c r="A142" s="155"/>
      <c r="B142" s="153">
        <v>586</v>
      </c>
      <c r="C142" s="154" t="s">
        <v>467</v>
      </c>
      <c r="D142" s="144">
        <v>5</v>
      </c>
      <c r="E142" s="145">
        <v>45</v>
      </c>
      <c r="F142" s="145">
        <v>47</v>
      </c>
      <c r="G142" s="145">
        <v>89</v>
      </c>
      <c r="H142" s="145">
        <v>93</v>
      </c>
      <c r="I142" s="145">
        <v>68</v>
      </c>
      <c r="J142" s="145">
        <f t="shared" si="21"/>
        <v>342</v>
      </c>
      <c r="K142" s="145">
        <v>56</v>
      </c>
      <c r="L142" s="147" t="s">
        <v>124</v>
      </c>
      <c r="M142" s="147" t="s">
        <v>124</v>
      </c>
      <c r="N142" s="147" t="s">
        <v>130</v>
      </c>
      <c r="O142" s="147" t="s">
        <v>124</v>
      </c>
      <c r="P142" s="147" t="s">
        <v>124</v>
      </c>
      <c r="Q142" s="147" t="s">
        <v>130</v>
      </c>
      <c r="R142" s="148" t="s">
        <v>386</v>
      </c>
      <c r="S142" s="148" t="s">
        <v>132</v>
      </c>
      <c r="T142" s="148" t="s">
        <v>119</v>
      </c>
      <c r="U142" s="148" t="s">
        <v>126</v>
      </c>
      <c r="V142" s="145">
        <f t="shared" si="22"/>
        <v>92</v>
      </c>
      <c r="W142" s="149"/>
      <c r="X142" s="145">
        <f t="shared" si="23"/>
        <v>181</v>
      </c>
    </row>
    <row r="143" spans="1:24">
      <c r="A143" s="155"/>
      <c r="B143" s="153">
        <v>585</v>
      </c>
      <c r="C143" s="154" t="s">
        <v>786</v>
      </c>
      <c r="D143" s="144">
        <v>5</v>
      </c>
      <c r="E143" s="145">
        <v>75</v>
      </c>
      <c r="F143" s="145">
        <v>78</v>
      </c>
      <c r="G143" s="145">
        <v>50</v>
      </c>
      <c r="H143" s="145">
        <v>61</v>
      </c>
      <c r="I143" s="145">
        <v>66</v>
      </c>
      <c r="J143" s="145">
        <f t="shared" si="21"/>
        <v>330</v>
      </c>
      <c r="K143" s="145">
        <v>58</v>
      </c>
      <c r="L143" s="147" t="s">
        <v>130</v>
      </c>
      <c r="M143" s="147" t="s">
        <v>130</v>
      </c>
      <c r="N143" s="147" t="s">
        <v>130</v>
      </c>
      <c r="O143" s="147" t="s">
        <v>114</v>
      </c>
      <c r="P143" s="147" t="s">
        <v>130</v>
      </c>
      <c r="Q143" s="147" t="s">
        <v>114</v>
      </c>
      <c r="R143" s="148" t="s">
        <v>194</v>
      </c>
      <c r="S143" s="148" t="s">
        <v>132</v>
      </c>
      <c r="T143" s="148" t="s">
        <v>119</v>
      </c>
      <c r="U143" s="148" t="s">
        <v>126</v>
      </c>
      <c r="V143" s="145">
        <f t="shared" si="22"/>
        <v>153</v>
      </c>
      <c r="W143" s="149"/>
      <c r="X143" s="145">
        <f t="shared" si="23"/>
        <v>203</v>
      </c>
    </row>
    <row r="144" spans="1:24">
      <c r="A144" s="155"/>
      <c r="B144" s="153">
        <v>195</v>
      </c>
      <c r="C144" s="154" t="s">
        <v>978</v>
      </c>
      <c r="D144" s="144">
        <v>6</v>
      </c>
      <c r="E144" s="145">
        <v>79</v>
      </c>
      <c r="F144" s="145">
        <v>77</v>
      </c>
      <c r="G144" s="145">
        <v>65</v>
      </c>
      <c r="H144" s="145">
        <v>68</v>
      </c>
      <c r="I144" s="145">
        <v>70</v>
      </c>
      <c r="J144" s="145">
        <f t="shared" si="21"/>
        <v>359</v>
      </c>
      <c r="K144" s="145">
        <v>74</v>
      </c>
      <c r="L144" s="147" t="s">
        <v>114</v>
      </c>
      <c r="M144" s="147" t="s">
        <v>130</v>
      </c>
      <c r="N144" s="147" t="s">
        <v>130</v>
      </c>
      <c r="O144" s="147" t="s">
        <v>114</v>
      </c>
      <c r="P144" s="147" t="s">
        <v>114</v>
      </c>
      <c r="Q144" s="147" t="s">
        <v>130</v>
      </c>
      <c r="R144" s="148" t="s">
        <v>856</v>
      </c>
      <c r="S144" s="148" t="s">
        <v>132</v>
      </c>
      <c r="T144" s="148" t="s">
        <v>119</v>
      </c>
      <c r="U144" s="148" t="s">
        <v>148</v>
      </c>
      <c r="V144" s="145">
        <f t="shared" si="22"/>
        <v>156</v>
      </c>
      <c r="W144" s="149"/>
      <c r="X144" s="145">
        <f t="shared" si="23"/>
        <v>221</v>
      </c>
    </row>
    <row r="145" spans="1:24">
      <c r="A145" s="155"/>
      <c r="B145" s="153">
        <v>503</v>
      </c>
      <c r="C145" s="154" t="s">
        <v>1021</v>
      </c>
      <c r="D145" s="144">
        <v>4</v>
      </c>
      <c r="E145" s="145">
        <v>76</v>
      </c>
      <c r="F145" s="145">
        <v>59</v>
      </c>
      <c r="G145" s="145">
        <v>70</v>
      </c>
      <c r="H145" s="145">
        <v>57</v>
      </c>
      <c r="I145" s="145">
        <v>56</v>
      </c>
      <c r="J145" s="145">
        <f t="shared" si="21"/>
        <v>318</v>
      </c>
      <c r="K145" s="145">
        <v>40</v>
      </c>
      <c r="L145" s="147" t="s">
        <v>130</v>
      </c>
      <c r="M145" s="147" t="s">
        <v>130</v>
      </c>
      <c r="N145" s="147" t="s">
        <v>114</v>
      </c>
      <c r="O145" s="147" t="s">
        <v>114</v>
      </c>
      <c r="P145" s="147" t="s">
        <v>114</v>
      </c>
      <c r="Q145" s="147" t="s">
        <v>124</v>
      </c>
      <c r="R145" s="148" t="s">
        <v>856</v>
      </c>
      <c r="S145" s="148" t="s">
        <v>132</v>
      </c>
      <c r="T145" s="148" t="s">
        <v>119</v>
      </c>
      <c r="U145" s="148" t="s">
        <v>126</v>
      </c>
      <c r="V145" s="145">
        <f t="shared" si="22"/>
        <v>135</v>
      </c>
      <c r="W145" s="149"/>
      <c r="X145" s="145">
        <f t="shared" si="23"/>
        <v>205</v>
      </c>
    </row>
    <row r="146" spans="1:24">
      <c r="A146" s="152" t="s">
        <v>1482</v>
      </c>
      <c r="B146" s="153">
        <v>293</v>
      </c>
      <c r="C146" s="154" t="s">
        <v>811</v>
      </c>
      <c r="D146" s="144">
        <v>6</v>
      </c>
      <c r="E146" s="145">
        <v>77</v>
      </c>
      <c r="F146" s="145">
        <v>79</v>
      </c>
      <c r="G146" s="145">
        <v>77</v>
      </c>
      <c r="H146" s="145">
        <v>55</v>
      </c>
      <c r="I146" s="145">
        <v>61</v>
      </c>
      <c r="J146" s="145">
        <f t="shared" si="21"/>
        <v>349</v>
      </c>
      <c r="K146" s="145">
        <v>93</v>
      </c>
      <c r="L146" s="147" t="s">
        <v>114</v>
      </c>
      <c r="M146" s="147" t="s">
        <v>114</v>
      </c>
      <c r="N146" s="147" t="s">
        <v>130</v>
      </c>
      <c r="O146" s="147" t="s">
        <v>114</v>
      </c>
      <c r="P146" s="147" t="s">
        <v>130</v>
      </c>
      <c r="Q146" s="147" t="s">
        <v>124</v>
      </c>
      <c r="R146" s="148" t="s">
        <v>459</v>
      </c>
      <c r="S146" s="148" t="s">
        <v>132</v>
      </c>
      <c r="T146" s="148" t="s">
        <v>119</v>
      </c>
      <c r="U146" s="148" t="s">
        <v>126</v>
      </c>
      <c r="V146" s="145">
        <f t="shared" si="22"/>
        <v>156</v>
      </c>
      <c r="W146" s="149"/>
      <c r="X146" s="145">
        <f t="shared" si="23"/>
        <v>233</v>
      </c>
    </row>
    <row r="147" spans="1:24">
      <c r="A147" s="155"/>
      <c r="B147" s="153">
        <v>129</v>
      </c>
      <c r="C147" s="154" t="s">
        <v>799</v>
      </c>
      <c r="D147" s="144">
        <v>3</v>
      </c>
      <c r="E147" s="145">
        <v>42</v>
      </c>
      <c r="F147" s="145">
        <v>19</v>
      </c>
      <c r="G147" s="145">
        <v>96</v>
      </c>
      <c r="H147" s="145">
        <v>80</v>
      </c>
      <c r="I147" s="145">
        <v>63</v>
      </c>
      <c r="J147" s="145">
        <f t="shared" si="21"/>
        <v>300</v>
      </c>
      <c r="K147" s="145">
        <v>101</v>
      </c>
      <c r="L147" s="147" t="s">
        <v>130</v>
      </c>
      <c r="M147" s="147" t="s">
        <v>124</v>
      </c>
      <c r="N147" s="147" t="s">
        <v>124</v>
      </c>
      <c r="O147" s="147" t="s">
        <v>124</v>
      </c>
      <c r="P147" s="147" t="s">
        <v>130</v>
      </c>
      <c r="Q147" s="147" t="s">
        <v>124</v>
      </c>
      <c r="R147" s="148" t="s">
        <v>358</v>
      </c>
      <c r="S147" s="148" t="s">
        <v>132</v>
      </c>
      <c r="T147" s="148" t="s">
        <v>119</v>
      </c>
      <c r="U147" s="148" t="s">
        <v>120</v>
      </c>
      <c r="V147" s="145">
        <f t="shared" si="22"/>
        <v>61</v>
      </c>
      <c r="W147" s="149"/>
      <c r="X147" s="145">
        <f t="shared" si="23"/>
        <v>157</v>
      </c>
    </row>
    <row r="148" spans="1:24">
      <c r="A148" s="155"/>
      <c r="B148" s="153">
        <v>250</v>
      </c>
      <c r="C148" s="154" t="s">
        <v>873</v>
      </c>
      <c r="D148" s="144">
        <v>6</v>
      </c>
      <c r="E148" s="145">
        <v>74</v>
      </c>
      <c r="F148" s="145">
        <v>85</v>
      </c>
      <c r="G148" s="145">
        <v>77</v>
      </c>
      <c r="H148" s="145">
        <v>53</v>
      </c>
      <c r="I148" s="145">
        <v>30</v>
      </c>
      <c r="J148" s="145">
        <f t="shared" si="21"/>
        <v>319</v>
      </c>
      <c r="K148" s="145">
        <v>144</v>
      </c>
      <c r="L148" s="147" t="s">
        <v>114</v>
      </c>
      <c r="M148" s="147" t="s">
        <v>114</v>
      </c>
      <c r="N148" s="147" t="s">
        <v>114</v>
      </c>
      <c r="O148" s="147" t="s">
        <v>130</v>
      </c>
      <c r="P148" s="147" t="s">
        <v>130</v>
      </c>
      <c r="Q148" s="147" t="s">
        <v>124</v>
      </c>
      <c r="R148" s="148" t="s">
        <v>606</v>
      </c>
      <c r="S148" s="148" t="s">
        <v>175</v>
      </c>
      <c r="T148" s="148" t="s">
        <v>136</v>
      </c>
      <c r="U148" s="148" t="s">
        <v>126</v>
      </c>
      <c r="V148" s="145">
        <f t="shared" si="22"/>
        <v>159</v>
      </c>
      <c r="W148" s="149"/>
      <c r="X148" s="145">
        <f t="shared" si="23"/>
        <v>236</v>
      </c>
    </row>
    <row r="149" spans="1:24">
      <c r="A149" s="155"/>
      <c r="B149" s="153">
        <v>440</v>
      </c>
      <c r="C149" s="156" t="s">
        <v>984</v>
      </c>
      <c r="D149" s="144">
        <v>7</v>
      </c>
      <c r="E149" s="145">
        <v>70</v>
      </c>
      <c r="F149" s="145">
        <v>88</v>
      </c>
      <c r="G149" s="145">
        <v>67</v>
      </c>
      <c r="H149" s="145">
        <v>71</v>
      </c>
      <c r="I149" s="145">
        <v>69</v>
      </c>
      <c r="J149" s="145">
        <f t="shared" si="21"/>
        <v>365</v>
      </c>
      <c r="K149" s="145">
        <v>80</v>
      </c>
      <c r="L149" s="147" t="s">
        <v>114</v>
      </c>
      <c r="M149" s="147" t="s">
        <v>130</v>
      </c>
      <c r="N149" s="147" t="s">
        <v>114</v>
      </c>
      <c r="O149" s="147" t="s">
        <v>124</v>
      </c>
      <c r="P149" s="147" t="s">
        <v>114</v>
      </c>
      <c r="Q149" s="160" t="s">
        <v>123</v>
      </c>
      <c r="R149" s="148" t="s">
        <v>198</v>
      </c>
      <c r="S149" s="148" t="s">
        <v>132</v>
      </c>
      <c r="T149" s="148" t="s">
        <v>119</v>
      </c>
      <c r="U149" s="148" t="s">
        <v>120</v>
      </c>
      <c r="V149" s="145">
        <f t="shared" si="22"/>
        <v>158</v>
      </c>
      <c r="W149" s="149"/>
      <c r="X149" s="145">
        <f t="shared" si="23"/>
        <v>225</v>
      </c>
    </row>
    <row r="150" spans="1:24">
      <c r="A150" s="155"/>
      <c r="B150" s="153">
        <v>551</v>
      </c>
      <c r="C150" s="154" t="s">
        <v>1056</v>
      </c>
      <c r="D150" s="144">
        <v>7</v>
      </c>
      <c r="E150" s="145">
        <v>84</v>
      </c>
      <c r="F150" s="145">
        <v>77</v>
      </c>
      <c r="G150" s="145">
        <v>53</v>
      </c>
      <c r="H150" s="145">
        <v>19</v>
      </c>
      <c r="I150" s="145">
        <v>19</v>
      </c>
      <c r="J150" s="145">
        <f t="shared" si="21"/>
        <v>252</v>
      </c>
      <c r="K150" s="145">
        <v>135</v>
      </c>
      <c r="L150" s="147" t="s">
        <v>114</v>
      </c>
      <c r="M150" s="147" t="s">
        <v>114</v>
      </c>
      <c r="N150" s="147" t="s">
        <v>114</v>
      </c>
      <c r="O150" s="147" t="s">
        <v>114</v>
      </c>
      <c r="P150" s="147" t="s">
        <v>114</v>
      </c>
      <c r="Q150" s="147" t="s">
        <v>124</v>
      </c>
      <c r="R150" s="148" t="s">
        <v>606</v>
      </c>
      <c r="S150" s="148" t="s">
        <v>275</v>
      </c>
      <c r="T150" s="148" t="s">
        <v>145</v>
      </c>
      <c r="U150" s="148" t="s">
        <v>250</v>
      </c>
      <c r="V150" s="145">
        <f t="shared" si="22"/>
        <v>161</v>
      </c>
      <c r="W150" s="149"/>
      <c r="X150" s="145">
        <f t="shared" si="23"/>
        <v>214</v>
      </c>
    </row>
    <row r="151" spans="1:24">
      <c r="A151" s="155"/>
      <c r="B151" s="153">
        <v>249</v>
      </c>
      <c r="C151" s="154" t="s">
        <v>403</v>
      </c>
      <c r="D151" s="144">
        <v>6</v>
      </c>
      <c r="E151" s="145">
        <v>74</v>
      </c>
      <c r="F151" s="145">
        <v>85</v>
      </c>
      <c r="G151" s="145">
        <v>55</v>
      </c>
      <c r="H151" s="145">
        <v>61</v>
      </c>
      <c r="I151" s="145">
        <v>77</v>
      </c>
      <c r="J151" s="145">
        <f t="shared" si="21"/>
        <v>352</v>
      </c>
      <c r="K151" s="145">
        <v>85</v>
      </c>
      <c r="L151" s="147" t="s">
        <v>114</v>
      </c>
      <c r="M151" s="147" t="s">
        <v>114</v>
      </c>
      <c r="N151" s="147" t="s">
        <v>114</v>
      </c>
      <c r="O151" s="147" t="s">
        <v>130</v>
      </c>
      <c r="P151" s="147" t="s">
        <v>124</v>
      </c>
      <c r="Q151" s="147" t="s">
        <v>124</v>
      </c>
      <c r="R151" s="148" t="s">
        <v>404</v>
      </c>
      <c r="S151" s="148" t="s">
        <v>132</v>
      </c>
      <c r="T151" s="148" t="s">
        <v>136</v>
      </c>
      <c r="U151" s="148" t="s">
        <v>126</v>
      </c>
      <c r="V151" s="145">
        <f t="shared" si="22"/>
        <v>159</v>
      </c>
      <c r="W151" s="149"/>
      <c r="X151" s="145">
        <f t="shared" si="23"/>
        <v>214</v>
      </c>
    </row>
    <row r="152" spans="1:24">
      <c r="A152" s="155"/>
      <c r="B152" s="153">
        <v>549</v>
      </c>
      <c r="C152" s="154" t="s">
        <v>831</v>
      </c>
      <c r="D152" s="144">
        <v>11</v>
      </c>
      <c r="E152" s="145">
        <v>72</v>
      </c>
      <c r="F152" s="145">
        <v>98</v>
      </c>
      <c r="G152" s="145">
        <v>38</v>
      </c>
      <c r="H152" s="145">
        <v>41</v>
      </c>
      <c r="I152" s="145">
        <v>56</v>
      </c>
      <c r="J152" s="145">
        <f t="shared" si="21"/>
        <v>305</v>
      </c>
      <c r="K152" s="145">
        <v>129</v>
      </c>
      <c r="L152" s="147" t="s">
        <v>114</v>
      </c>
      <c r="M152" s="147" t="s">
        <v>130</v>
      </c>
      <c r="N152" s="147" t="s">
        <v>124</v>
      </c>
      <c r="O152" s="147" t="s">
        <v>114</v>
      </c>
      <c r="P152" s="147" t="s">
        <v>130</v>
      </c>
      <c r="Q152" s="147" t="s">
        <v>130</v>
      </c>
      <c r="R152" s="148" t="s">
        <v>783</v>
      </c>
      <c r="S152" s="148" t="s">
        <v>118</v>
      </c>
      <c r="T152" s="148" t="s">
        <v>119</v>
      </c>
      <c r="U152" s="148" t="s">
        <v>250</v>
      </c>
      <c r="V152" s="145">
        <f t="shared" si="22"/>
        <v>170</v>
      </c>
      <c r="W152" s="149"/>
      <c r="X152" s="145">
        <f t="shared" si="23"/>
        <v>208</v>
      </c>
    </row>
    <row r="153" spans="1:24">
      <c r="A153" s="152" t="s">
        <v>1483</v>
      </c>
      <c r="B153" s="153">
        <v>100</v>
      </c>
      <c r="C153" s="154" t="s">
        <v>283</v>
      </c>
      <c r="D153" s="144">
        <v>3</v>
      </c>
      <c r="E153" s="145">
        <v>35</v>
      </c>
      <c r="F153" s="145">
        <v>37</v>
      </c>
      <c r="G153" s="145">
        <v>75</v>
      </c>
      <c r="H153" s="145">
        <v>76</v>
      </c>
      <c r="I153" s="145">
        <v>98</v>
      </c>
      <c r="J153" s="145">
        <f t="shared" si="21"/>
        <v>321</v>
      </c>
      <c r="K153" s="145">
        <v>100</v>
      </c>
      <c r="L153" s="147" t="s">
        <v>124</v>
      </c>
      <c r="M153" s="147" t="s">
        <v>124</v>
      </c>
      <c r="N153" s="147" t="s">
        <v>124</v>
      </c>
      <c r="O153" s="147" t="s">
        <v>124</v>
      </c>
      <c r="P153" s="147" t="s">
        <v>124</v>
      </c>
      <c r="Q153" s="147" t="s">
        <v>130</v>
      </c>
      <c r="R153" s="148" t="s">
        <v>284</v>
      </c>
      <c r="S153" s="148" t="s">
        <v>118</v>
      </c>
      <c r="T153" s="148" t="s">
        <v>119</v>
      </c>
      <c r="U153" s="148" t="s">
        <v>126</v>
      </c>
      <c r="V153" s="145">
        <f t="shared" si="22"/>
        <v>72</v>
      </c>
      <c r="W153" s="149"/>
      <c r="X153" s="145">
        <f t="shared" si="23"/>
        <v>147</v>
      </c>
    </row>
    <row r="154" spans="1:24">
      <c r="A154" s="155"/>
      <c r="B154" s="153">
        <v>101</v>
      </c>
      <c r="C154" s="154" t="s">
        <v>307</v>
      </c>
      <c r="D154" s="144">
        <v>13</v>
      </c>
      <c r="E154" s="145">
        <v>50</v>
      </c>
      <c r="F154" s="145">
        <v>52</v>
      </c>
      <c r="G154" s="145">
        <v>73</v>
      </c>
      <c r="H154" s="145">
        <v>74</v>
      </c>
      <c r="I154" s="145">
        <v>90</v>
      </c>
      <c r="J154" s="145">
        <f t="shared" si="21"/>
        <v>339</v>
      </c>
      <c r="K154" s="145">
        <v>97</v>
      </c>
      <c r="L154" s="147" t="s">
        <v>124</v>
      </c>
      <c r="M154" s="147" t="s">
        <v>124</v>
      </c>
      <c r="N154" s="147" t="s">
        <v>124</v>
      </c>
      <c r="O154" s="147" t="s">
        <v>124</v>
      </c>
      <c r="P154" s="147" t="s">
        <v>124</v>
      </c>
      <c r="Q154" s="147" t="s">
        <v>130</v>
      </c>
      <c r="R154" s="148" t="s">
        <v>153</v>
      </c>
      <c r="S154" s="148" t="s">
        <v>132</v>
      </c>
      <c r="T154" s="148" t="s">
        <v>136</v>
      </c>
      <c r="U154" s="148" t="s">
        <v>120</v>
      </c>
      <c r="V154" s="145">
        <f t="shared" si="22"/>
        <v>102</v>
      </c>
      <c r="W154" s="149"/>
      <c r="X154" s="145">
        <f t="shared" si="23"/>
        <v>175</v>
      </c>
    </row>
    <row r="155" spans="1:24">
      <c r="A155" s="155"/>
      <c r="B155" s="153">
        <v>597</v>
      </c>
      <c r="C155" s="154" t="s">
        <v>470</v>
      </c>
      <c r="D155" s="144">
        <v>3</v>
      </c>
      <c r="E155" s="145">
        <v>41</v>
      </c>
      <c r="F155" s="145">
        <v>34</v>
      </c>
      <c r="G155" s="145">
        <v>94</v>
      </c>
      <c r="H155" s="145">
        <v>71</v>
      </c>
      <c r="I155" s="145">
        <v>67</v>
      </c>
      <c r="J155" s="145">
        <f t="shared" si="21"/>
        <v>307</v>
      </c>
      <c r="K155" s="145">
        <v>112</v>
      </c>
      <c r="L155" s="147" t="s">
        <v>124</v>
      </c>
      <c r="M155" s="147" t="s">
        <v>124</v>
      </c>
      <c r="N155" s="147" t="s">
        <v>124</v>
      </c>
      <c r="O155" s="147" t="s">
        <v>124</v>
      </c>
      <c r="P155" s="147" t="s">
        <v>124</v>
      </c>
      <c r="Q155" s="147" t="s">
        <v>130</v>
      </c>
      <c r="R155" s="148" t="s">
        <v>358</v>
      </c>
      <c r="S155" s="148" t="s">
        <v>132</v>
      </c>
      <c r="T155" s="148" t="s">
        <v>119</v>
      </c>
      <c r="U155" s="148" t="s">
        <v>120</v>
      </c>
      <c r="V155" s="145">
        <f t="shared" si="22"/>
        <v>75</v>
      </c>
      <c r="W155" s="149"/>
      <c r="X155" s="145">
        <f t="shared" si="23"/>
        <v>169</v>
      </c>
    </row>
    <row r="156" spans="1:24">
      <c r="A156" s="155"/>
      <c r="B156" s="153">
        <v>637</v>
      </c>
      <c r="C156" s="154" t="s">
        <v>954</v>
      </c>
      <c r="D156" s="144">
        <v>12</v>
      </c>
      <c r="E156" s="145">
        <v>89</v>
      </c>
      <c r="F156" s="145">
        <v>76</v>
      </c>
      <c r="G156" s="145">
        <v>88</v>
      </c>
      <c r="H156" s="145">
        <v>67</v>
      </c>
      <c r="I156" s="145">
        <v>76</v>
      </c>
      <c r="J156" s="145">
        <f t="shared" si="21"/>
        <v>396</v>
      </c>
      <c r="K156" s="145">
        <v>62</v>
      </c>
      <c r="L156" s="147" t="s">
        <v>114</v>
      </c>
      <c r="M156" s="147" t="s">
        <v>114</v>
      </c>
      <c r="N156" s="147" t="s">
        <v>115</v>
      </c>
      <c r="O156" s="147" t="s">
        <v>114</v>
      </c>
      <c r="P156" s="147" t="s">
        <v>114</v>
      </c>
      <c r="Q156" s="147" t="s">
        <v>130</v>
      </c>
      <c r="R156" s="148" t="s">
        <v>856</v>
      </c>
      <c r="S156" s="148" t="s">
        <v>132</v>
      </c>
      <c r="T156" s="148" t="s">
        <v>119</v>
      </c>
      <c r="U156" s="148" t="s">
        <v>120</v>
      </c>
      <c r="V156" s="145">
        <f t="shared" si="22"/>
        <v>165</v>
      </c>
      <c r="W156" s="149"/>
      <c r="X156" s="145">
        <f t="shared" si="23"/>
        <v>253</v>
      </c>
    </row>
    <row r="157" spans="1:24">
      <c r="A157" s="155"/>
      <c r="B157" s="153">
        <v>264</v>
      </c>
      <c r="C157" s="154" t="s">
        <v>338</v>
      </c>
      <c r="D157" s="144">
        <v>2</v>
      </c>
      <c r="E157" s="145">
        <v>69</v>
      </c>
      <c r="F157" s="145">
        <v>75</v>
      </c>
      <c r="G157" s="145">
        <v>73</v>
      </c>
      <c r="H157" s="145">
        <v>82</v>
      </c>
      <c r="I157" s="145">
        <v>86</v>
      </c>
      <c r="J157" s="145">
        <f t="shared" si="21"/>
        <v>385</v>
      </c>
      <c r="K157" s="145">
        <v>5</v>
      </c>
      <c r="L157" s="147" t="s">
        <v>130</v>
      </c>
      <c r="M157" s="147" t="s">
        <v>130</v>
      </c>
      <c r="N157" s="147" t="s">
        <v>130</v>
      </c>
      <c r="O157" s="147" t="s">
        <v>114</v>
      </c>
      <c r="P157" s="147" t="s">
        <v>124</v>
      </c>
      <c r="Q157" s="147" t="s">
        <v>124</v>
      </c>
      <c r="R157" s="148" t="s">
        <v>339</v>
      </c>
      <c r="S157" s="148" t="s">
        <v>132</v>
      </c>
      <c r="T157" s="148" t="s">
        <v>136</v>
      </c>
      <c r="U157" s="148" t="s">
        <v>126</v>
      </c>
      <c r="V157" s="145">
        <f t="shared" si="22"/>
        <v>144</v>
      </c>
      <c r="W157" s="149"/>
      <c r="X157" s="145">
        <f t="shared" si="23"/>
        <v>217</v>
      </c>
    </row>
    <row r="158" spans="1:24">
      <c r="A158" s="155"/>
      <c r="B158" s="153">
        <v>497</v>
      </c>
      <c r="C158" s="154" t="s">
        <v>383</v>
      </c>
      <c r="D158" s="144">
        <v>1</v>
      </c>
      <c r="E158" s="145">
        <v>16</v>
      </c>
      <c r="F158" s="145">
        <v>22</v>
      </c>
      <c r="G158" s="145">
        <v>74</v>
      </c>
      <c r="H158" s="145">
        <v>87</v>
      </c>
      <c r="I158" s="145">
        <v>79</v>
      </c>
      <c r="J158" s="145">
        <f t="shared" si="21"/>
        <v>278</v>
      </c>
      <c r="K158" s="145">
        <v>48</v>
      </c>
      <c r="L158" s="147" t="s">
        <v>124</v>
      </c>
      <c r="M158" s="147" t="s">
        <v>124</v>
      </c>
      <c r="N158" s="147" t="s">
        <v>124</v>
      </c>
      <c r="O158" s="147" t="s">
        <v>124</v>
      </c>
      <c r="P158" s="147" t="s">
        <v>124</v>
      </c>
      <c r="Q158" s="147" t="s">
        <v>124</v>
      </c>
      <c r="R158" s="148" t="s">
        <v>284</v>
      </c>
      <c r="S158" s="148" t="s">
        <v>132</v>
      </c>
      <c r="T158" s="148" t="s">
        <v>119</v>
      </c>
      <c r="U158" s="148" t="s">
        <v>126</v>
      </c>
      <c r="V158" s="145">
        <f t="shared" si="22"/>
        <v>38</v>
      </c>
      <c r="W158" s="149"/>
      <c r="X158" s="145">
        <f t="shared" si="23"/>
        <v>112</v>
      </c>
    </row>
    <row r="159" spans="1:24">
      <c r="A159" s="155"/>
      <c r="B159" s="153">
        <v>343</v>
      </c>
      <c r="C159" s="154" t="s">
        <v>652</v>
      </c>
      <c r="D159" s="144">
        <v>6</v>
      </c>
      <c r="E159" s="145">
        <v>75</v>
      </c>
      <c r="F159" s="145">
        <v>80</v>
      </c>
      <c r="G159" s="145">
        <v>68</v>
      </c>
      <c r="H159" s="145">
        <v>73</v>
      </c>
      <c r="I159" s="145">
        <v>87</v>
      </c>
      <c r="J159" s="145">
        <f t="shared" si="21"/>
        <v>383</v>
      </c>
      <c r="K159" s="145">
        <v>45</v>
      </c>
      <c r="L159" s="147" t="s">
        <v>114</v>
      </c>
      <c r="M159" s="147" t="s">
        <v>130</v>
      </c>
      <c r="N159" s="147" t="s">
        <v>115</v>
      </c>
      <c r="O159" s="147" t="s">
        <v>114</v>
      </c>
      <c r="P159" s="147" t="s">
        <v>130</v>
      </c>
      <c r="Q159" s="147" t="s">
        <v>130</v>
      </c>
      <c r="R159" s="148" t="s">
        <v>429</v>
      </c>
      <c r="S159" s="148" t="s">
        <v>119</v>
      </c>
      <c r="T159" s="148" t="s">
        <v>145</v>
      </c>
      <c r="U159" s="148" t="s">
        <v>148</v>
      </c>
      <c r="V159" s="145">
        <f t="shared" si="22"/>
        <v>155</v>
      </c>
      <c r="W159" s="149"/>
      <c r="X159" s="145">
        <f t="shared" si="23"/>
        <v>223</v>
      </c>
    </row>
    <row r="160" spans="1:24">
      <c r="A160" s="155"/>
      <c r="B160" s="153">
        <v>56</v>
      </c>
      <c r="C160" s="154" t="s">
        <v>417</v>
      </c>
      <c r="D160" s="144">
        <v>1</v>
      </c>
      <c r="E160" s="145">
        <v>15</v>
      </c>
      <c r="F160" s="145">
        <v>38</v>
      </c>
      <c r="G160" s="145">
        <v>84</v>
      </c>
      <c r="H160" s="145">
        <v>66</v>
      </c>
      <c r="I160" s="145">
        <v>75</v>
      </c>
      <c r="J160" s="145">
        <f t="shared" ref="J160:J191" si="24">SUM(E160:I160)</f>
        <v>278</v>
      </c>
      <c r="K160" s="145">
        <v>104</v>
      </c>
      <c r="L160" s="147" t="s">
        <v>124</v>
      </c>
      <c r="M160" s="147" t="s">
        <v>124</v>
      </c>
      <c r="N160" s="147" t="s">
        <v>124</v>
      </c>
      <c r="O160" s="147" t="s">
        <v>124</v>
      </c>
      <c r="P160" s="147" t="s">
        <v>124</v>
      </c>
      <c r="Q160" s="147" t="s">
        <v>124</v>
      </c>
      <c r="R160" s="148" t="s">
        <v>365</v>
      </c>
      <c r="S160" s="148" t="s">
        <v>132</v>
      </c>
      <c r="T160" s="148" t="s">
        <v>279</v>
      </c>
      <c r="U160" s="148" t="s">
        <v>148</v>
      </c>
      <c r="V160" s="145">
        <f t="shared" ref="V160:V191" si="25">E160+F160</f>
        <v>53</v>
      </c>
      <c r="W160" s="149"/>
      <c r="X160" s="145">
        <f t="shared" ref="X160:X191" si="26">E160+F160+G160</f>
        <v>137</v>
      </c>
    </row>
    <row r="161" spans="1:24">
      <c r="A161" s="152" t="s">
        <v>1484</v>
      </c>
      <c r="B161" s="153">
        <v>381</v>
      </c>
      <c r="C161" s="154" t="s">
        <v>690</v>
      </c>
      <c r="D161" s="144">
        <v>2</v>
      </c>
      <c r="E161" s="145">
        <v>66</v>
      </c>
      <c r="F161" s="145">
        <v>55</v>
      </c>
      <c r="G161" s="145">
        <v>78</v>
      </c>
      <c r="H161" s="145">
        <v>86</v>
      </c>
      <c r="I161" s="145">
        <v>81</v>
      </c>
      <c r="J161" s="145">
        <f t="shared" si="24"/>
        <v>366</v>
      </c>
      <c r="K161" s="145">
        <v>145</v>
      </c>
      <c r="L161" s="147" t="s">
        <v>130</v>
      </c>
      <c r="M161" s="147" t="s">
        <v>130</v>
      </c>
      <c r="N161" s="147" t="s">
        <v>124</v>
      </c>
      <c r="O161" s="147" t="s">
        <v>114</v>
      </c>
      <c r="P161" s="147" t="s">
        <v>130</v>
      </c>
      <c r="Q161" s="147" t="s">
        <v>130</v>
      </c>
      <c r="R161" s="148" t="s">
        <v>414</v>
      </c>
      <c r="S161" s="148" t="s">
        <v>132</v>
      </c>
      <c r="T161" s="148" t="s">
        <v>119</v>
      </c>
      <c r="U161" s="148" t="s">
        <v>120</v>
      </c>
      <c r="V161" s="145">
        <f t="shared" si="25"/>
        <v>121</v>
      </c>
      <c r="W161" s="149"/>
      <c r="X161" s="145">
        <f t="shared" si="26"/>
        <v>199</v>
      </c>
    </row>
    <row r="162" spans="1:24">
      <c r="A162" s="155"/>
      <c r="B162" s="153">
        <v>368</v>
      </c>
      <c r="C162" s="154" t="s">
        <v>632</v>
      </c>
      <c r="D162" s="144">
        <v>5</v>
      </c>
      <c r="E162" s="145">
        <v>78</v>
      </c>
      <c r="F162" s="145">
        <v>75</v>
      </c>
      <c r="G162" s="145">
        <v>47</v>
      </c>
      <c r="H162" s="145">
        <v>35</v>
      </c>
      <c r="I162" s="145">
        <v>92</v>
      </c>
      <c r="J162" s="145">
        <f t="shared" si="24"/>
        <v>327</v>
      </c>
      <c r="K162" s="145">
        <v>76</v>
      </c>
      <c r="L162" s="147" t="s">
        <v>114</v>
      </c>
      <c r="M162" s="147" t="s">
        <v>114</v>
      </c>
      <c r="N162" s="147" t="s">
        <v>114</v>
      </c>
      <c r="O162" s="147" t="s">
        <v>124</v>
      </c>
      <c r="P162" s="147" t="s">
        <v>130</v>
      </c>
      <c r="Q162" s="147" t="s">
        <v>115</v>
      </c>
      <c r="R162" s="148" t="s">
        <v>321</v>
      </c>
      <c r="S162" s="148" t="s">
        <v>132</v>
      </c>
      <c r="T162" s="148" t="s">
        <v>136</v>
      </c>
      <c r="U162" s="148" t="s">
        <v>120</v>
      </c>
      <c r="V162" s="145">
        <f t="shared" si="25"/>
        <v>153</v>
      </c>
      <c r="W162" s="149"/>
      <c r="X162" s="145">
        <f t="shared" si="26"/>
        <v>200</v>
      </c>
    </row>
    <row r="163" spans="1:24">
      <c r="A163" s="155"/>
      <c r="B163" s="153">
        <v>396</v>
      </c>
      <c r="C163" s="154" t="s">
        <v>219</v>
      </c>
      <c r="D163" s="144">
        <v>9</v>
      </c>
      <c r="E163" s="145">
        <v>81</v>
      </c>
      <c r="F163" s="145">
        <v>69</v>
      </c>
      <c r="G163" s="145">
        <v>53</v>
      </c>
      <c r="H163" s="145">
        <v>57</v>
      </c>
      <c r="I163" s="145">
        <v>67</v>
      </c>
      <c r="J163" s="145">
        <f t="shared" si="24"/>
        <v>327</v>
      </c>
      <c r="K163" s="145">
        <v>147</v>
      </c>
      <c r="L163" s="147" t="s">
        <v>114</v>
      </c>
      <c r="M163" s="147" t="s">
        <v>130</v>
      </c>
      <c r="N163" s="147" t="s">
        <v>130</v>
      </c>
      <c r="O163" s="147" t="s">
        <v>114</v>
      </c>
      <c r="P163" s="147" t="s">
        <v>115</v>
      </c>
      <c r="Q163" s="147" t="s">
        <v>124</v>
      </c>
      <c r="R163" s="148" t="s">
        <v>220</v>
      </c>
      <c r="S163" s="148" t="s">
        <v>119</v>
      </c>
      <c r="T163" s="148" t="s">
        <v>119</v>
      </c>
      <c r="U163" s="148" t="s">
        <v>126</v>
      </c>
      <c r="V163" s="145">
        <f t="shared" si="25"/>
        <v>150</v>
      </c>
      <c r="W163" s="149"/>
      <c r="X163" s="145">
        <f t="shared" si="26"/>
        <v>203</v>
      </c>
    </row>
    <row r="164" spans="1:24">
      <c r="A164" s="155"/>
      <c r="B164" s="153">
        <v>535</v>
      </c>
      <c r="C164" s="154" t="s">
        <v>269</v>
      </c>
      <c r="D164" s="144">
        <v>7</v>
      </c>
      <c r="E164" s="145">
        <v>79</v>
      </c>
      <c r="F164" s="145">
        <v>73</v>
      </c>
      <c r="G164" s="145">
        <v>64</v>
      </c>
      <c r="H164" s="145">
        <v>54</v>
      </c>
      <c r="I164" s="145">
        <v>36</v>
      </c>
      <c r="J164" s="145">
        <f t="shared" si="24"/>
        <v>306</v>
      </c>
      <c r="K164" s="145">
        <v>44</v>
      </c>
      <c r="L164" s="147" t="s">
        <v>130</v>
      </c>
      <c r="M164" s="147" t="s">
        <v>130</v>
      </c>
      <c r="N164" s="147" t="s">
        <v>130</v>
      </c>
      <c r="O164" s="147" t="s">
        <v>114</v>
      </c>
      <c r="P164" s="147" t="s">
        <v>115</v>
      </c>
      <c r="Q164" s="147" t="s">
        <v>130</v>
      </c>
      <c r="R164" s="148" t="s">
        <v>200</v>
      </c>
      <c r="S164" s="148" t="s">
        <v>175</v>
      </c>
      <c r="T164" s="148" t="s">
        <v>136</v>
      </c>
      <c r="U164" s="148" t="s">
        <v>250</v>
      </c>
      <c r="V164" s="145">
        <f t="shared" si="25"/>
        <v>152</v>
      </c>
      <c r="W164" s="149"/>
      <c r="X164" s="145">
        <f t="shared" si="26"/>
        <v>216</v>
      </c>
    </row>
    <row r="165" spans="1:24">
      <c r="A165" s="155"/>
      <c r="B165" s="153">
        <v>73</v>
      </c>
      <c r="C165" s="154" t="s">
        <v>479</v>
      </c>
      <c r="D165" s="144">
        <v>7</v>
      </c>
      <c r="E165" s="145">
        <v>63</v>
      </c>
      <c r="F165" s="145">
        <v>74</v>
      </c>
      <c r="G165" s="145">
        <v>86</v>
      </c>
      <c r="H165" s="145">
        <v>105</v>
      </c>
      <c r="I165" s="145">
        <v>67</v>
      </c>
      <c r="J165" s="145">
        <f t="shared" si="24"/>
        <v>395</v>
      </c>
      <c r="K165" s="145">
        <v>0</v>
      </c>
      <c r="L165" s="147" t="s">
        <v>124</v>
      </c>
      <c r="M165" s="147" t="s">
        <v>130</v>
      </c>
      <c r="N165" s="147" t="s">
        <v>114</v>
      </c>
      <c r="O165" s="147" t="s">
        <v>124</v>
      </c>
      <c r="P165" s="147" t="s">
        <v>124</v>
      </c>
      <c r="Q165" s="147" t="s">
        <v>124</v>
      </c>
      <c r="R165" s="148" t="s">
        <v>474</v>
      </c>
      <c r="S165" s="148" t="s">
        <v>119</v>
      </c>
      <c r="T165" s="148" t="s">
        <v>145</v>
      </c>
      <c r="U165" s="148" t="s">
        <v>126</v>
      </c>
      <c r="V165" s="145">
        <f t="shared" si="25"/>
        <v>137</v>
      </c>
      <c r="W165" s="149"/>
      <c r="X165" s="145">
        <f t="shared" si="26"/>
        <v>223</v>
      </c>
    </row>
    <row r="166" spans="1:24">
      <c r="A166" s="155"/>
      <c r="B166" s="153">
        <v>645</v>
      </c>
      <c r="C166" s="154" t="s">
        <v>1037</v>
      </c>
      <c r="D166" s="144">
        <v>6</v>
      </c>
      <c r="E166" s="145">
        <v>83</v>
      </c>
      <c r="F166" s="145">
        <v>70</v>
      </c>
      <c r="G166" s="145">
        <v>83</v>
      </c>
      <c r="H166" s="145">
        <v>59</v>
      </c>
      <c r="I166" s="145">
        <v>47</v>
      </c>
      <c r="J166" s="145">
        <f t="shared" si="24"/>
        <v>342</v>
      </c>
      <c r="K166" s="145">
        <v>62</v>
      </c>
      <c r="L166" s="147" t="s">
        <v>114</v>
      </c>
      <c r="M166" s="147" t="s">
        <v>114</v>
      </c>
      <c r="N166" s="147" t="s">
        <v>130</v>
      </c>
      <c r="O166" s="147" t="s">
        <v>115</v>
      </c>
      <c r="P166" s="147" t="s">
        <v>114</v>
      </c>
      <c r="Q166" s="147" t="s">
        <v>124</v>
      </c>
      <c r="R166" s="148" t="s">
        <v>550</v>
      </c>
      <c r="S166" s="148" t="s">
        <v>132</v>
      </c>
      <c r="T166" s="148" t="s">
        <v>136</v>
      </c>
      <c r="U166" s="148" t="s">
        <v>120</v>
      </c>
      <c r="V166" s="145">
        <f t="shared" si="25"/>
        <v>153</v>
      </c>
      <c r="W166" s="149"/>
      <c r="X166" s="145">
        <f t="shared" si="26"/>
        <v>236</v>
      </c>
    </row>
    <row r="167" spans="1:24">
      <c r="A167" s="152" t="s">
        <v>1485</v>
      </c>
      <c r="B167" s="153">
        <v>340</v>
      </c>
      <c r="C167" s="154" t="s">
        <v>932</v>
      </c>
      <c r="D167" s="144">
        <v>5</v>
      </c>
      <c r="E167" s="145">
        <v>75</v>
      </c>
      <c r="F167" s="145">
        <v>68</v>
      </c>
      <c r="G167" s="145">
        <v>81</v>
      </c>
      <c r="H167" s="145">
        <v>79</v>
      </c>
      <c r="I167" s="145">
        <v>80</v>
      </c>
      <c r="J167" s="145">
        <f t="shared" si="24"/>
        <v>383</v>
      </c>
      <c r="K167" s="145">
        <v>85</v>
      </c>
      <c r="L167" s="147" t="s">
        <v>130</v>
      </c>
      <c r="M167" s="147" t="s">
        <v>130</v>
      </c>
      <c r="N167" s="147" t="s">
        <v>115</v>
      </c>
      <c r="O167" s="147" t="s">
        <v>124</v>
      </c>
      <c r="P167" s="147" t="s">
        <v>114</v>
      </c>
      <c r="Q167" s="147" t="s">
        <v>114</v>
      </c>
      <c r="R167" s="148" t="s">
        <v>230</v>
      </c>
      <c r="S167" s="148" t="s">
        <v>119</v>
      </c>
      <c r="T167" s="148" t="s">
        <v>145</v>
      </c>
      <c r="U167" s="148" t="s">
        <v>120</v>
      </c>
      <c r="V167" s="145">
        <f t="shared" si="25"/>
        <v>143</v>
      </c>
      <c r="W167" s="149"/>
      <c r="X167" s="145">
        <f t="shared" si="26"/>
        <v>224</v>
      </c>
    </row>
    <row r="168" spans="1:24">
      <c r="A168" s="155"/>
      <c r="B168" s="153">
        <v>275</v>
      </c>
      <c r="C168" s="154" t="s">
        <v>1003</v>
      </c>
      <c r="D168" s="144">
        <v>3</v>
      </c>
      <c r="E168" s="145">
        <v>78</v>
      </c>
      <c r="F168" s="145">
        <v>76</v>
      </c>
      <c r="G168" s="145">
        <v>61</v>
      </c>
      <c r="H168" s="145">
        <v>59</v>
      </c>
      <c r="I168" s="145">
        <v>63</v>
      </c>
      <c r="J168" s="145">
        <f t="shared" si="24"/>
        <v>337</v>
      </c>
      <c r="K168" s="145">
        <v>5</v>
      </c>
      <c r="L168" s="147" t="s">
        <v>114</v>
      </c>
      <c r="M168" s="147" t="s">
        <v>124</v>
      </c>
      <c r="N168" s="147" t="s">
        <v>130</v>
      </c>
      <c r="O168" s="147" t="s">
        <v>115</v>
      </c>
      <c r="P168" s="147" t="s">
        <v>114</v>
      </c>
      <c r="Q168" s="147" t="s">
        <v>124</v>
      </c>
      <c r="R168" s="149"/>
      <c r="S168" s="148" t="s">
        <v>132</v>
      </c>
      <c r="T168" s="148" t="s">
        <v>119</v>
      </c>
      <c r="U168" s="148" t="s">
        <v>126</v>
      </c>
      <c r="V168" s="145">
        <f t="shared" si="25"/>
        <v>154</v>
      </c>
      <c r="W168" s="149"/>
      <c r="X168" s="145">
        <f t="shared" si="26"/>
        <v>215</v>
      </c>
    </row>
    <row r="169" spans="1:24">
      <c r="A169" s="155"/>
      <c r="B169" s="153">
        <v>388</v>
      </c>
      <c r="C169" s="154" t="s">
        <v>944</v>
      </c>
      <c r="D169" s="144">
        <v>5</v>
      </c>
      <c r="E169" s="145">
        <v>82</v>
      </c>
      <c r="F169" s="145">
        <v>67</v>
      </c>
      <c r="G169" s="145">
        <v>81</v>
      </c>
      <c r="H169" s="145">
        <v>61</v>
      </c>
      <c r="I169" s="145">
        <v>77</v>
      </c>
      <c r="J169" s="145">
        <f t="shared" si="24"/>
        <v>368</v>
      </c>
      <c r="K169" s="145">
        <v>143</v>
      </c>
      <c r="L169" s="147" t="s">
        <v>130</v>
      </c>
      <c r="M169" s="147" t="s">
        <v>130</v>
      </c>
      <c r="N169" s="147" t="s">
        <v>114</v>
      </c>
      <c r="O169" s="147" t="s">
        <v>115</v>
      </c>
      <c r="P169" s="147" t="s">
        <v>114</v>
      </c>
      <c r="Q169" s="147" t="s">
        <v>130</v>
      </c>
      <c r="R169" s="148" t="s">
        <v>194</v>
      </c>
      <c r="S169" s="148" t="s">
        <v>132</v>
      </c>
      <c r="T169" s="148" t="s">
        <v>119</v>
      </c>
      <c r="U169" s="148" t="s">
        <v>120</v>
      </c>
      <c r="V169" s="145">
        <f t="shared" si="25"/>
        <v>149</v>
      </c>
      <c r="W169" s="149"/>
      <c r="X169" s="145">
        <f t="shared" si="26"/>
        <v>230</v>
      </c>
    </row>
    <row r="170" spans="1:24">
      <c r="A170" s="155"/>
      <c r="B170" s="153">
        <v>353</v>
      </c>
      <c r="C170" s="154" t="s">
        <v>901</v>
      </c>
      <c r="D170" s="144">
        <v>5</v>
      </c>
      <c r="E170" s="145">
        <v>71</v>
      </c>
      <c r="F170" s="145">
        <v>70</v>
      </c>
      <c r="G170" s="145">
        <v>88</v>
      </c>
      <c r="H170" s="145">
        <v>81</v>
      </c>
      <c r="I170" s="145">
        <v>90</v>
      </c>
      <c r="J170" s="145">
        <f t="shared" si="24"/>
        <v>400</v>
      </c>
      <c r="K170" s="145">
        <v>80</v>
      </c>
      <c r="L170" s="147" t="s">
        <v>130</v>
      </c>
      <c r="M170" s="147" t="s">
        <v>130</v>
      </c>
      <c r="N170" s="147" t="s">
        <v>130</v>
      </c>
      <c r="O170" s="147" t="s">
        <v>130</v>
      </c>
      <c r="P170" s="147" t="s">
        <v>114</v>
      </c>
      <c r="Q170" s="147" t="s">
        <v>115</v>
      </c>
      <c r="R170" s="148" t="s">
        <v>579</v>
      </c>
      <c r="S170" s="148" t="s">
        <v>119</v>
      </c>
      <c r="T170" s="148" t="s">
        <v>136</v>
      </c>
      <c r="U170" s="148" t="s">
        <v>126</v>
      </c>
      <c r="V170" s="145">
        <f t="shared" si="25"/>
        <v>141</v>
      </c>
      <c r="W170" s="149"/>
      <c r="X170" s="145">
        <f t="shared" si="26"/>
        <v>229</v>
      </c>
    </row>
    <row r="171" spans="1:24">
      <c r="A171" s="155"/>
      <c r="B171" s="153">
        <v>298</v>
      </c>
      <c r="C171" s="154" t="s">
        <v>650</v>
      </c>
      <c r="D171" s="144">
        <v>2</v>
      </c>
      <c r="E171" s="145">
        <v>64</v>
      </c>
      <c r="F171" s="145">
        <v>55</v>
      </c>
      <c r="G171" s="145">
        <v>72</v>
      </c>
      <c r="H171" s="145">
        <v>82</v>
      </c>
      <c r="I171" s="145">
        <v>87</v>
      </c>
      <c r="J171" s="145">
        <f t="shared" si="24"/>
        <v>360</v>
      </c>
      <c r="K171" s="145">
        <v>130</v>
      </c>
      <c r="L171" s="147" t="s">
        <v>130</v>
      </c>
      <c r="M171" s="147" t="s">
        <v>130</v>
      </c>
      <c r="N171" s="147" t="s">
        <v>130</v>
      </c>
      <c r="O171" s="147" t="s">
        <v>130</v>
      </c>
      <c r="P171" s="147" t="s">
        <v>130</v>
      </c>
      <c r="Q171" s="147" t="s">
        <v>124</v>
      </c>
      <c r="R171" s="148"/>
      <c r="S171" s="148" t="s">
        <v>119</v>
      </c>
      <c r="T171" s="148" t="s">
        <v>136</v>
      </c>
      <c r="U171" s="148" t="s">
        <v>120</v>
      </c>
      <c r="V171" s="145">
        <f t="shared" si="25"/>
        <v>119</v>
      </c>
      <c r="W171" s="149"/>
      <c r="X171" s="145">
        <f t="shared" si="26"/>
        <v>191</v>
      </c>
    </row>
    <row r="172" spans="1:24">
      <c r="A172" s="155"/>
      <c r="B172" s="153">
        <v>130</v>
      </c>
      <c r="C172" s="154" t="s">
        <v>549</v>
      </c>
      <c r="D172" s="144">
        <v>10</v>
      </c>
      <c r="E172" s="145">
        <v>80</v>
      </c>
      <c r="F172" s="145">
        <v>97</v>
      </c>
      <c r="G172" s="145">
        <v>44</v>
      </c>
      <c r="H172" s="145">
        <v>22</v>
      </c>
      <c r="I172" s="145">
        <v>54</v>
      </c>
      <c r="J172" s="145">
        <f t="shared" si="24"/>
        <v>297</v>
      </c>
      <c r="K172" s="145">
        <v>84</v>
      </c>
      <c r="L172" s="147" t="s">
        <v>114</v>
      </c>
      <c r="M172" s="147" t="s">
        <v>114</v>
      </c>
      <c r="N172" s="147" t="s">
        <v>124</v>
      </c>
      <c r="O172" s="147" t="s">
        <v>114</v>
      </c>
      <c r="P172" s="147" t="s">
        <v>124</v>
      </c>
      <c r="Q172" s="147" t="s">
        <v>115</v>
      </c>
      <c r="R172" s="148" t="s">
        <v>550</v>
      </c>
      <c r="S172" s="148" t="s">
        <v>175</v>
      </c>
      <c r="T172" s="148" t="s">
        <v>136</v>
      </c>
      <c r="U172" s="148" t="s">
        <v>250</v>
      </c>
      <c r="V172" s="145">
        <f t="shared" si="25"/>
        <v>177</v>
      </c>
      <c r="W172" s="149"/>
      <c r="X172" s="145">
        <f t="shared" si="26"/>
        <v>221</v>
      </c>
    </row>
    <row r="173" spans="1:24">
      <c r="A173" s="152" t="s">
        <v>1486</v>
      </c>
      <c r="B173" s="153">
        <v>63</v>
      </c>
      <c r="C173" s="154" t="s">
        <v>508</v>
      </c>
      <c r="D173" s="144">
        <v>3</v>
      </c>
      <c r="E173" s="145">
        <v>26</v>
      </c>
      <c r="F173" s="145">
        <v>15</v>
      </c>
      <c r="G173" s="145">
        <v>92</v>
      </c>
      <c r="H173" s="145">
        <v>64</v>
      </c>
      <c r="I173" s="145">
        <v>62</v>
      </c>
      <c r="J173" s="145">
        <f t="shared" si="24"/>
        <v>259</v>
      </c>
      <c r="K173" s="145">
        <v>25</v>
      </c>
      <c r="L173" s="147" t="s">
        <v>124</v>
      </c>
      <c r="M173" s="147" t="s">
        <v>124</v>
      </c>
      <c r="N173" s="147" t="s">
        <v>124</v>
      </c>
      <c r="O173" s="147" t="s">
        <v>124</v>
      </c>
      <c r="P173" s="147" t="s">
        <v>124</v>
      </c>
      <c r="Q173" s="147" t="s">
        <v>124</v>
      </c>
      <c r="R173" s="148" t="s">
        <v>509</v>
      </c>
      <c r="S173" s="148" t="s">
        <v>132</v>
      </c>
      <c r="T173" s="148" t="s">
        <v>119</v>
      </c>
      <c r="U173" s="148" t="s">
        <v>120</v>
      </c>
      <c r="V173" s="145">
        <f t="shared" si="25"/>
        <v>41</v>
      </c>
      <c r="W173" s="149"/>
      <c r="X173" s="145">
        <f t="shared" si="26"/>
        <v>133</v>
      </c>
    </row>
    <row r="174" spans="1:24">
      <c r="A174" s="155"/>
      <c r="B174" s="153">
        <v>60</v>
      </c>
      <c r="C174" s="154" t="s">
        <v>830</v>
      </c>
      <c r="D174" s="144">
        <v>3</v>
      </c>
      <c r="E174" s="145">
        <v>57</v>
      </c>
      <c r="F174" s="145">
        <v>55</v>
      </c>
      <c r="G174" s="145">
        <v>93</v>
      </c>
      <c r="H174" s="145">
        <v>76</v>
      </c>
      <c r="I174" s="145">
        <v>57</v>
      </c>
      <c r="J174" s="145">
        <f t="shared" si="24"/>
        <v>338</v>
      </c>
      <c r="K174" s="145">
        <v>20</v>
      </c>
      <c r="L174" s="147" t="s">
        <v>124</v>
      </c>
      <c r="M174" s="147" t="s">
        <v>124</v>
      </c>
      <c r="N174" s="147" t="s">
        <v>124</v>
      </c>
      <c r="O174" s="147" t="s">
        <v>130</v>
      </c>
      <c r="P174" s="147" t="s">
        <v>130</v>
      </c>
      <c r="Q174" s="147" t="s">
        <v>124</v>
      </c>
      <c r="R174" s="148" t="s">
        <v>476</v>
      </c>
      <c r="S174" s="148" t="s">
        <v>119</v>
      </c>
      <c r="T174" s="148" t="s">
        <v>119</v>
      </c>
      <c r="U174" s="148" t="s">
        <v>120</v>
      </c>
      <c r="V174" s="145">
        <f t="shared" si="25"/>
        <v>112</v>
      </c>
      <c r="W174" s="149"/>
      <c r="X174" s="145">
        <f t="shared" si="26"/>
        <v>205</v>
      </c>
    </row>
    <row r="175" spans="1:24">
      <c r="A175" s="155"/>
      <c r="B175" s="153">
        <v>642</v>
      </c>
      <c r="C175" s="154" t="s">
        <v>384</v>
      </c>
      <c r="D175" s="144">
        <v>1</v>
      </c>
      <c r="E175" s="145">
        <v>35</v>
      </c>
      <c r="F175" s="145">
        <v>45</v>
      </c>
      <c r="G175" s="145">
        <v>72</v>
      </c>
      <c r="H175" s="145">
        <v>76</v>
      </c>
      <c r="I175" s="145">
        <v>79</v>
      </c>
      <c r="J175" s="145">
        <f t="shared" si="24"/>
        <v>307</v>
      </c>
      <c r="K175" s="145">
        <v>64</v>
      </c>
      <c r="L175" s="147" t="s">
        <v>124</v>
      </c>
      <c r="M175" s="147" t="s">
        <v>124</v>
      </c>
      <c r="N175" s="147" t="s">
        <v>124</v>
      </c>
      <c r="O175" s="147" t="s">
        <v>124</v>
      </c>
      <c r="P175" s="147" t="s">
        <v>124</v>
      </c>
      <c r="Q175" s="147" t="s">
        <v>124</v>
      </c>
      <c r="R175" s="148" t="s">
        <v>314</v>
      </c>
      <c r="S175" s="148" t="s">
        <v>132</v>
      </c>
      <c r="T175" s="148" t="s">
        <v>119</v>
      </c>
      <c r="U175" s="148" t="s">
        <v>250</v>
      </c>
      <c r="V175" s="145">
        <f t="shared" si="25"/>
        <v>80</v>
      </c>
      <c r="W175" s="149"/>
      <c r="X175" s="145">
        <f t="shared" si="26"/>
        <v>152</v>
      </c>
    </row>
    <row r="176" spans="1:24">
      <c r="A176" s="155"/>
      <c r="B176" s="153">
        <v>604</v>
      </c>
      <c r="C176" s="154" t="s">
        <v>775</v>
      </c>
      <c r="D176" s="144">
        <v>7</v>
      </c>
      <c r="E176" s="145">
        <v>77</v>
      </c>
      <c r="F176" s="145">
        <v>88</v>
      </c>
      <c r="G176" s="145">
        <v>49</v>
      </c>
      <c r="H176" s="145">
        <v>40</v>
      </c>
      <c r="I176" s="145">
        <v>68</v>
      </c>
      <c r="J176" s="145">
        <f t="shared" si="24"/>
        <v>322</v>
      </c>
      <c r="K176" s="145">
        <v>109</v>
      </c>
      <c r="L176" s="147" t="s">
        <v>130</v>
      </c>
      <c r="M176" s="147" t="s">
        <v>114</v>
      </c>
      <c r="N176" s="147" t="s">
        <v>130</v>
      </c>
      <c r="O176" s="147" t="s">
        <v>124</v>
      </c>
      <c r="P176" s="147" t="s">
        <v>130</v>
      </c>
      <c r="Q176" s="147" t="s">
        <v>115</v>
      </c>
      <c r="R176" s="148" t="s">
        <v>776</v>
      </c>
      <c r="S176" s="148" t="s">
        <v>132</v>
      </c>
      <c r="T176" s="148" t="s">
        <v>119</v>
      </c>
      <c r="U176" s="148" t="s">
        <v>126</v>
      </c>
      <c r="V176" s="145">
        <f t="shared" si="25"/>
        <v>165</v>
      </c>
      <c r="W176" s="149"/>
      <c r="X176" s="145">
        <f t="shared" si="26"/>
        <v>214</v>
      </c>
    </row>
    <row r="177" spans="1:24">
      <c r="A177" s="155"/>
      <c r="B177" s="153">
        <v>482</v>
      </c>
      <c r="C177" s="154" t="s">
        <v>371</v>
      </c>
      <c r="D177" s="144">
        <v>6</v>
      </c>
      <c r="E177" s="145">
        <v>30</v>
      </c>
      <c r="F177" s="145">
        <v>44</v>
      </c>
      <c r="G177" s="145">
        <v>96</v>
      </c>
      <c r="H177" s="145">
        <v>91</v>
      </c>
      <c r="I177" s="145">
        <v>81</v>
      </c>
      <c r="J177" s="145">
        <f t="shared" si="24"/>
        <v>342</v>
      </c>
      <c r="K177" s="145">
        <v>46</v>
      </c>
      <c r="L177" s="147" t="s">
        <v>124</v>
      </c>
      <c r="M177" s="147" t="s">
        <v>124</v>
      </c>
      <c r="N177" s="147" t="s">
        <v>124</v>
      </c>
      <c r="O177" s="147" t="s">
        <v>124</v>
      </c>
      <c r="P177" s="147" t="s">
        <v>124</v>
      </c>
      <c r="Q177" s="147" t="s">
        <v>124</v>
      </c>
      <c r="R177" s="148" t="s">
        <v>372</v>
      </c>
      <c r="S177" s="148" t="s">
        <v>132</v>
      </c>
      <c r="T177" s="148" t="s">
        <v>119</v>
      </c>
      <c r="U177" s="148" t="s">
        <v>120</v>
      </c>
      <c r="V177" s="145">
        <f t="shared" si="25"/>
        <v>74</v>
      </c>
      <c r="W177" s="149"/>
      <c r="X177" s="145">
        <f t="shared" si="26"/>
        <v>170</v>
      </c>
    </row>
    <row r="178" spans="1:24">
      <c r="A178" s="155"/>
      <c r="B178" s="153">
        <v>461</v>
      </c>
      <c r="C178" s="156" t="s">
        <v>410</v>
      </c>
      <c r="D178" s="144">
        <v>6</v>
      </c>
      <c r="E178" s="145">
        <v>69</v>
      </c>
      <c r="F178" s="145">
        <v>79</v>
      </c>
      <c r="G178" s="145">
        <v>37</v>
      </c>
      <c r="H178" s="145">
        <v>80</v>
      </c>
      <c r="I178" s="145">
        <v>76</v>
      </c>
      <c r="J178" s="145">
        <f t="shared" si="24"/>
        <v>341</v>
      </c>
      <c r="K178" s="145">
        <v>90</v>
      </c>
      <c r="L178" s="147" t="s">
        <v>115</v>
      </c>
      <c r="M178" s="147" t="s">
        <v>130</v>
      </c>
      <c r="N178" s="147" t="s">
        <v>124</v>
      </c>
      <c r="O178" s="147" t="s">
        <v>114</v>
      </c>
      <c r="P178" s="147" t="s">
        <v>124</v>
      </c>
      <c r="Q178" s="147" t="s">
        <v>130</v>
      </c>
      <c r="R178" s="148" t="s">
        <v>411</v>
      </c>
      <c r="S178" s="148" t="s">
        <v>275</v>
      </c>
      <c r="T178" s="148" t="s">
        <v>136</v>
      </c>
      <c r="U178" s="148" t="s">
        <v>250</v>
      </c>
      <c r="V178" s="145">
        <f t="shared" si="25"/>
        <v>148</v>
      </c>
      <c r="W178" s="149"/>
      <c r="X178" s="145">
        <f t="shared" si="26"/>
        <v>185</v>
      </c>
    </row>
    <row r="179" spans="1:24">
      <c r="A179" s="155"/>
      <c r="B179" s="153">
        <v>201</v>
      </c>
      <c r="C179" s="154" t="s">
        <v>520</v>
      </c>
      <c r="D179" s="144">
        <v>6</v>
      </c>
      <c r="E179" s="145">
        <v>77</v>
      </c>
      <c r="F179" s="145">
        <v>81</v>
      </c>
      <c r="G179" s="145">
        <v>61</v>
      </c>
      <c r="H179" s="145">
        <v>65</v>
      </c>
      <c r="I179" s="145">
        <v>61</v>
      </c>
      <c r="J179" s="145">
        <f t="shared" si="24"/>
        <v>345</v>
      </c>
      <c r="K179" s="145">
        <v>67</v>
      </c>
      <c r="L179" s="147" t="s">
        <v>114</v>
      </c>
      <c r="M179" s="147" t="s">
        <v>114</v>
      </c>
      <c r="N179" s="147" t="s">
        <v>115</v>
      </c>
      <c r="O179" s="147" t="s">
        <v>124</v>
      </c>
      <c r="P179" s="147" t="s">
        <v>124</v>
      </c>
      <c r="Q179" s="147" t="s">
        <v>130</v>
      </c>
      <c r="R179" s="148" t="s">
        <v>236</v>
      </c>
      <c r="S179" s="148" t="s">
        <v>132</v>
      </c>
      <c r="T179" s="148" t="s">
        <v>119</v>
      </c>
      <c r="U179" s="148" t="s">
        <v>126</v>
      </c>
      <c r="V179" s="145">
        <f t="shared" si="25"/>
        <v>158</v>
      </c>
      <c r="W179" s="149"/>
      <c r="X179" s="145">
        <f t="shared" si="26"/>
        <v>219</v>
      </c>
    </row>
    <row r="180" spans="1:24">
      <c r="A180" s="152" t="s">
        <v>1487</v>
      </c>
      <c r="B180" s="153">
        <v>399</v>
      </c>
      <c r="C180" s="154" t="s">
        <v>583</v>
      </c>
      <c r="D180" s="144">
        <v>10</v>
      </c>
      <c r="E180" s="145">
        <v>74</v>
      </c>
      <c r="F180" s="145">
        <v>94</v>
      </c>
      <c r="G180" s="145">
        <v>37</v>
      </c>
      <c r="H180" s="145">
        <v>45</v>
      </c>
      <c r="I180" s="145">
        <v>41</v>
      </c>
      <c r="J180" s="145">
        <f t="shared" si="24"/>
        <v>291</v>
      </c>
      <c r="K180" s="145">
        <v>142</v>
      </c>
      <c r="L180" s="147" t="s">
        <v>130</v>
      </c>
      <c r="M180" s="147" t="s">
        <v>130</v>
      </c>
      <c r="N180" s="147" t="s">
        <v>115</v>
      </c>
      <c r="O180" s="147" t="s">
        <v>114</v>
      </c>
      <c r="P180" s="147" t="s">
        <v>124</v>
      </c>
      <c r="Q180" s="147" t="s">
        <v>124</v>
      </c>
      <c r="R180" s="148" t="s">
        <v>429</v>
      </c>
      <c r="S180" s="148" t="s">
        <v>119</v>
      </c>
      <c r="T180" s="148" t="s">
        <v>119</v>
      </c>
      <c r="U180" s="148" t="s">
        <v>250</v>
      </c>
      <c r="V180" s="145">
        <f t="shared" si="25"/>
        <v>168</v>
      </c>
      <c r="W180" s="149"/>
      <c r="X180" s="145">
        <f t="shared" si="26"/>
        <v>205</v>
      </c>
    </row>
    <row r="181" spans="1:24">
      <c r="A181" s="155"/>
      <c r="B181" s="153">
        <v>478</v>
      </c>
      <c r="C181" s="154" t="s">
        <v>732</v>
      </c>
      <c r="D181" s="144">
        <v>3</v>
      </c>
      <c r="E181" s="145">
        <v>77</v>
      </c>
      <c r="F181" s="145">
        <v>65</v>
      </c>
      <c r="G181" s="145">
        <v>66</v>
      </c>
      <c r="H181" s="145">
        <v>71</v>
      </c>
      <c r="I181" s="145">
        <v>74</v>
      </c>
      <c r="J181" s="145">
        <f t="shared" si="24"/>
        <v>353</v>
      </c>
      <c r="K181" s="145">
        <v>45</v>
      </c>
      <c r="L181" s="147" t="s">
        <v>114</v>
      </c>
      <c r="M181" s="147" t="s">
        <v>130</v>
      </c>
      <c r="N181" s="147" t="s">
        <v>130</v>
      </c>
      <c r="O181" s="147" t="s">
        <v>124</v>
      </c>
      <c r="P181" s="147" t="s">
        <v>130</v>
      </c>
      <c r="Q181" s="147" t="s">
        <v>115</v>
      </c>
      <c r="R181" s="148" t="s">
        <v>245</v>
      </c>
      <c r="S181" s="148" t="s">
        <v>132</v>
      </c>
      <c r="T181" s="148" t="s">
        <v>119</v>
      </c>
      <c r="U181" s="148" t="s">
        <v>120</v>
      </c>
      <c r="V181" s="145">
        <f t="shared" si="25"/>
        <v>142</v>
      </c>
      <c r="W181" s="149"/>
      <c r="X181" s="145">
        <f t="shared" si="26"/>
        <v>208</v>
      </c>
    </row>
    <row r="182" spans="1:24">
      <c r="A182" s="155"/>
      <c r="B182" s="153">
        <v>212</v>
      </c>
      <c r="C182" s="154" t="s">
        <v>438</v>
      </c>
      <c r="D182" s="144">
        <v>3</v>
      </c>
      <c r="E182" s="145">
        <v>82</v>
      </c>
      <c r="F182" s="145">
        <v>66</v>
      </c>
      <c r="G182" s="145">
        <v>69</v>
      </c>
      <c r="H182" s="145">
        <v>71</v>
      </c>
      <c r="I182" s="145">
        <v>73</v>
      </c>
      <c r="J182" s="145">
        <f t="shared" si="24"/>
        <v>361</v>
      </c>
      <c r="K182" s="145">
        <v>67</v>
      </c>
      <c r="L182" s="147" t="s">
        <v>114</v>
      </c>
      <c r="M182" s="147" t="s">
        <v>114</v>
      </c>
      <c r="N182" s="147" t="s">
        <v>114</v>
      </c>
      <c r="O182" s="147" t="s">
        <v>114</v>
      </c>
      <c r="P182" s="147" t="s">
        <v>124</v>
      </c>
      <c r="Q182" s="147" t="s">
        <v>124</v>
      </c>
      <c r="R182" s="148" t="s">
        <v>378</v>
      </c>
      <c r="S182" s="148" t="s">
        <v>132</v>
      </c>
      <c r="T182" s="148" t="s">
        <v>119</v>
      </c>
      <c r="U182" s="148" t="s">
        <v>120</v>
      </c>
      <c r="V182" s="145">
        <f t="shared" si="25"/>
        <v>148</v>
      </c>
      <c r="W182" s="149"/>
      <c r="X182" s="145">
        <f t="shared" si="26"/>
        <v>217</v>
      </c>
    </row>
    <row r="183" spans="1:24">
      <c r="A183" s="155"/>
      <c r="B183" s="153">
        <v>136</v>
      </c>
      <c r="C183" s="154" t="s">
        <v>817</v>
      </c>
      <c r="D183" s="144">
        <v>5</v>
      </c>
      <c r="E183" s="145">
        <v>81</v>
      </c>
      <c r="F183" s="145">
        <v>78</v>
      </c>
      <c r="G183" s="145">
        <v>76</v>
      </c>
      <c r="H183" s="145">
        <v>57</v>
      </c>
      <c r="I183" s="145">
        <v>60</v>
      </c>
      <c r="J183" s="145">
        <f t="shared" si="24"/>
        <v>352</v>
      </c>
      <c r="K183" s="145">
        <v>70</v>
      </c>
      <c r="L183" s="147" t="s">
        <v>114</v>
      </c>
      <c r="M183" s="147" t="s">
        <v>130</v>
      </c>
      <c r="N183" s="147" t="s">
        <v>114</v>
      </c>
      <c r="O183" s="147" t="s">
        <v>114</v>
      </c>
      <c r="P183" s="147" t="s">
        <v>130</v>
      </c>
      <c r="Q183" s="147" t="s">
        <v>124</v>
      </c>
      <c r="R183" s="148" t="s">
        <v>236</v>
      </c>
      <c r="S183" s="148" t="s">
        <v>119</v>
      </c>
      <c r="T183" s="148" t="s">
        <v>136</v>
      </c>
      <c r="U183" s="148" t="s">
        <v>126</v>
      </c>
      <c r="V183" s="145">
        <f t="shared" si="25"/>
        <v>159</v>
      </c>
      <c r="W183" s="149"/>
      <c r="X183" s="145">
        <f t="shared" si="26"/>
        <v>235</v>
      </c>
    </row>
    <row r="184" spans="1:24">
      <c r="A184" s="155"/>
      <c r="B184" s="153">
        <v>330</v>
      </c>
      <c r="C184" s="154" t="s">
        <v>985</v>
      </c>
      <c r="D184" s="144">
        <v>8</v>
      </c>
      <c r="E184" s="145">
        <v>82</v>
      </c>
      <c r="F184" s="145">
        <v>79</v>
      </c>
      <c r="G184" s="145">
        <v>57</v>
      </c>
      <c r="H184" s="145">
        <v>44</v>
      </c>
      <c r="I184" s="145">
        <v>68</v>
      </c>
      <c r="J184" s="145">
        <f t="shared" si="24"/>
        <v>330</v>
      </c>
      <c r="K184" s="145">
        <v>66</v>
      </c>
      <c r="L184" s="147" t="s">
        <v>114</v>
      </c>
      <c r="M184" s="147" t="s">
        <v>114</v>
      </c>
      <c r="N184" s="147" t="s">
        <v>114</v>
      </c>
      <c r="O184" s="147" t="s">
        <v>124</v>
      </c>
      <c r="P184" s="147" t="s">
        <v>114</v>
      </c>
      <c r="Q184" s="147" t="s">
        <v>115</v>
      </c>
      <c r="R184" s="158" t="s">
        <v>210</v>
      </c>
      <c r="S184" s="148" t="s">
        <v>132</v>
      </c>
      <c r="T184" s="148" t="s">
        <v>119</v>
      </c>
      <c r="U184" s="148" t="s">
        <v>120</v>
      </c>
      <c r="V184" s="145">
        <f t="shared" si="25"/>
        <v>161</v>
      </c>
      <c r="W184" s="148" t="s">
        <v>211</v>
      </c>
      <c r="X184" s="145">
        <f t="shared" si="26"/>
        <v>218</v>
      </c>
    </row>
    <row r="185" spans="1:24">
      <c r="A185" s="155"/>
      <c r="B185" s="153">
        <v>373</v>
      </c>
      <c r="C185" s="154" t="s">
        <v>570</v>
      </c>
      <c r="D185" s="144">
        <v>5</v>
      </c>
      <c r="E185" s="145">
        <v>73</v>
      </c>
      <c r="F185" s="145">
        <v>88</v>
      </c>
      <c r="G185" s="145">
        <v>32</v>
      </c>
      <c r="H185" s="145">
        <v>27</v>
      </c>
      <c r="I185" s="145">
        <v>47</v>
      </c>
      <c r="J185" s="145">
        <f t="shared" si="24"/>
        <v>267</v>
      </c>
      <c r="K185" s="145">
        <v>117</v>
      </c>
      <c r="L185" s="147" t="s">
        <v>114</v>
      </c>
      <c r="M185" s="147" t="s">
        <v>114</v>
      </c>
      <c r="N185" s="147" t="s">
        <v>130</v>
      </c>
      <c r="O185" s="147" t="s">
        <v>124</v>
      </c>
      <c r="P185" s="147" t="s">
        <v>124</v>
      </c>
      <c r="Q185" s="147" t="s">
        <v>115</v>
      </c>
      <c r="R185" s="148" t="s">
        <v>311</v>
      </c>
      <c r="S185" s="148" t="s">
        <v>132</v>
      </c>
      <c r="T185" s="148" t="s">
        <v>119</v>
      </c>
      <c r="U185" s="148" t="s">
        <v>250</v>
      </c>
      <c r="V185" s="145">
        <f t="shared" si="25"/>
        <v>161</v>
      </c>
      <c r="W185" s="149"/>
      <c r="X185" s="145">
        <f t="shared" si="26"/>
        <v>193</v>
      </c>
    </row>
    <row r="186" spans="1:24">
      <c r="A186" s="152" t="s">
        <v>1488</v>
      </c>
      <c r="B186" s="153">
        <v>374</v>
      </c>
      <c r="C186" s="156" t="s">
        <v>661</v>
      </c>
      <c r="D186" s="144">
        <v>7</v>
      </c>
      <c r="E186" s="145">
        <v>74</v>
      </c>
      <c r="F186" s="145">
        <v>89</v>
      </c>
      <c r="G186" s="145">
        <v>53</v>
      </c>
      <c r="H186" s="145">
        <v>57</v>
      </c>
      <c r="I186" s="145">
        <v>85</v>
      </c>
      <c r="J186" s="145">
        <f t="shared" si="24"/>
        <v>358</v>
      </c>
      <c r="K186" s="145">
        <v>15</v>
      </c>
      <c r="L186" s="147" t="s">
        <v>130</v>
      </c>
      <c r="M186" s="147" t="s">
        <v>130</v>
      </c>
      <c r="N186" s="147" t="s">
        <v>114</v>
      </c>
      <c r="O186" s="147" t="s">
        <v>115</v>
      </c>
      <c r="P186" s="147" t="s">
        <v>130</v>
      </c>
      <c r="Q186" s="147" t="s">
        <v>130</v>
      </c>
      <c r="R186" s="148" t="s">
        <v>416</v>
      </c>
      <c r="S186" s="148" t="s">
        <v>132</v>
      </c>
      <c r="T186" s="148" t="s">
        <v>133</v>
      </c>
      <c r="U186" s="148" t="s">
        <v>120</v>
      </c>
      <c r="V186" s="145">
        <f t="shared" si="25"/>
        <v>163</v>
      </c>
      <c r="W186" s="149"/>
      <c r="X186" s="145">
        <f t="shared" si="26"/>
        <v>216</v>
      </c>
    </row>
    <row r="187" spans="1:24">
      <c r="A187" s="155"/>
      <c r="B187" s="153">
        <v>402</v>
      </c>
      <c r="C187" s="154" t="s">
        <v>991</v>
      </c>
      <c r="D187" s="144">
        <v>10</v>
      </c>
      <c r="E187" s="145">
        <v>83</v>
      </c>
      <c r="F187" s="145">
        <v>52</v>
      </c>
      <c r="G187" s="145">
        <v>88</v>
      </c>
      <c r="H187" s="145">
        <v>76</v>
      </c>
      <c r="I187" s="145">
        <v>66</v>
      </c>
      <c r="J187" s="145">
        <f t="shared" si="24"/>
        <v>365</v>
      </c>
      <c r="K187" s="145">
        <v>143</v>
      </c>
      <c r="L187" s="147" t="s">
        <v>114</v>
      </c>
      <c r="M187" s="147" t="s">
        <v>130</v>
      </c>
      <c r="N187" s="147" t="s">
        <v>114</v>
      </c>
      <c r="O187" s="147" t="s">
        <v>115</v>
      </c>
      <c r="P187" s="147" t="s">
        <v>114</v>
      </c>
      <c r="Q187" s="147" t="s">
        <v>130</v>
      </c>
      <c r="R187" s="158" t="s">
        <v>655</v>
      </c>
      <c r="S187" s="148" t="s">
        <v>132</v>
      </c>
      <c r="T187" s="148" t="s">
        <v>119</v>
      </c>
      <c r="U187" s="148" t="s">
        <v>120</v>
      </c>
      <c r="V187" s="145">
        <f t="shared" si="25"/>
        <v>135</v>
      </c>
      <c r="W187" s="149"/>
      <c r="X187" s="145">
        <f t="shared" si="26"/>
        <v>223</v>
      </c>
    </row>
    <row r="188" spans="1:24">
      <c r="A188" s="155"/>
      <c r="B188" s="153">
        <v>782</v>
      </c>
      <c r="C188" s="156" t="s">
        <v>359</v>
      </c>
      <c r="D188" s="144">
        <v>2</v>
      </c>
      <c r="E188" s="145">
        <v>23</v>
      </c>
      <c r="F188" s="145">
        <v>13</v>
      </c>
      <c r="G188" s="145">
        <v>74</v>
      </c>
      <c r="H188" s="145">
        <v>76</v>
      </c>
      <c r="I188" s="145">
        <v>82</v>
      </c>
      <c r="J188" s="145">
        <f t="shared" si="24"/>
        <v>268</v>
      </c>
      <c r="K188" s="145">
        <v>17</v>
      </c>
      <c r="L188" s="147" t="s">
        <v>124</v>
      </c>
      <c r="M188" s="147" t="s">
        <v>124</v>
      </c>
      <c r="N188" s="147" t="s">
        <v>124</v>
      </c>
      <c r="O188" s="147" t="s">
        <v>124</v>
      </c>
      <c r="P188" s="147" t="s">
        <v>124</v>
      </c>
      <c r="Q188" s="147" t="s">
        <v>115</v>
      </c>
      <c r="R188" s="148" t="s">
        <v>360</v>
      </c>
      <c r="S188" s="148" t="s">
        <v>319</v>
      </c>
      <c r="T188" s="148" t="s">
        <v>119</v>
      </c>
      <c r="U188" s="148" t="s">
        <v>120</v>
      </c>
      <c r="V188" s="145">
        <f t="shared" si="25"/>
        <v>36</v>
      </c>
      <c r="W188" s="149"/>
      <c r="X188" s="145">
        <f t="shared" si="26"/>
        <v>110</v>
      </c>
    </row>
    <row r="189" spans="1:24">
      <c r="A189" s="155"/>
      <c r="B189" s="153">
        <v>109</v>
      </c>
      <c r="C189" s="154" t="s">
        <v>922</v>
      </c>
      <c r="D189" s="144">
        <v>10</v>
      </c>
      <c r="E189" s="145">
        <v>82</v>
      </c>
      <c r="F189" s="145">
        <v>74</v>
      </c>
      <c r="G189" s="145">
        <v>75</v>
      </c>
      <c r="H189" s="145">
        <v>79</v>
      </c>
      <c r="I189" s="145">
        <v>82</v>
      </c>
      <c r="J189" s="145">
        <f t="shared" si="24"/>
        <v>392</v>
      </c>
      <c r="K189" s="145">
        <v>20</v>
      </c>
      <c r="L189" s="147" t="s">
        <v>115</v>
      </c>
      <c r="M189" s="147" t="s">
        <v>115</v>
      </c>
      <c r="N189" s="147" t="s">
        <v>130</v>
      </c>
      <c r="O189" s="147" t="s">
        <v>124</v>
      </c>
      <c r="P189" s="147" t="s">
        <v>114</v>
      </c>
      <c r="Q189" s="147" t="s">
        <v>114</v>
      </c>
      <c r="R189" s="148" t="s">
        <v>220</v>
      </c>
      <c r="S189" s="148" t="s">
        <v>175</v>
      </c>
      <c r="T189" s="148" t="s">
        <v>145</v>
      </c>
      <c r="U189" s="148" t="s">
        <v>126</v>
      </c>
      <c r="V189" s="145">
        <f t="shared" si="25"/>
        <v>156</v>
      </c>
      <c r="W189" s="149"/>
      <c r="X189" s="145">
        <f t="shared" si="26"/>
        <v>231</v>
      </c>
    </row>
    <row r="190" spans="1:24">
      <c r="A190" s="155"/>
      <c r="B190" s="153">
        <v>287</v>
      </c>
      <c r="C190" s="154" t="s">
        <v>805</v>
      </c>
      <c r="D190" s="144">
        <v>2</v>
      </c>
      <c r="E190" s="145">
        <v>51</v>
      </c>
      <c r="F190" s="145">
        <v>45</v>
      </c>
      <c r="G190" s="145">
        <v>85</v>
      </c>
      <c r="H190" s="145">
        <v>86</v>
      </c>
      <c r="I190" s="145">
        <v>63</v>
      </c>
      <c r="J190" s="145">
        <f t="shared" si="24"/>
        <v>330</v>
      </c>
      <c r="K190" s="145">
        <v>132</v>
      </c>
      <c r="L190" s="147" t="s">
        <v>124</v>
      </c>
      <c r="M190" s="147" t="s">
        <v>124</v>
      </c>
      <c r="N190" s="147" t="s">
        <v>124</v>
      </c>
      <c r="O190" s="147" t="s">
        <v>124</v>
      </c>
      <c r="P190" s="147" t="s">
        <v>130</v>
      </c>
      <c r="Q190" s="147" t="s">
        <v>124</v>
      </c>
      <c r="R190" s="148" t="s">
        <v>358</v>
      </c>
      <c r="S190" s="148" t="s">
        <v>119</v>
      </c>
      <c r="T190" s="148" t="s">
        <v>119</v>
      </c>
      <c r="U190" s="148" t="s">
        <v>120</v>
      </c>
      <c r="V190" s="145">
        <f t="shared" si="25"/>
        <v>96</v>
      </c>
      <c r="W190" s="149"/>
      <c r="X190" s="145">
        <f t="shared" si="26"/>
        <v>181</v>
      </c>
    </row>
    <row r="191" spans="1:24">
      <c r="A191" s="155"/>
      <c r="B191" s="153">
        <v>380</v>
      </c>
      <c r="C191" s="154" t="s">
        <v>367</v>
      </c>
      <c r="D191" s="144">
        <v>1</v>
      </c>
      <c r="E191" s="145">
        <v>63</v>
      </c>
      <c r="F191" s="145">
        <v>49</v>
      </c>
      <c r="G191" s="145">
        <v>74</v>
      </c>
      <c r="H191" s="145">
        <v>77</v>
      </c>
      <c r="I191" s="145">
        <v>82</v>
      </c>
      <c r="J191" s="145">
        <f t="shared" si="24"/>
        <v>345</v>
      </c>
      <c r="K191" s="145">
        <v>145</v>
      </c>
      <c r="L191" s="147" t="s">
        <v>124</v>
      </c>
      <c r="M191" s="147" t="s">
        <v>130</v>
      </c>
      <c r="N191" s="147" t="s">
        <v>130</v>
      </c>
      <c r="O191" s="147" t="s">
        <v>130</v>
      </c>
      <c r="P191" s="147" t="s">
        <v>124</v>
      </c>
      <c r="Q191" s="147" t="s">
        <v>130</v>
      </c>
      <c r="R191" s="148" t="s">
        <v>284</v>
      </c>
      <c r="S191" s="148" t="s">
        <v>132</v>
      </c>
      <c r="T191" s="148" t="s">
        <v>133</v>
      </c>
      <c r="U191" s="148" t="s">
        <v>120</v>
      </c>
      <c r="V191" s="145">
        <f t="shared" si="25"/>
        <v>112</v>
      </c>
      <c r="W191" s="149"/>
      <c r="X191" s="145">
        <f t="shared" si="26"/>
        <v>186</v>
      </c>
    </row>
    <row r="192" spans="1:24">
      <c r="A192" s="155"/>
      <c r="B192" s="153">
        <v>280</v>
      </c>
      <c r="C192" s="154" t="s">
        <v>388</v>
      </c>
      <c r="D192" s="144">
        <v>1</v>
      </c>
      <c r="E192" s="145">
        <v>22</v>
      </c>
      <c r="F192" s="145">
        <v>29</v>
      </c>
      <c r="G192" s="145">
        <v>76</v>
      </c>
      <c r="H192" s="145">
        <v>81</v>
      </c>
      <c r="I192" s="145">
        <v>78</v>
      </c>
      <c r="J192" s="145">
        <f t="shared" ref="J192:J205" si="27">SUM(E192:I192)</f>
        <v>286</v>
      </c>
      <c r="K192" s="145">
        <v>72</v>
      </c>
      <c r="L192" s="147" t="s">
        <v>124</v>
      </c>
      <c r="M192" s="147" t="s">
        <v>124</v>
      </c>
      <c r="N192" s="147" t="s">
        <v>124</v>
      </c>
      <c r="O192" s="147" t="s">
        <v>124</v>
      </c>
      <c r="P192" s="147" t="s">
        <v>124</v>
      </c>
      <c r="Q192" s="147" t="s">
        <v>124</v>
      </c>
      <c r="R192" s="148" t="s">
        <v>314</v>
      </c>
      <c r="S192" s="148" t="s">
        <v>132</v>
      </c>
      <c r="T192" s="148" t="s">
        <v>133</v>
      </c>
      <c r="U192" s="148" t="s">
        <v>148</v>
      </c>
      <c r="V192" s="145">
        <f t="shared" ref="V192:V205" si="28">E192+F192</f>
        <v>51</v>
      </c>
      <c r="W192" s="149"/>
      <c r="X192" s="145">
        <f t="shared" ref="X192:X205" si="29">E192+F192+G192</f>
        <v>127</v>
      </c>
    </row>
    <row r="193" spans="1:24">
      <c r="A193" s="152" t="s">
        <v>1489</v>
      </c>
      <c r="B193" s="153">
        <v>57</v>
      </c>
      <c r="C193" s="154" t="s">
        <v>377</v>
      </c>
      <c r="D193" s="144">
        <v>2</v>
      </c>
      <c r="E193" s="145">
        <v>74</v>
      </c>
      <c r="F193" s="145">
        <v>65</v>
      </c>
      <c r="G193" s="145">
        <v>67</v>
      </c>
      <c r="H193" s="145">
        <v>81</v>
      </c>
      <c r="I193" s="145">
        <v>80</v>
      </c>
      <c r="J193" s="145">
        <f t="shared" si="27"/>
        <v>367</v>
      </c>
      <c r="K193" s="145">
        <v>0</v>
      </c>
      <c r="L193" s="147" t="s">
        <v>114</v>
      </c>
      <c r="M193" s="147" t="s">
        <v>130</v>
      </c>
      <c r="N193" s="147" t="s">
        <v>130</v>
      </c>
      <c r="O193" s="147" t="s">
        <v>114</v>
      </c>
      <c r="P193" s="147" t="s">
        <v>124</v>
      </c>
      <c r="Q193" s="147" t="s">
        <v>124</v>
      </c>
      <c r="R193" s="148" t="s">
        <v>378</v>
      </c>
      <c r="S193" s="148" t="s">
        <v>119</v>
      </c>
      <c r="T193" s="148" t="s">
        <v>136</v>
      </c>
      <c r="U193" s="148" t="s">
        <v>120</v>
      </c>
      <c r="V193" s="145">
        <f t="shared" si="28"/>
        <v>139</v>
      </c>
      <c r="W193" s="149"/>
      <c r="X193" s="145">
        <f t="shared" si="29"/>
        <v>206</v>
      </c>
    </row>
    <row r="194" spans="1:24">
      <c r="A194" s="155"/>
      <c r="B194" s="153">
        <v>331</v>
      </c>
      <c r="C194" s="154" t="s">
        <v>754</v>
      </c>
      <c r="D194" s="144">
        <v>5</v>
      </c>
      <c r="E194" s="145">
        <v>81</v>
      </c>
      <c r="F194" s="145">
        <v>80</v>
      </c>
      <c r="G194" s="145">
        <v>54</v>
      </c>
      <c r="H194" s="145">
        <v>47</v>
      </c>
      <c r="I194" s="145">
        <v>71</v>
      </c>
      <c r="J194" s="145">
        <f t="shared" si="27"/>
        <v>333</v>
      </c>
      <c r="K194" s="145">
        <v>66</v>
      </c>
      <c r="L194" s="147" t="s">
        <v>114</v>
      </c>
      <c r="M194" s="147" t="s">
        <v>114</v>
      </c>
      <c r="N194" s="147" t="s">
        <v>114</v>
      </c>
      <c r="O194" s="147" t="s">
        <v>114</v>
      </c>
      <c r="P194" s="147" t="s">
        <v>130</v>
      </c>
      <c r="Q194" s="147" t="s">
        <v>114</v>
      </c>
      <c r="R194" s="148" t="s">
        <v>414</v>
      </c>
      <c r="S194" s="148" t="s">
        <v>132</v>
      </c>
      <c r="T194" s="148" t="s">
        <v>119</v>
      </c>
      <c r="U194" s="148" t="s">
        <v>120</v>
      </c>
      <c r="V194" s="145">
        <f t="shared" si="28"/>
        <v>161</v>
      </c>
      <c r="W194" s="149"/>
      <c r="X194" s="145">
        <f t="shared" si="29"/>
        <v>215</v>
      </c>
    </row>
    <row r="195" spans="1:24">
      <c r="A195" s="155"/>
      <c r="B195" s="153">
        <v>103</v>
      </c>
      <c r="C195" s="154" t="s">
        <v>277</v>
      </c>
      <c r="D195" s="144">
        <v>11</v>
      </c>
      <c r="E195" s="145">
        <v>30</v>
      </c>
      <c r="F195" s="145">
        <v>42</v>
      </c>
      <c r="G195" s="145">
        <v>90</v>
      </c>
      <c r="H195" s="145">
        <v>88</v>
      </c>
      <c r="I195" s="145">
        <v>108</v>
      </c>
      <c r="J195" s="145">
        <f t="shared" si="27"/>
        <v>358</v>
      </c>
      <c r="K195" s="145">
        <v>96</v>
      </c>
      <c r="L195" s="147" t="s">
        <v>124</v>
      </c>
      <c r="M195" s="147" t="s">
        <v>124</v>
      </c>
      <c r="N195" s="147" t="s">
        <v>124</v>
      </c>
      <c r="O195" s="147" t="s">
        <v>124</v>
      </c>
      <c r="P195" s="147" t="s">
        <v>124</v>
      </c>
      <c r="Q195" s="147" t="s">
        <v>124</v>
      </c>
      <c r="R195" s="148" t="s">
        <v>278</v>
      </c>
      <c r="S195" s="148" t="s">
        <v>119</v>
      </c>
      <c r="T195" s="148" t="s">
        <v>279</v>
      </c>
      <c r="U195" s="148" t="s">
        <v>148</v>
      </c>
      <c r="V195" s="145">
        <f t="shared" si="28"/>
        <v>72</v>
      </c>
      <c r="W195" s="149"/>
      <c r="X195" s="145">
        <f t="shared" si="29"/>
        <v>162</v>
      </c>
    </row>
    <row r="196" spans="1:24">
      <c r="A196" s="155"/>
      <c r="B196" s="153">
        <v>209</v>
      </c>
      <c r="C196" s="154" t="s">
        <v>988</v>
      </c>
      <c r="D196" s="144">
        <v>8</v>
      </c>
      <c r="E196" s="145">
        <v>83</v>
      </c>
      <c r="F196" s="145">
        <v>57</v>
      </c>
      <c r="G196" s="145">
        <v>93</v>
      </c>
      <c r="H196" s="145">
        <v>81</v>
      </c>
      <c r="I196" s="145">
        <v>68</v>
      </c>
      <c r="J196" s="145">
        <f t="shared" si="27"/>
        <v>382</v>
      </c>
      <c r="K196" s="145">
        <v>71</v>
      </c>
      <c r="L196" s="147" t="s">
        <v>114</v>
      </c>
      <c r="M196" s="147" t="s">
        <v>114</v>
      </c>
      <c r="N196" s="147" t="s">
        <v>115</v>
      </c>
      <c r="O196" s="147" t="s">
        <v>130</v>
      </c>
      <c r="P196" s="147" t="s">
        <v>114</v>
      </c>
      <c r="Q196" s="147" t="s">
        <v>130</v>
      </c>
      <c r="R196" s="148" t="s">
        <v>266</v>
      </c>
      <c r="S196" s="148" t="s">
        <v>118</v>
      </c>
      <c r="T196" s="148" t="s">
        <v>119</v>
      </c>
      <c r="U196" s="148" t="s">
        <v>126</v>
      </c>
      <c r="V196" s="145">
        <f t="shared" si="28"/>
        <v>140</v>
      </c>
      <c r="W196" s="149"/>
      <c r="X196" s="145">
        <f t="shared" si="29"/>
        <v>233</v>
      </c>
    </row>
    <row r="197" spans="1:24">
      <c r="A197" s="155"/>
      <c r="B197" s="153">
        <v>695</v>
      </c>
      <c r="C197" s="154" t="s">
        <v>195</v>
      </c>
      <c r="D197" s="144">
        <v>12</v>
      </c>
      <c r="E197" s="145">
        <v>83</v>
      </c>
      <c r="F197" s="145">
        <v>87</v>
      </c>
      <c r="G197" s="145">
        <v>57</v>
      </c>
      <c r="H197" s="145">
        <v>71</v>
      </c>
      <c r="I197" s="145">
        <v>78</v>
      </c>
      <c r="J197" s="145">
        <f t="shared" si="27"/>
        <v>376</v>
      </c>
      <c r="K197" s="145">
        <v>92</v>
      </c>
      <c r="L197" s="147" t="s">
        <v>130</v>
      </c>
      <c r="M197" s="147" t="s">
        <v>114</v>
      </c>
      <c r="N197" s="147" t="s">
        <v>124</v>
      </c>
      <c r="O197" s="147" t="s">
        <v>114</v>
      </c>
      <c r="P197" s="147" t="s">
        <v>115</v>
      </c>
      <c r="Q197" s="147" t="s">
        <v>115</v>
      </c>
      <c r="R197" s="148" t="s">
        <v>196</v>
      </c>
      <c r="S197" s="148" t="s">
        <v>132</v>
      </c>
      <c r="T197" s="148" t="s">
        <v>119</v>
      </c>
      <c r="U197" s="148" t="s">
        <v>148</v>
      </c>
      <c r="V197" s="145">
        <f t="shared" si="28"/>
        <v>170</v>
      </c>
      <c r="W197" s="149"/>
      <c r="X197" s="145">
        <f t="shared" si="29"/>
        <v>227</v>
      </c>
    </row>
    <row r="198" spans="1:24">
      <c r="A198" s="152" t="s">
        <v>1490</v>
      </c>
      <c r="B198" s="153">
        <v>325</v>
      </c>
      <c r="C198" s="154" t="s">
        <v>575</v>
      </c>
      <c r="D198" s="144">
        <v>7</v>
      </c>
      <c r="E198" s="145">
        <v>79</v>
      </c>
      <c r="F198" s="145">
        <v>75</v>
      </c>
      <c r="G198" s="145">
        <v>56</v>
      </c>
      <c r="H198" s="145">
        <v>45</v>
      </c>
      <c r="I198" s="145">
        <v>45</v>
      </c>
      <c r="J198" s="145">
        <f t="shared" si="27"/>
        <v>300</v>
      </c>
      <c r="K198" s="145">
        <v>68</v>
      </c>
      <c r="L198" s="147" t="s">
        <v>115</v>
      </c>
      <c r="M198" s="147" t="s">
        <v>114</v>
      </c>
      <c r="N198" s="147" t="s">
        <v>130</v>
      </c>
      <c r="O198" s="147" t="s">
        <v>130</v>
      </c>
      <c r="P198" s="147" t="s">
        <v>124</v>
      </c>
      <c r="Q198" s="147" t="s">
        <v>114</v>
      </c>
      <c r="R198" s="148" t="s">
        <v>472</v>
      </c>
      <c r="S198" s="148" t="s">
        <v>119</v>
      </c>
      <c r="T198" s="148" t="s">
        <v>119</v>
      </c>
      <c r="U198" s="148" t="s">
        <v>250</v>
      </c>
      <c r="V198" s="145">
        <f t="shared" si="28"/>
        <v>154</v>
      </c>
      <c r="W198" s="149"/>
      <c r="X198" s="145">
        <f t="shared" si="29"/>
        <v>210</v>
      </c>
    </row>
    <row r="199" spans="1:24">
      <c r="A199" s="155"/>
      <c r="B199" s="153">
        <v>24</v>
      </c>
      <c r="C199" s="154" t="s">
        <v>1008</v>
      </c>
      <c r="D199" s="144">
        <v>2</v>
      </c>
      <c r="E199" s="145">
        <v>50</v>
      </c>
      <c r="F199" s="145">
        <v>71</v>
      </c>
      <c r="G199" s="145">
        <v>83</v>
      </c>
      <c r="H199" s="145">
        <v>60</v>
      </c>
      <c r="I199" s="145">
        <v>60</v>
      </c>
      <c r="J199" s="145">
        <f t="shared" si="27"/>
        <v>324</v>
      </c>
      <c r="K199" s="145">
        <v>61</v>
      </c>
      <c r="L199" s="147" t="s">
        <v>124</v>
      </c>
      <c r="M199" s="147" t="s">
        <v>124</v>
      </c>
      <c r="N199" s="147" t="s">
        <v>124</v>
      </c>
      <c r="O199" s="147" t="s">
        <v>124</v>
      </c>
      <c r="P199" s="147" t="s">
        <v>114</v>
      </c>
      <c r="Q199" s="147" t="s">
        <v>130</v>
      </c>
      <c r="R199" s="148" t="s">
        <v>360</v>
      </c>
      <c r="S199" s="148" t="s">
        <v>119</v>
      </c>
      <c r="T199" s="148" t="s">
        <v>119</v>
      </c>
      <c r="U199" s="148" t="s">
        <v>148</v>
      </c>
      <c r="V199" s="145">
        <f t="shared" si="28"/>
        <v>121</v>
      </c>
      <c r="W199" s="149"/>
      <c r="X199" s="145">
        <f t="shared" si="29"/>
        <v>204</v>
      </c>
    </row>
    <row r="200" spans="1:24">
      <c r="A200" s="155"/>
      <c r="B200" s="153">
        <v>776</v>
      </c>
      <c r="C200" s="154" t="s">
        <v>961</v>
      </c>
      <c r="D200" s="144">
        <v>1</v>
      </c>
      <c r="E200" s="145">
        <v>70</v>
      </c>
      <c r="F200" s="145">
        <v>67</v>
      </c>
      <c r="G200" s="145">
        <v>61</v>
      </c>
      <c r="H200" s="145">
        <v>74</v>
      </c>
      <c r="I200" s="145">
        <v>74</v>
      </c>
      <c r="J200" s="145">
        <f t="shared" si="27"/>
        <v>346</v>
      </c>
      <c r="K200" s="145">
        <v>21</v>
      </c>
      <c r="L200" s="147" t="s">
        <v>130</v>
      </c>
      <c r="M200" s="147" t="s">
        <v>114</v>
      </c>
      <c r="N200" s="147" t="s">
        <v>130</v>
      </c>
      <c r="O200" s="147" t="s">
        <v>130</v>
      </c>
      <c r="P200" s="147" t="s">
        <v>114</v>
      </c>
      <c r="Q200" s="147" t="s">
        <v>124</v>
      </c>
      <c r="R200" s="149"/>
      <c r="S200" s="148" t="s">
        <v>132</v>
      </c>
      <c r="T200" s="148" t="s">
        <v>136</v>
      </c>
      <c r="U200" s="148" t="s">
        <v>148</v>
      </c>
      <c r="V200" s="145">
        <f t="shared" si="28"/>
        <v>137</v>
      </c>
      <c r="W200" s="149"/>
      <c r="X200" s="145">
        <f t="shared" si="29"/>
        <v>198</v>
      </c>
    </row>
    <row r="201" spans="1:24">
      <c r="A201" s="155"/>
      <c r="B201" s="153">
        <v>350</v>
      </c>
      <c r="C201" s="154" t="s">
        <v>850</v>
      </c>
      <c r="D201" s="144">
        <v>5</v>
      </c>
      <c r="E201" s="145">
        <v>79</v>
      </c>
      <c r="F201" s="145">
        <v>79</v>
      </c>
      <c r="G201" s="145">
        <v>66</v>
      </c>
      <c r="H201" s="145">
        <v>54</v>
      </c>
      <c r="I201" s="145">
        <v>50</v>
      </c>
      <c r="J201" s="145">
        <f t="shared" si="27"/>
        <v>328</v>
      </c>
      <c r="K201" s="145">
        <v>88</v>
      </c>
      <c r="L201" s="147" t="s">
        <v>130</v>
      </c>
      <c r="M201" s="147" t="s">
        <v>114</v>
      </c>
      <c r="N201" s="147" t="s">
        <v>114</v>
      </c>
      <c r="O201" s="147" t="s">
        <v>130</v>
      </c>
      <c r="P201" s="147" t="s">
        <v>130</v>
      </c>
      <c r="Q201" s="147" t="s">
        <v>115</v>
      </c>
      <c r="R201" s="148" t="s">
        <v>452</v>
      </c>
      <c r="S201" s="148" t="s">
        <v>119</v>
      </c>
      <c r="T201" s="148" t="s">
        <v>119</v>
      </c>
      <c r="U201" s="148" t="s">
        <v>126</v>
      </c>
      <c r="V201" s="145">
        <f t="shared" si="28"/>
        <v>158</v>
      </c>
      <c r="W201" s="149"/>
      <c r="X201" s="145">
        <f t="shared" si="29"/>
        <v>224</v>
      </c>
    </row>
    <row r="202" spans="1:24">
      <c r="A202" s="155"/>
      <c r="B202" s="153">
        <v>366</v>
      </c>
      <c r="C202" s="154" t="s">
        <v>1038</v>
      </c>
      <c r="D202" s="144">
        <v>6</v>
      </c>
      <c r="E202" s="145">
        <v>85</v>
      </c>
      <c r="F202" s="145">
        <v>44</v>
      </c>
      <c r="G202" s="145">
        <v>70</v>
      </c>
      <c r="H202" s="145">
        <v>41</v>
      </c>
      <c r="I202" s="145">
        <v>46</v>
      </c>
      <c r="J202" s="145">
        <f t="shared" si="27"/>
        <v>286</v>
      </c>
      <c r="K202" s="145">
        <v>77</v>
      </c>
      <c r="L202" s="147" t="s">
        <v>130</v>
      </c>
      <c r="M202" s="147" t="s">
        <v>114</v>
      </c>
      <c r="N202" s="147" t="s">
        <v>115</v>
      </c>
      <c r="O202" s="147" t="s">
        <v>130</v>
      </c>
      <c r="P202" s="147" t="s">
        <v>114</v>
      </c>
      <c r="Q202" s="147" t="s">
        <v>115</v>
      </c>
      <c r="R202" s="148" t="s">
        <v>194</v>
      </c>
      <c r="S202" s="148" t="s">
        <v>119</v>
      </c>
      <c r="T202" s="148" t="s">
        <v>119</v>
      </c>
      <c r="U202" s="148" t="s">
        <v>120</v>
      </c>
      <c r="V202" s="145">
        <f t="shared" si="28"/>
        <v>129</v>
      </c>
      <c r="W202" s="149"/>
      <c r="X202" s="145">
        <f t="shared" si="29"/>
        <v>199</v>
      </c>
    </row>
    <row r="203" spans="1:24">
      <c r="A203" s="155"/>
      <c r="B203" s="153">
        <v>520</v>
      </c>
      <c r="C203" s="154" t="s">
        <v>448</v>
      </c>
      <c r="D203" s="144">
        <v>1</v>
      </c>
      <c r="E203" s="145">
        <v>32</v>
      </c>
      <c r="F203" s="145">
        <v>25</v>
      </c>
      <c r="G203" s="145">
        <v>80</v>
      </c>
      <c r="H203" s="145">
        <v>89</v>
      </c>
      <c r="I203" s="145">
        <v>71</v>
      </c>
      <c r="J203" s="145">
        <f t="shared" si="27"/>
        <v>297</v>
      </c>
      <c r="K203" s="145">
        <v>48</v>
      </c>
      <c r="L203" s="147" t="s">
        <v>124</v>
      </c>
      <c r="M203" s="147" t="s">
        <v>124</v>
      </c>
      <c r="N203" s="147" t="s">
        <v>124</v>
      </c>
      <c r="O203" s="147" t="s">
        <v>124</v>
      </c>
      <c r="P203" s="147" t="s">
        <v>124</v>
      </c>
      <c r="Q203" s="147" t="s">
        <v>130</v>
      </c>
      <c r="R203" s="148" t="s">
        <v>414</v>
      </c>
      <c r="S203" s="148" t="s">
        <v>132</v>
      </c>
      <c r="T203" s="148" t="s">
        <v>119</v>
      </c>
      <c r="U203" s="148" t="s">
        <v>148</v>
      </c>
      <c r="V203" s="145">
        <f t="shared" si="28"/>
        <v>57</v>
      </c>
      <c r="W203" s="149"/>
      <c r="X203" s="145">
        <f t="shared" si="29"/>
        <v>137</v>
      </c>
    </row>
    <row r="204" spans="1:24">
      <c r="A204" s="155"/>
      <c r="B204" s="153">
        <v>342</v>
      </c>
      <c r="C204" s="154" t="s">
        <v>369</v>
      </c>
      <c r="D204" s="144">
        <v>4</v>
      </c>
      <c r="E204" s="145">
        <v>28</v>
      </c>
      <c r="F204" s="145">
        <v>17</v>
      </c>
      <c r="G204" s="145">
        <v>82</v>
      </c>
      <c r="H204" s="145">
        <v>88</v>
      </c>
      <c r="I204" s="145">
        <v>81</v>
      </c>
      <c r="J204" s="145">
        <f t="shared" si="27"/>
        <v>296</v>
      </c>
      <c r="K204" s="145">
        <v>88</v>
      </c>
      <c r="L204" s="147" t="s">
        <v>124</v>
      </c>
      <c r="M204" s="147" t="s">
        <v>124</v>
      </c>
      <c r="N204" s="147" t="s">
        <v>124</v>
      </c>
      <c r="O204" s="147" t="s">
        <v>124</v>
      </c>
      <c r="P204" s="147" t="s">
        <v>124</v>
      </c>
      <c r="Q204" s="147" t="s">
        <v>124</v>
      </c>
      <c r="R204" s="148" t="s">
        <v>344</v>
      </c>
      <c r="S204" s="148" t="s">
        <v>119</v>
      </c>
      <c r="T204" s="148" t="s">
        <v>119</v>
      </c>
      <c r="U204" s="148" t="s">
        <v>120</v>
      </c>
      <c r="V204" s="145">
        <f t="shared" si="28"/>
        <v>45</v>
      </c>
      <c r="W204" s="149"/>
      <c r="X204" s="145">
        <f t="shared" si="29"/>
        <v>127</v>
      </c>
    </row>
    <row r="205" spans="1:24">
      <c r="A205" s="155"/>
      <c r="B205" s="153">
        <v>505</v>
      </c>
      <c r="C205" s="154" t="s">
        <v>682</v>
      </c>
      <c r="D205" s="144">
        <v>7</v>
      </c>
      <c r="E205" s="145">
        <v>76</v>
      </c>
      <c r="F205" s="145">
        <v>79</v>
      </c>
      <c r="G205" s="145">
        <v>63</v>
      </c>
      <c r="H205" s="145">
        <v>66</v>
      </c>
      <c r="I205" s="145">
        <v>82</v>
      </c>
      <c r="J205" s="145">
        <f t="shared" si="27"/>
        <v>366</v>
      </c>
      <c r="K205" s="145">
        <v>88</v>
      </c>
      <c r="L205" s="147" t="s">
        <v>115</v>
      </c>
      <c r="M205" s="147" t="s">
        <v>114</v>
      </c>
      <c r="N205" s="147" t="s">
        <v>114</v>
      </c>
      <c r="O205" s="147" t="s">
        <v>130</v>
      </c>
      <c r="P205" s="147" t="s">
        <v>130</v>
      </c>
      <c r="Q205" s="147" t="s">
        <v>130</v>
      </c>
      <c r="R205" s="148" t="s">
        <v>198</v>
      </c>
      <c r="S205" s="148" t="s">
        <v>118</v>
      </c>
      <c r="T205" s="148" t="s">
        <v>119</v>
      </c>
      <c r="U205" s="148" t="s">
        <v>126</v>
      </c>
      <c r="V205" s="145">
        <f t="shared" si="28"/>
        <v>155</v>
      </c>
      <c r="W205" s="149"/>
      <c r="X205" s="145">
        <f t="shared" si="29"/>
        <v>218</v>
      </c>
    </row>
    <row r="206" spans="1:24">
      <c r="A206" s="161"/>
      <c r="B206" s="153"/>
      <c r="C206" s="154"/>
      <c r="D206" s="144"/>
      <c r="E206" s="145"/>
      <c r="F206" s="145"/>
      <c r="G206" s="145"/>
      <c r="H206" s="145"/>
      <c r="I206" s="145"/>
      <c r="J206" s="145"/>
      <c r="K206" s="145"/>
      <c r="L206" s="147"/>
      <c r="M206" s="147"/>
      <c r="N206" s="147"/>
      <c r="O206" s="147"/>
      <c r="P206" s="147"/>
      <c r="Q206" s="147"/>
      <c r="R206" s="148"/>
      <c r="S206" s="148"/>
      <c r="T206" s="148"/>
      <c r="U206" s="148"/>
      <c r="V206" s="145"/>
      <c r="W206" s="149"/>
      <c r="X206" s="145"/>
    </row>
    <row r="207" spans="1:24">
      <c r="A207" s="161"/>
      <c r="B207" s="153"/>
      <c r="C207" s="154"/>
      <c r="D207" s="144"/>
      <c r="E207" s="145"/>
      <c r="F207" s="145"/>
      <c r="G207" s="145"/>
      <c r="H207" s="145"/>
      <c r="I207" s="145"/>
      <c r="J207" s="145"/>
      <c r="K207" s="145"/>
      <c r="L207" s="147"/>
      <c r="M207" s="147"/>
      <c r="N207" s="147"/>
      <c r="O207" s="147"/>
      <c r="P207" s="147"/>
      <c r="Q207" s="147"/>
      <c r="R207" s="148"/>
      <c r="S207" s="148"/>
      <c r="T207" s="148"/>
      <c r="U207" s="148"/>
      <c r="V207" s="145"/>
      <c r="W207" s="149"/>
      <c r="X207" s="145"/>
    </row>
    <row r="208" spans="1:24">
      <c r="A208" s="161"/>
      <c r="B208" s="153"/>
      <c r="C208" s="154"/>
      <c r="D208" s="144"/>
      <c r="E208" s="145"/>
      <c r="F208" s="145"/>
      <c r="G208" s="145"/>
      <c r="H208" s="145"/>
      <c r="I208" s="145"/>
      <c r="J208" s="145"/>
      <c r="K208" s="145"/>
      <c r="L208" s="147"/>
      <c r="M208" s="147"/>
      <c r="N208" s="147"/>
      <c r="O208" s="147"/>
      <c r="P208" s="147"/>
      <c r="Q208" s="147"/>
      <c r="R208" s="148"/>
      <c r="S208" s="148"/>
      <c r="T208" s="148"/>
      <c r="U208" s="148"/>
      <c r="V208" s="145"/>
      <c r="W208" s="149"/>
      <c r="X208" s="145"/>
    </row>
    <row r="209" spans="1:24">
      <c r="A209" s="161"/>
      <c r="B209" s="153"/>
      <c r="C209" s="154"/>
      <c r="D209" s="144"/>
      <c r="E209" s="145"/>
      <c r="F209" s="145"/>
      <c r="G209" s="145"/>
      <c r="H209" s="145"/>
      <c r="I209" s="145"/>
      <c r="J209" s="145"/>
      <c r="K209" s="145"/>
      <c r="L209" s="147"/>
      <c r="M209" s="147"/>
      <c r="N209" s="147"/>
      <c r="O209" s="147"/>
      <c r="P209" s="147"/>
      <c r="Q209" s="147"/>
      <c r="R209" s="148"/>
      <c r="S209" s="148"/>
      <c r="T209" s="148"/>
      <c r="U209" s="148"/>
      <c r="V209" s="145"/>
      <c r="W209" s="149"/>
      <c r="X209" s="145"/>
    </row>
    <row r="210" spans="1:24">
      <c r="A210" s="161"/>
      <c r="B210" s="153"/>
      <c r="C210" s="154"/>
      <c r="D210" s="144"/>
      <c r="E210" s="145"/>
      <c r="F210" s="145"/>
      <c r="G210" s="145"/>
      <c r="H210" s="145"/>
      <c r="I210" s="145"/>
      <c r="J210" s="145"/>
      <c r="K210" s="145"/>
      <c r="L210" s="147"/>
      <c r="M210" s="147"/>
      <c r="N210" s="147"/>
      <c r="O210" s="147"/>
      <c r="P210" s="147"/>
      <c r="Q210" s="147"/>
      <c r="R210" s="148"/>
      <c r="S210" s="148"/>
      <c r="T210" s="148"/>
      <c r="U210" s="148"/>
      <c r="V210" s="145"/>
      <c r="W210" s="149"/>
      <c r="X210" s="145"/>
    </row>
    <row r="211" spans="1:24">
      <c r="A211" s="161"/>
      <c r="B211" s="153"/>
      <c r="C211" s="154"/>
      <c r="D211" s="144"/>
      <c r="E211" s="145"/>
      <c r="F211" s="145"/>
      <c r="G211" s="145"/>
      <c r="H211" s="145"/>
      <c r="I211" s="145"/>
      <c r="J211" s="145"/>
      <c r="K211" s="145"/>
      <c r="L211" s="147"/>
      <c r="M211" s="147"/>
      <c r="N211" s="147"/>
      <c r="O211" s="147"/>
      <c r="P211" s="147"/>
      <c r="Q211" s="147"/>
      <c r="R211" s="148"/>
      <c r="S211" s="148"/>
      <c r="T211" s="148"/>
      <c r="U211" s="148"/>
      <c r="V211" s="145"/>
      <c r="W211" s="149"/>
      <c r="X211" s="145"/>
    </row>
    <row r="212" spans="1:24">
      <c r="A212" s="161"/>
      <c r="B212" s="153"/>
      <c r="C212" s="154"/>
      <c r="D212" s="144"/>
      <c r="E212" s="145"/>
      <c r="F212" s="145"/>
      <c r="G212" s="145"/>
      <c r="H212" s="145"/>
      <c r="I212" s="145"/>
      <c r="J212" s="145"/>
      <c r="K212" s="145"/>
      <c r="L212" s="147"/>
      <c r="M212" s="147"/>
      <c r="N212" s="147"/>
      <c r="O212" s="147"/>
      <c r="P212" s="147"/>
      <c r="Q212" s="147"/>
      <c r="R212" s="148"/>
      <c r="S212" s="148"/>
      <c r="T212" s="148"/>
      <c r="U212" s="148"/>
      <c r="V212" s="145"/>
      <c r="W212" s="149"/>
      <c r="X212" s="145"/>
    </row>
    <row r="213" spans="1:24">
      <c r="A213" s="161"/>
      <c r="B213" s="153"/>
      <c r="C213" s="154"/>
      <c r="D213" s="144"/>
      <c r="E213" s="145"/>
      <c r="F213" s="145"/>
      <c r="G213" s="145"/>
      <c r="H213" s="145"/>
      <c r="I213" s="145"/>
      <c r="J213" s="145"/>
      <c r="K213" s="145"/>
      <c r="L213" s="147"/>
      <c r="M213" s="147"/>
      <c r="N213" s="147"/>
      <c r="O213" s="147"/>
      <c r="P213" s="147"/>
      <c r="Q213" s="147"/>
      <c r="R213" s="148"/>
      <c r="S213" s="148"/>
      <c r="T213" s="148"/>
      <c r="U213" s="148"/>
      <c r="V213" s="145"/>
      <c r="W213" s="149"/>
      <c r="X213" s="145"/>
    </row>
    <row r="214" spans="1:24">
      <c r="A214" s="161"/>
      <c r="B214" s="153"/>
      <c r="C214" s="154"/>
      <c r="D214" s="144"/>
      <c r="E214" s="145"/>
      <c r="F214" s="145"/>
      <c r="G214" s="145"/>
      <c r="H214" s="145"/>
      <c r="I214" s="145"/>
      <c r="J214" s="145"/>
      <c r="K214" s="145"/>
      <c r="L214" s="147"/>
      <c r="M214" s="147"/>
      <c r="N214" s="147"/>
      <c r="O214" s="147"/>
      <c r="P214" s="147"/>
      <c r="Q214" s="147"/>
      <c r="R214" s="148"/>
      <c r="S214" s="148"/>
      <c r="T214" s="148"/>
      <c r="U214" s="148"/>
      <c r="V214" s="145"/>
      <c r="W214" s="149"/>
      <c r="X214" s="145"/>
    </row>
    <row r="215" spans="1:24">
      <c r="A215" s="161"/>
      <c r="B215" s="153"/>
      <c r="C215" s="154"/>
      <c r="D215" s="144"/>
      <c r="E215" s="145"/>
      <c r="F215" s="145"/>
      <c r="G215" s="145"/>
      <c r="H215" s="145"/>
      <c r="I215" s="145"/>
      <c r="J215" s="145"/>
      <c r="K215" s="145"/>
      <c r="L215" s="147"/>
      <c r="M215" s="147"/>
      <c r="N215" s="147"/>
      <c r="O215" s="147"/>
      <c r="P215" s="147"/>
      <c r="Q215" s="147"/>
      <c r="R215" s="148"/>
      <c r="S215" s="148"/>
      <c r="T215" s="148"/>
      <c r="U215" s="148"/>
      <c r="V215" s="145"/>
      <c r="W215" s="149"/>
      <c r="X215" s="145"/>
    </row>
    <row r="216" spans="1:24">
      <c r="A216" s="161"/>
      <c r="B216" s="153"/>
      <c r="C216" s="154"/>
      <c r="D216" s="144"/>
      <c r="E216" s="145"/>
      <c r="F216" s="145"/>
      <c r="G216" s="145"/>
      <c r="H216" s="145"/>
      <c r="I216" s="145"/>
      <c r="J216" s="145"/>
      <c r="K216" s="145"/>
      <c r="L216" s="147"/>
      <c r="M216" s="147"/>
      <c r="N216" s="147"/>
      <c r="O216" s="147"/>
      <c r="P216" s="147"/>
      <c r="Q216" s="147"/>
      <c r="R216" s="148"/>
      <c r="S216" s="148"/>
      <c r="T216" s="148"/>
      <c r="U216" s="148"/>
      <c r="V216" s="145"/>
      <c r="W216" s="149"/>
      <c r="X216" s="145"/>
    </row>
    <row r="217" spans="1:24">
      <c r="A217" s="161"/>
      <c r="B217" s="153"/>
      <c r="C217" s="154"/>
      <c r="D217" s="144"/>
      <c r="E217" s="145"/>
      <c r="F217" s="145"/>
      <c r="G217" s="145"/>
      <c r="H217" s="145"/>
      <c r="I217" s="145"/>
      <c r="J217" s="145"/>
      <c r="K217" s="145"/>
      <c r="L217" s="147"/>
      <c r="M217" s="147"/>
      <c r="N217" s="147"/>
      <c r="O217" s="147"/>
      <c r="P217" s="147"/>
      <c r="Q217" s="147"/>
      <c r="R217" s="148"/>
      <c r="S217" s="148"/>
      <c r="T217" s="148"/>
      <c r="U217" s="148"/>
      <c r="V217" s="145"/>
      <c r="W217" s="149"/>
      <c r="X217" s="145"/>
    </row>
    <row r="218" ht="17.6" spans="1:24">
      <c r="A218" s="161"/>
      <c r="B218" s="124"/>
      <c r="C218" s="121"/>
      <c r="D218" s="124"/>
      <c r="E218" s="121"/>
      <c r="F218" s="121"/>
      <c r="G218" s="121"/>
      <c r="H218" s="162"/>
      <c r="I218" s="162"/>
      <c r="J218" s="162"/>
      <c r="K218" s="162"/>
      <c r="L218" s="163"/>
      <c r="M218" s="163"/>
      <c r="N218" s="163"/>
      <c r="O218" s="163"/>
      <c r="P218" s="163"/>
      <c r="Q218" s="163"/>
      <c r="R218" s="164"/>
      <c r="S218" s="165"/>
      <c r="T218" s="165"/>
      <c r="U218" s="165"/>
      <c r="V218" s="162"/>
      <c r="W218" s="164"/>
      <c r="X218" s="162"/>
    </row>
    <row r="219" spans="1:24">
      <c r="A219" s="161"/>
      <c r="B219" s="153"/>
      <c r="C219" s="154"/>
      <c r="D219" s="144"/>
      <c r="E219" s="145"/>
      <c r="F219" s="145"/>
      <c r="G219" s="145"/>
      <c r="H219" s="145"/>
      <c r="I219" s="145"/>
      <c r="J219" s="145"/>
      <c r="K219" s="145"/>
      <c r="L219" s="147"/>
      <c r="M219" s="147"/>
      <c r="N219" s="147"/>
      <c r="O219" s="147"/>
      <c r="P219" s="147"/>
      <c r="Q219" s="147"/>
      <c r="R219" s="148"/>
      <c r="S219" s="148"/>
      <c r="T219" s="148"/>
      <c r="U219" s="148"/>
      <c r="V219" s="145"/>
      <c r="W219" s="149"/>
      <c r="X219" s="145"/>
    </row>
    <row r="220" spans="1:24">
      <c r="A220" s="161"/>
      <c r="B220" s="153"/>
      <c r="C220" s="154"/>
      <c r="D220" s="144"/>
      <c r="E220" s="145"/>
      <c r="F220" s="145"/>
      <c r="G220" s="145"/>
      <c r="H220" s="145"/>
      <c r="I220" s="145"/>
      <c r="J220" s="145"/>
      <c r="K220" s="145"/>
      <c r="L220" s="147"/>
      <c r="M220" s="147"/>
      <c r="N220" s="147"/>
      <c r="O220" s="147"/>
      <c r="P220" s="147"/>
      <c r="Q220" s="147"/>
      <c r="R220" s="158"/>
      <c r="S220" s="148"/>
      <c r="T220" s="148"/>
      <c r="U220" s="148"/>
      <c r="V220" s="145"/>
      <c r="W220" s="148"/>
      <c r="X220" s="145"/>
    </row>
    <row r="221" spans="1:24">
      <c r="A221" s="161"/>
      <c r="B221" s="153"/>
      <c r="C221" s="154"/>
      <c r="D221" s="144"/>
      <c r="E221" s="145"/>
      <c r="F221" s="145"/>
      <c r="G221" s="145"/>
      <c r="H221" s="145"/>
      <c r="I221" s="145"/>
      <c r="J221" s="145"/>
      <c r="K221" s="145"/>
      <c r="L221" s="147"/>
      <c r="M221" s="147"/>
      <c r="N221" s="147"/>
      <c r="O221" s="147"/>
      <c r="P221" s="147"/>
      <c r="Q221" s="147"/>
      <c r="R221" s="148"/>
      <c r="S221" s="148"/>
      <c r="T221" s="148"/>
      <c r="U221" s="148"/>
      <c r="V221" s="145"/>
      <c r="W221" s="149"/>
      <c r="X221" s="145"/>
    </row>
    <row r="222" ht="17.6" spans="1:24">
      <c r="A222" s="161"/>
      <c r="B222" s="124"/>
      <c r="C222" s="121"/>
      <c r="D222" s="124"/>
      <c r="E222" s="121"/>
      <c r="F222" s="121"/>
      <c r="G222" s="135"/>
      <c r="H222" s="162"/>
      <c r="I222" s="162"/>
      <c r="J222" s="162"/>
      <c r="K222" s="162"/>
      <c r="L222" s="163"/>
      <c r="M222" s="163"/>
      <c r="N222" s="163"/>
      <c r="O222" s="163"/>
      <c r="P222" s="163"/>
      <c r="Q222" s="163"/>
      <c r="R222" s="164"/>
      <c r="S222" s="165"/>
      <c r="T222" s="165"/>
      <c r="U222" s="165"/>
      <c r="V222" s="162"/>
      <c r="W222" s="164"/>
      <c r="X222" s="162"/>
    </row>
    <row r="223" spans="1:24">
      <c r="A223" s="161"/>
      <c r="B223" s="153"/>
      <c r="C223" s="154"/>
      <c r="D223" s="144"/>
      <c r="E223" s="145"/>
      <c r="F223" s="145"/>
      <c r="G223" s="145"/>
      <c r="H223" s="145"/>
      <c r="I223" s="145"/>
      <c r="J223" s="145"/>
      <c r="K223" s="145"/>
      <c r="L223" s="147"/>
      <c r="M223" s="147"/>
      <c r="N223" s="147"/>
      <c r="O223" s="147"/>
      <c r="P223" s="147"/>
      <c r="Q223" s="147"/>
      <c r="R223" s="148"/>
      <c r="S223" s="148"/>
      <c r="T223" s="148"/>
      <c r="U223" s="148"/>
      <c r="V223" s="145"/>
      <c r="W223" s="149"/>
      <c r="X223" s="145"/>
    </row>
    <row r="224" spans="1:24">
      <c r="A224" s="161"/>
      <c r="B224" s="153"/>
      <c r="C224" s="154"/>
      <c r="D224" s="144"/>
      <c r="E224" s="145"/>
      <c r="F224" s="145"/>
      <c r="G224" s="145"/>
      <c r="H224" s="145"/>
      <c r="I224" s="145"/>
      <c r="J224" s="145"/>
      <c r="K224" s="145"/>
      <c r="L224" s="147"/>
      <c r="M224" s="147"/>
      <c r="N224" s="147"/>
      <c r="O224" s="147"/>
      <c r="P224" s="147"/>
      <c r="Q224" s="147"/>
      <c r="R224" s="148"/>
      <c r="S224" s="148"/>
      <c r="T224" s="148"/>
      <c r="U224" s="148"/>
      <c r="V224" s="145"/>
      <c r="W224" s="149"/>
      <c r="X224" s="145"/>
    </row>
    <row r="225" spans="1:24">
      <c r="A225" s="161"/>
      <c r="B225" s="153"/>
      <c r="C225" s="154"/>
      <c r="D225" s="144"/>
      <c r="E225" s="145"/>
      <c r="F225" s="145"/>
      <c r="G225" s="145"/>
      <c r="H225" s="145"/>
      <c r="I225" s="145"/>
      <c r="J225" s="145"/>
      <c r="K225" s="145"/>
      <c r="L225" s="147"/>
      <c r="M225" s="147"/>
      <c r="N225" s="147"/>
      <c r="O225" s="147"/>
      <c r="P225" s="147"/>
      <c r="Q225" s="147"/>
      <c r="R225" s="148"/>
      <c r="S225" s="148"/>
      <c r="T225" s="148"/>
      <c r="U225" s="148"/>
      <c r="V225" s="145"/>
      <c r="W225" s="149"/>
      <c r="X225" s="145"/>
    </row>
    <row r="226" spans="1:24">
      <c r="A226" s="161"/>
      <c r="B226" s="153"/>
      <c r="C226" s="154"/>
      <c r="D226" s="144"/>
      <c r="E226" s="145"/>
      <c r="F226" s="145"/>
      <c r="G226" s="145"/>
      <c r="H226" s="145"/>
      <c r="I226" s="145"/>
      <c r="J226" s="145"/>
      <c r="K226" s="145"/>
      <c r="L226" s="147"/>
      <c r="M226" s="147"/>
      <c r="N226" s="147"/>
      <c r="O226" s="147"/>
      <c r="P226" s="147"/>
      <c r="Q226" s="147"/>
      <c r="R226" s="148"/>
      <c r="S226" s="148"/>
      <c r="T226" s="148"/>
      <c r="U226" s="148"/>
      <c r="V226" s="145"/>
      <c r="W226" s="149"/>
      <c r="X226" s="145"/>
    </row>
    <row r="227" spans="1:24">
      <c r="A227" s="161"/>
      <c r="B227" s="153"/>
      <c r="C227" s="154"/>
      <c r="D227" s="144"/>
      <c r="E227" s="145"/>
      <c r="F227" s="145"/>
      <c r="G227" s="145"/>
      <c r="H227" s="145"/>
      <c r="I227" s="145"/>
      <c r="J227" s="145"/>
      <c r="K227" s="145"/>
      <c r="L227" s="147"/>
      <c r="M227" s="147"/>
      <c r="N227" s="147"/>
      <c r="O227" s="147"/>
      <c r="P227" s="147"/>
      <c r="Q227" s="147"/>
      <c r="R227" s="148"/>
      <c r="S227" s="148"/>
      <c r="T227" s="148"/>
      <c r="U227" s="148"/>
      <c r="V227" s="145"/>
      <c r="W227" s="149"/>
      <c r="X227" s="145"/>
    </row>
    <row r="228" spans="1:24">
      <c r="A228" s="161"/>
      <c r="B228" s="153"/>
      <c r="C228" s="154"/>
      <c r="D228" s="144"/>
      <c r="E228" s="145"/>
      <c r="F228" s="145"/>
      <c r="G228" s="145"/>
      <c r="H228" s="145"/>
      <c r="I228" s="145"/>
      <c r="J228" s="145"/>
      <c r="K228" s="145"/>
      <c r="L228" s="147"/>
      <c r="M228" s="147"/>
      <c r="N228" s="147"/>
      <c r="O228" s="147"/>
      <c r="P228" s="147"/>
      <c r="Q228" s="147"/>
      <c r="R228" s="148"/>
      <c r="S228" s="148"/>
      <c r="T228" s="148"/>
      <c r="U228" s="148"/>
      <c r="V228" s="145"/>
      <c r="W228" s="149"/>
      <c r="X228" s="145"/>
    </row>
    <row r="229" spans="1:24">
      <c r="A229" s="161"/>
      <c r="B229" s="153"/>
      <c r="C229" s="154"/>
      <c r="D229" s="144"/>
      <c r="E229" s="145"/>
      <c r="F229" s="145"/>
      <c r="G229" s="145"/>
      <c r="H229" s="145"/>
      <c r="I229" s="145"/>
      <c r="J229" s="145"/>
      <c r="K229" s="145"/>
      <c r="L229" s="147"/>
      <c r="M229" s="147"/>
      <c r="N229" s="147"/>
      <c r="O229" s="147"/>
      <c r="P229" s="147"/>
      <c r="Q229" s="147"/>
      <c r="R229" s="148"/>
      <c r="S229" s="148"/>
      <c r="T229" s="148"/>
      <c r="U229" s="148"/>
      <c r="V229" s="145"/>
      <c r="W229" s="149"/>
      <c r="X229" s="145"/>
    </row>
  </sheetData>
  <sortState ref="B220:Y229">
    <sortCondition ref="D220:D229" descending="1"/>
  </sortState>
  <mergeCells count="32">
    <mergeCell ref="A1:A6"/>
    <mergeCell ref="A7:A13"/>
    <mergeCell ref="A14:A19"/>
    <mergeCell ref="A20:A25"/>
    <mergeCell ref="A26:A30"/>
    <mergeCell ref="A31:A36"/>
    <mergeCell ref="A37:A42"/>
    <mergeCell ref="A43:A49"/>
    <mergeCell ref="A50:A56"/>
    <mergeCell ref="A57:A60"/>
    <mergeCell ref="A61:A69"/>
    <mergeCell ref="A70:A75"/>
    <mergeCell ref="A76:A80"/>
    <mergeCell ref="A81:A85"/>
    <mergeCell ref="A86:A90"/>
    <mergeCell ref="A91:A97"/>
    <mergeCell ref="A98:A105"/>
    <mergeCell ref="A106:A112"/>
    <mergeCell ref="A113:A117"/>
    <mergeCell ref="A118:A123"/>
    <mergeCell ref="A124:A130"/>
    <mergeCell ref="A131:A139"/>
    <mergeCell ref="A140:A145"/>
    <mergeCell ref="A146:A152"/>
    <mergeCell ref="A153:A160"/>
    <mergeCell ref="A161:A166"/>
    <mergeCell ref="A167:A172"/>
    <mergeCell ref="A173:A179"/>
    <mergeCell ref="A180:A185"/>
    <mergeCell ref="A186:A192"/>
    <mergeCell ref="A193:A197"/>
    <mergeCell ref="A198:A205"/>
  </mergeCells>
  <pageMargins left="0.7" right="0.7" top="0.75" bottom="0.75" header="0.3" footer="0.3"/>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42"/>
  <sheetViews>
    <sheetView topLeftCell="A21" workbookViewId="0">
      <selection activeCell="D16" sqref="D16"/>
    </sheetView>
  </sheetViews>
  <sheetFormatPr defaultColWidth="11" defaultRowHeight="15.2"/>
  <sheetData>
    <row r="1" ht="17.6" spans="1:23">
      <c r="A1" s="143" t="s">
        <v>1010</v>
      </c>
      <c r="B1" s="144">
        <v>1</v>
      </c>
      <c r="C1" s="145">
        <v>62</v>
      </c>
      <c r="D1" s="145">
        <v>66</v>
      </c>
      <c r="E1" s="145">
        <v>86</v>
      </c>
      <c r="F1" s="145">
        <v>70</v>
      </c>
      <c r="G1" s="145">
        <v>60</v>
      </c>
      <c r="H1" s="145">
        <f t="shared" ref="H1:H42" si="0">SUM(C1:G1)</f>
        <v>344</v>
      </c>
      <c r="I1" s="145">
        <v>104</v>
      </c>
      <c r="J1" s="147" t="s">
        <v>124</v>
      </c>
      <c r="K1" s="147" t="s">
        <v>130</v>
      </c>
      <c r="L1" s="147" t="s">
        <v>124</v>
      </c>
      <c r="M1" s="147" t="s">
        <v>124</v>
      </c>
      <c r="N1" s="147" t="s">
        <v>114</v>
      </c>
      <c r="O1" s="147" t="s">
        <v>114</v>
      </c>
      <c r="P1" s="148" t="s">
        <v>168</v>
      </c>
      <c r="Q1" s="148" t="s">
        <v>175</v>
      </c>
      <c r="R1" s="148" t="s">
        <v>119</v>
      </c>
      <c r="S1" s="148" t="s">
        <v>126</v>
      </c>
      <c r="T1" s="145">
        <f t="shared" ref="T1:T42" si="1">C1+D1</f>
        <v>128</v>
      </c>
      <c r="U1" s="149"/>
      <c r="V1" s="149">
        <f t="shared" ref="V1:V42" si="2">E1+F1+G1</f>
        <v>216</v>
      </c>
      <c r="W1" s="150" t="s">
        <v>1491</v>
      </c>
    </row>
    <row r="2" ht="17.6" spans="1:23">
      <c r="A2" s="143" t="s">
        <v>778</v>
      </c>
      <c r="B2" s="144">
        <v>1</v>
      </c>
      <c r="C2" s="145">
        <v>58</v>
      </c>
      <c r="D2" s="145">
        <v>48</v>
      </c>
      <c r="E2" s="145">
        <v>84</v>
      </c>
      <c r="F2" s="145">
        <v>80</v>
      </c>
      <c r="G2" s="145">
        <v>68</v>
      </c>
      <c r="H2" s="145">
        <f t="shared" si="0"/>
        <v>338</v>
      </c>
      <c r="I2" s="145">
        <v>41</v>
      </c>
      <c r="J2" s="147" t="s">
        <v>124</v>
      </c>
      <c r="K2" s="147" t="s">
        <v>130</v>
      </c>
      <c r="L2" s="147" t="s">
        <v>130</v>
      </c>
      <c r="M2" s="147" t="s">
        <v>124</v>
      </c>
      <c r="N2" s="147" t="s">
        <v>130</v>
      </c>
      <c r="O2" s="147" t="s">
        <v>130</v>
      </c>
      <c r="P2" s="149"/>
      <c r="Q2" s="148" t="s">
        <v>119</v>
      </c>
      <c r="R2" s="148" t="s">
        <v>119</v>
      </c>
      <c r="S2" s="148" t="s">
        <v>120</v>
      </c>
      <c r="T2" s="145">
        <f t="shared" si="1"/>
        <v>106</v>
      </c>
      <c r="U2" s="149"/>
      <c r="V2" s="149">
        <f t="shared" si="2"/>
        <v>232</v>
      </c>
      <c r="W2" s="150" t="s">
        <v>1491</v>
      </c>
    </row>
    <row r="3" ht="17.6" spans="1:23">
      <c r="A3" s="143" t="s">
        <v>711</v>
      </c>
      <c r="B3" s="144">
        <v>1</v>
      </c>
      <c r="C3" s="145">
        <v>73</v>
      </c>
      <c r="D3" s="145">
        <v>70</v>
      </c>
      <c r="E3" s="145">
        <v>83</v>
      </c>
      <c r="F3" s="145">
        <v>73</v>
      </c>
      <c r="G3" s="145">
        <v>77</v>
      </c>
      <c r="H3" s="145">
        <f t="shared" si="0"/>
        <v>376</v>
      </c>
      <c r="I3" s="145">
        <v>146</v>
      </c>
      <c r="J3" s="147" t="s">
        <v>130</v>
      </c>
      <c r="K3" s="147" t="s">
        <v>124</v>
      </c>
      <c r="L3" s="147" t="s">
        <v>114</v>
      </c>
      <c r="M3" s="147" t="s">
        <v>114</v>
      </c>
      <c r="N3" s="147" t="s">
        <v>130</v>
      </c>
      <c r="O3" s="147" t="s">
        <v>124</v>
      </c>
      <c r="P3" s="149"/>
      <c r="Q3" s="148" t="s">
        <v>132</v>
      </c>
      <c r="R3" s="148" t="s">
        <v>119</v>
      </c>
      <c r="S3" s="148" t="s">
        <v>126</v>
      </c>
      <c r="T3" s="145">
        <f t="shared" si="1"/>
        <v>143</v>
      </c>
      <c r="U3" s="149"/>
      <c r="V3" s="149">
        <f t="shared" si="2"/>
        <v>233</v>
      </c>
      <c r="W3" s="150" t="s">
        <v>1491</v>
      </c>
    </row>
    <row r="4" ht="17.6" spans="1:23">
      <c r="A4" s="143" t="s">
        <v>727</v>
      </c>
      <c r="B4" s="144">
        <v>1</v>
      </c>
      <c r="C4" s="145">
        <v>63</v>
      </c>
      <c r="D4" s="145">
        <v>54</v>
      </c>
      <c r="E4" s="145">
        <v>83</v>
      </c>
      <c r="F4" s="145">
        <v>78</v>
      </c>
      <c r="G4" s="145">
        <v>75</v>
      </c>
      <c r="H4" s="145">
        <f t="shared" si="0"/>
        <v>353</v>
      </c>
      <c r="I4" s="145">
        <v>28</v>
      </c>
      <c r="J4" s="147" t="s">
        <v>124</v>
      </c>
      <c r="K4" s="147" t="s">
        <v>130</v>
      </c>
      <c r="L4" s="147" t="s">
        <v>124</v>
      </c>
      <c r="M4" s="147" t="s">
        <v>124</v>
      </c>
      <c r="N4" s="147" t="s">
        <v>130</v>
      </c>
      <c r="O4" s="147" t="s">
        <v>130</v>
      </c>
      <c r="P4" s="149"/>
      <c r="Q4" s="148" t="s">
        <v>119</v>
      </c>
      <c r="R4" s="148" t="s">
        <v>119</v>
      </c>
      <c r="S4" s="148" t="s">
        <v>120</v>
      </c>
      <c r="T4" s="145">
        <f t="shared" si="1"/>
        <v>117</v>
      </c>
      <c r="U4" s="149"/>
      <c r="V4" s="149">
        <f t="shared" si="2"/>
        <v>236</v>
      </c>
      <c r="W4" s="150" t="s">
        <v>1491</v>
      </c>
    </row>
    <row r="5" ht="17.6" spans="1:23">
      <c r="A5" s="143" t="s">
        <v>427</v>
      </c>
      <c r="B5" s="144">
        <v>1</v>
      </c>
      <c r="C5" s="145">
        <v>23</v>
      </c>
      <c r="D5" s="145">
        <v>30</v>
      </c>
      <c r="E5" s="145">
        <v>83</v>
      </c>
      <c r="F5" s="145">
        <v>88</v>
      </c>
      <c r="G5" s="145">
        <v>73</v>
      </c>
      <c r="H5" s="145">
        <f t="shared" si="0"/>
        <v>297</v>
      </c>
      <c r="I5" s="145">
        <v>46</v>
      </c>
      <c r="J5" s="147" t="s">
        <v>124</v>
      </c>
      <c r="K5" s="147" t="s">
        <v>124</v>
      </c>
      <c r="L5" s="147" t="s">
        <v>124</v>
      </c>
      <c r="M5" s="147" t="s">
        <v>124</v>
      </c>
      <c r="N5" s="147" t="s">
        <v>124</v>
      </c>
      <c r="O5" s="147" t="s">
        <v>124</v>
      </c>
      <c r="P5" s="148" t="s">
        <v>168</v>
      </c>
      <c r="Q5" s="148" t="s">
        <v>118</v>
      </c>
      <c r="R5" s="148" t="s">
        <v>119</v>
      </c>
      <c r="S5" s="148" t="s">
        <v>148</v>
      </c>
      <c r="T5" s="145">
        <f t="shared" si="1"/>
        <v>53</v>
      </c>
      <c r="U5" s="149"/>
      <c r="V5" s="149">
        <f t="shared" si="2"/>
        <v>244</v>
      </c>
      <c r="W5" s="150" t="s">
        <v>1491</v>
      </c>
    </row>
    <row r="6" ht="17.6" spans="1:23">
      <c r="A6" s="143" t="s">
        <v>376</v>
      </c>
      <c r="B6" s="144">
        <v>1</v>
      </c>
      <c r="C6" s="145">
        <v>56</v>
      </c>
      <c r="D6" s="145">
        <v>52</v>
      </c>
      <c r="E6" s="145">
        <v>82</v>
      </c>
      <c r="F6" s="145">
        <v>75</v>
      </c>
      <c r="G6" s="145">
        <v>80</v>
      </c>
      <c r="H6" s="145">
        <f t="shared" si="0"/>
        <v>345</v>
      </c>
      <c r="I6" s="145">
        <v>58</v>
      </c>
      <c r="J6" s="147" t="s">
        <v>130</v>
      </c>
      <c r="K6" s="147" t="s">
        <v>130</v>
      </c>
      <c r="L6" s="147" t="s">
        <v>124</v>
      </c>
      <c r="M6" s="147" t="s">
        <v>124</v>
      </c>
      <c r="N6" s="147" t="s">
        <v>124</v>
      </c>
      <c r="O6" s="147" t="s">
        <v>124</v>
      </c>
      <c r="P6" s="149"/>
      <c r="Q6" s="148" t="s">
        <v>119</v>
      </c>
      <c r="R6" s="148" t="s">
        <v>119</v>
      </c>
      <c r="S6" s="148" t="s">
        <v>120</v>
      </c>
      <c r="T6" s="145">
        <f t="shared" si="1"/>
        <v>108</v>
      </c>
      <c r="U6" s="149"/>
      <c r="V6" s="149">
        <f t="shared" si="2"/>
        <v>237</v>
      </c>
      <c r="W6" s="150" t="s">
        <v>1491</v>
      </c>
    </row>
    <row r="7" ht="17.6" spans="1:23">
      <c r="A7" s="143" t="s">
        <v>792</v>
      </c>
      <c r="B7" s="144">
        <v>1</v>
      </c>
      <c r="C7" s="145">
        <v>68</v>
      </c>
      <c r="D7" s="145">
        <v>45</v>
      </c>
      <c r="E7" s="145">
        <v>81</v>
      </c>
      <c r="F7" s="145">
        <v>81</v>
      </c>
      <c r="G7" s="145">
        <v>65</v>
      </c>
      <c r="H7" s="145">
        <f t="shared" si="0"/>
        <v>340</v>
      </c>
      <c r="I7" s="145">
        <v>9</v>
      </c>
      <c r="J7" s="147" t="s">
        <v>124</v>
      </c>
      <c r="K7" s="147" t="s">
        <v>124</v>
      </c>
      <c r="L7" s="147" t="s">
        <v>130</v>
      </c>
      <c r="M7" s="147" t="s">
        <v>130</v>
      </c>
      <c r="N7" s="147" t="s">
        <v>130</v>
      </c>
      <c r="O7" s="147" t="s">
        <v>124</v>
      </c>
      <c r="P7" s="149"/>
      <c r="Q7" s="148" t="s">
        <v>119</v>
      </c>
      <c r="R7" s="148" t="s">
        <v>119</v>
      </c>
      <c r="S7" s="148" t="s">
        <v>120</v>
      </c>
      <c r="T7" s="145">
        <f t="shared" si="1"/>
        <v>113</v>
      </c>
      <c r="U7" s="149"/>
      <c r="V7" s="149">
        <f t="shared" si="2"/>
        <v>227</v>
      </c>
      <c r="W7" s="150" t="s">
        <v>1491</v>
      </c>
    </row>
    <row r="8" ht="17.6" spans="1:23">
      <c r="A8" s="143" t="s">
        <v>389</v>
      </c>
      <c r="B8" s="144">
        <v>1</v>
      </c>
      <c r="C8" s="145">
        <v>26</v>
      </c>
      <c r="D8" s="145">
        <v>64</v>
      </c>
      <c r="E8" s="145">
        <v>81</v>
      </c>
      <c r="F8" s="145">
        <v>69</v>
      </c>
      <c r="G8" s="145">
        <v>78</v>
      </c>
      <c r="H8" s="145">
        <f t="shared" si="0"/>
        <v>318</v>
      </c>
      <c r="I8" s="145">
        <v>77</v>
      </c>
      <c r="J8" s="147" t="s">
        <v>124</v>
      </c>
      <c r="K8" s="147" t="s">
        <v>124</v>
      </c>
      <c r="L8" s="147" t="s">
        <v>124</v>
      </c>
      <c r="M8" s="147" t="s">
        <v>124</v>
      </c>
      <c r="N8" s="147" t="s">
        <v>124</v>
      </c>
      <c r="O8" s="147" t="s">
        <v>124</v>
      </c>
      <c r="P8" s="148" t="s">
        <v>284</v>
      </c>
      <c r="Q8" s="148" t="s">
        <v>119</v>
      </c>
      <c r="R8" s="148" t="s">
        <v>133</v>
      </c>
      <c r="S8" s="148" t="s">
        <v>148</v>
      </c>
      <c r="T8" s="145">
        <f t="shared" si="1"/>
        <v>90</v>
      </c>
      <c r="U8" s="149"/>
      <c r="V8" s="149">
        <f t="shared" si="2"/>
        <v>228</v>
      </c>
      <c r="W8" s="150" t="s">
        <v>1491</v>
      </c>
    </row>
    <row r="9" ht="17.6" spans="1:23">
      <c r="A9" s="143" t="s">
        <v>379</v>
      </c>
      <c r="B9" s="144">
        <v>1</v>
      </c>
      <c r="C9" s="145">
        <v>69</v>
      </c>
      <c r="D9" s="145">
        <v>70</v>
      </c>
      <c r="E9" s="145">
        <v>78</v>
      </c>
      <c r="F9" s="145">
        <v>79</v>
      </c>
      <c r="G9" s="145">
        <v>80</v>
      </c>
      <c r="H9" s="145">
        <f t="shared" si="0"/>
        <v>376</v>
      </c>
      <c r="I9" s="145">
        <v>71</v>
      </c>
      <c r="J9" s="147" t="s">
        <v>130</v>
      </c>
      <c r="K9" s="147" t="s">
        <v>114</v>
      </c>
      <c r="L9" s="147" t="s">
        <v>130</v>
      </c>
      <c r="M9" s="147" t="s">
        <v>130</v>
      </c>
      <c r="N9" s="147" t="s">
        <v>124</v>
      </c>
      <c r="O9" s="147" t="s">
        <v>130</v>
      </c>
      <c r="P9" s="149"/>
      <c r="Q9" s="148" t="s">
        <v>132</v>
      </c>
      <c r="R9" s="148" t="s">
        <v>119</v>
      </c>
      <c r="S9" s="148" t="s">
        <v>148</v>
      </c>
      <c r="T9" s="145">
        <f t="shared" si="1"/>
        <v>139</v>
      </c>
      <c r="U9" s="149"/>
      <c r="V9" s="149">
        <f t="shared" si="2"/>
        <v>237</v>
      </c>
      <c r="W9" s="150" t="s">
        <v>1491</v>
      </c>
    </row>
    <row r="10" ht="17.6" spans="1:23">
      <c r="A10" s="143" t="s">
        <v>966</v>
      </c>
      <c r="B10" s="144">
        <v>1</v>
      </c>
      <c r="C10" s="145">
        <v>68</v>
      </c>
      <c r="D10" s="145">
        <v>62</v>
      </c>
      <c r="E10" s="145">
        <v>78</v>
      </c>
      <c r="F10" s="145">
        <v>74</v>
      </c>
      <c r="G10" s="145">
        <v>73</v>
      </c>
      <c r="H10" s="145">
        <f t="shared" si="0"/>
        <v>355</v>
      </c>
      <c r="I10" s="145">
        <v>3</v>
      </c>
      <c r="J10" s="147" t="s">
        <v>130</v>
      </c>
      <c r="K10" s="147" t="s">
        <v>130</v>
      </c>
      <c r="L10" s="147" t="s">
        <v>130</v>
      </c>
      <c r="M10" s="147" t="s">
        <v>124</v>
      </c>
      <c r="N10" s="147" t="s">
        <v>114</v>
      </c>
      <c r="O10" s="147" t="s">
        <v>130</v>
      </c>
      <c r="P10" s="149"/>
      <c r="Q10" s="148" t="s">
        <v>119</v>
      </c>
      <c r="R10" s="148" t="s">
        <v>119</v>
      </c>
      <c r="S10" s="148" t="s">
        <v>126</v>
      </c>
      <c r="T10" s="145">
        <f t="shared" si="1"/>
        <v>130</v>
      </c>
      <c r="U10" s="149"/>
      <c r="V10" s="149">
        <f t="shared" si="2"/>
        <v>225</v>
      </c>
      <c r="W10" s="150" t="s">
        <v>1491</v>
      </c>
    </row>
    <row r="11" ht="17.6" spans="1:23">
      <c r="A11" s="143" t="s">
        <v>443</v>
      </c>
      <c r="B11" s="144">
        <v>1</v>
      </c>
      <c r="C11" s="145">
        <v>54</v>
      </c>
      <c r="D11" s="145">
        <v>51</v>
      </c>
      <c r="E11" s="145">
        <v>78</v>
      </c>
      <c r="F11" s="145">
        <v>86</v>
      </c>
      <c r="G11" s="145">
        <v>72</v>
      </c>
      <c r="H11" s="145">
        <f t="shared" si="0"/>
        <v>341</v>
      </c>
      <c r="I11" s="145">
        <v>1</v>
      </c>
      <c r="J11" s="147" t="s">
        <v>124</v>
      </c>
      <c r="K11" s="147" t="s">
        <v>124</v>
      </c>
      <c r="L11" s="147" t="s">
        <v>130</v>
      </c>
      <c r="M11" s="147" t="s">
        <v>130</v>
      </c>
      <c r="N11" s="147" t="s">
        <v>124</v>
      </c>
      <c r="O11" s="147" t="s">
        <v>124</v>
      </c>
      <c r="P11" s="149"/>
      <c r="Q11" s="148" t="s">
        <v>132</v>
      </c>
      <c r="R11" s="148" t="s">
        <v>119</v>
      </c>
      <c r="S11" s="148" t="s">
        <v>120</v>
      </c>
      <c r="T11" s="145">
        <f t="shared" si="1"/>
        <v>105</v>
      </c>
      <c r="U11" s="149"/>
      <c r="V11" s="149">
        <f t="shared" si="2"/>
        <v>236</v>
      </c>
      <c r="W11" s="150" t="s">
        <v>1491</v>
      </c>
    </row>
    <row r="12" ht="17.6" spans="1:23">
      <c r="A12" s="143" t="s">
        <v>980</v>
      </c>
      <c r="B12" s="144">
        <v>1</v>
      </c>
      <c r="C12" s="145">
        <v>76</v>
      </c>
      <c r="D12" s="145">
        <v>70</v>
      </c>
      <c r="E12" s="145">
        <v>77</v>
      </c>
      <c r="F12" s="145">
        <v>71</v>
      </c>
      <c r="G12" s="145">
        <v>70</v>
      </c>
      <c r="H12" s="145">
        <f t="shared" si="0"/>
        <v>364</v>
      </c>
      <c r="I12" s="145">
        <v>100</v>
      </c>
      <c r="J12" s="147" t="s">
        <v>130</v>
      </c>
      <c r="K12" s="147" t="s">
        <v>114</v>
      </c>
      <c r="L12" s="147" t="s">
        <v>130</v>
      </c>
      <c r="M12" s="147" t="s">
        <v>124</v>
      </c>
      <c r="N12" s="147" t="s">
        <v>114</v>
      </c>
      <c r="O12" s="147" t="s">
        <v>114</v>
      </c>
      <c r="P12" s="149"/>
      <c r="Q12" s="148" t="s">
        <v>118</v>
      </c>
      <c r="R12" s="148" t="s">
        <v>119</v>
      </c>
      <c r="S12" s="148" t="s">
        <v>120</v>
      </c>
      <c r="T12" s="145">
        <f t="shared" si="1"/>
        <v>146</v>
      </c>
      <c r="U12" s="149"/>
      <c r="V12" s="149">
        <f t="shared" si="2"/>
        <v>218</v>
      </c>
      <c r="W12" s="150" t="s">
        <v>1491</v>
      </c>
    </row>
    <row r="13" ht="17.6" spans="1:23">
      <c r="A13" s="143" t="s">
        <v>507</v>
      </c>
      <c r="B13" s="144">
        <v>1</v>
      </c>
      <c r="C13" s="145">
        <v>74</v>
      </c>
      <c r="D13" s="145">
        <v>64</v>
      </c>
      <c r="E13" s="145">
        <v>77</v>
      </c>
      <c r="F13" s="145">
        <v>75</v>
      </c>
      <c r="G13" s="145">
        <v>63</v>
      </c>
      <c r="H13" s="145">
        <f t="shared" si="0"/>
        <v>353</v>
      </c>
      <c r="I13" s="145">
        <v>30</v>
      </c>
      <c r="J13" s="147" t="s">
        <v>114</v>
      </c>
      <c r="K13" s="147" t="s">
        <v>130</v>
      </c>
      <c r="L13" s="147" t="s">
        <v>130</v>
      </c>
      <c r="M13" s="147" t="s">
        <v>130</v>
      </c>
      <c r="N13" s="147" t="s">
        <v>124</v>
      </c>
      <c r="O13" s="147" t="s">
        <v>114</v>
      </c>
      <c r="P13" s="149"/>
      <c r="Q13" s="148" t="s">
        <v>119</v>
      </c>
      <c r="R13" s="148" t="s">
        <v>136</v>
      </c>
      <c r="S13" s="148" t="s">
        <v>120</v>
      </c>
      <c r="T13" s="145">
        <f t="shared" si="1"/>
        <v>138</v>
      </c>
      <c r="U13" s="149"/>
      <c r="V13" s="149">
        <f t="shared" si="2"/>
        <v>215</v>
      </c>
      <c r="W13" s="150" t="s">
        <v>1491</v>
      </c>
    </row>
    <row r="14" ht="17.6" spans="1:23">
      <c r="A14" s="143" t="s">
        <v>687</v>
      </c>
      <c r="B14" s="144">
        <v>1</v>
      </c>
      <c r="C14" s="145">
        <v>70</v>
      </c>
      <c r="D14" s="145">
        <v>52</v>
      </c>
      <c r="E14" s="145">
        <v>77</v>
      </c>
      <c r="F14" s="145">
        <v>79</v>
      </c>
      <c r="G14" s="145">
        <v>81</v>
      </c>
      <c r="H14" s="145">
        <f t="shared" si="0"/>
        <v>359</v>
      </c>
      <c r="I14" s="145">
        <v>71</v>
      </c>
      <c r="J14" s="147" t="s">
        <v>114</v>
      </c>
      <c r="K14" s="147" t="s">
        <v>130</v>
      </c>
      <c r="L14" s="147" t="s">
        <v>114</v>
      </c>
      <c r="M14" s="147" t="s">
        <v>130</v>
      </c>
      <c r="N14" s="147" t="s">
        <v>130</v>
      </c>
      <c r="O14" s="147" t="s">
        <v>124</v>
      </c>
      <c r="P14" s="148" t="s">
        <v>168</v>
      </c>
      <c r="Q14" s="148" t="s">
        <v>118</v>
      </c>
      <c r="R14" s="148" t="s">
        <v>133</v>
      </c>
      <c r="S14" s="148" t="s">
        <v>120</v>
      </c>
      <c r="T14" s="145">
        <f t="shared" si="1"/>
        <v>122</v>
      </c>
      <c r="U14" s="149"/>
      <c r="V14" s="149">
        <f t="shared" si="2"/>
        <v>237</v>
      </c>
      <c r="W14" s="150" t="s">
        <v>1491</v>
      </c>
    </row>
    <row r="15" ht="17.6" spans="1:23">
      <c r="A15" s="143" t="s">
        <v>1046</v>
      </c>
      <c r="B15" s="144">
        <v>1</v>
      </c>
      <c r="C15" s="145">
        <v>65</v>
      </c>
      <c r="D15" s="145">
        <v>60</v>
      </c>
      <c r="E15" s="145">
        <v>76</v>
      </c>
      <c r="F15" s="145">
        <v>73</v>
      </c>
      <c r="G15" s="145">
        <v>42</v>
      </c>
      <c r="H15" s="145">
        <f t="shared" si="0"/>
        <v>316</v>
      </c>
      <c r="I15" s="145">
        <v>32</v>
      </c>
      <c r="J15" s="147" t="s">
        <v>130</v>
      </c>
      <c r="K15" s="147" t="s">
        <v>114</v>
      </c>
      <c r="L15" s="147" t="s">
        <v>130</v>
      </c>
      <c r="M15" s="147" t="s">
        <v>124</v>
      </c>
      <c r="N15" s="147" t="s">
        <v>114</v>
      </c>
      <c r="O15" s="147" t="s">
        <v>114</v>
      </c>
      <c r="P15" s="149"/>
      <c r="Q15" s="148" t="s">
        <v>175</v>
      </c>
      <c r="R15" s="148" t="s">
        <v>145</v>
      </c>
      <c r="S15" s="148" t="s">
        <v>126</v>
      </c>
      <c r="T15" s="145">
        <f t="shared" si="1"/>
        <v>125</v>
      </c>
      <c r="U15" s="149"/>
      <c r="V15" s="149">
        <f t="shared" si="2"/>
        <v>191</v>
      </c>
      <c r="W15" s="150" t="s">
        <v>1491</v>
      </c>
    </row>
    <row r="16" ht="17.6" spans="1:23">
      <c r="A16" s="143" t="s">
        <v>758</v>
      </c>
      <c r="B16" s="144">
        <v>1</v>
      </c>
      <c r="C16" s="145">
        <v>66</v>
      </c>
      <c r="D16" s="145">
        <v>60</v>
      </c>
      <c r="E16" s="145">
        <v>75</v>
      </c>
      <c r="F16" s="145">
        <v>78</v>
      </c>
      <c r="G16" s="145">
        <v>71</v>
      </c>
      <c r="H16" s="145">
        <f t="shared" si="0"/>
        <v>350</v>
      </c>
      <c r="I16" s="145">
        <v>30</v>
      </c>
      <c r="J16" s="147" t="s">
        <v>130</v>
      </c>
      <c r="K16" s="147" t="s">
        <v>130</v>
      </c>
      <c r="L16" s="147" t="s">
        <v>114</v>
      </c>
      <c r="M16" s="147" t="s">
        <v>130</v>
      </c>
      <c r="N16" s="147" t="s">
        <v>130</v>
      </c>
      <c r="O16" s="147" t="s">
        <v>130</v>
      </c>
      <c r="P16" s="149"/>
      <c r="Q16" s="148" t="s">
        <v>175</v>
      </c>
      <c r="R16" s="148" t="s">
        <v>145</v>
      </c>
      <c r="S16" s="148" t="s">
        <v>120</v>
      </c>
      <c r="T16" s="145">
        <f t="shared" si="1"/>
        <v>126</v>
      </c>
      <c r="U16" s="149"/>
      <c r="V16" s="149">
        <f t="shared" si="2"/>
        <v>224</v>
      </c>
      <c r="W16" s="150" t="s">
        <v>1491</v>
      </c>
    </row>
    <row r="17" ht="17.6" spans="1:23">
      <c r="A17" s="143" t="s">
        <v>809</v>
      </c>
      <c r="B17" s="144">
        <v>1</v>
      </c>
      <c r="C17" s="145">
        <v>63</v>
      </c>
      <c r="D17" s="145">
        <v>65</v>
      </c>
      <c r="E17" s="145">
        <v>75</v>
      </c>
      <c r="F17" s="145">
        <v>77</v>
      </c>
      <c r="G17" s="145">
        <v>62</v>
      </c>
      <c r="H17" s="145">
        <f t="shared" si="0"/>
        <v>342</v>
      </c>
      <c r="I17" s="145">
        <v>16</v>
      </c>
      <c r="J17" s="147" t="s">
        <v>124</v>
      </c>
      <c r="K17" s="147" t="s">
        <v>130</v>
      </c>
      <c r="L17" s="147" t="s">
        <v>130</v>
      </c>
      <c r="M17" s="147" t="s">
        <v>124</v>
      </c>
      <c r="N17" s="147" t="s">
        <v>130</v>
      </c>
      <c r="O17" s="147" t="s">
        <v>130</v>
      </c>
      <c r="P17" s="149"/>
      <c r="Q17" s="148" t="s">
        <v>175</v>
      </c>
      <c r="R17" s="148" t="s">
        <v>136</v>
      </c>
      <c r="S17" s="148" t="s">
        <v>126</v>
      </c>
      <c r="T17" s="145">
        <f t="shared" si="1"/>
        <v>128</v>
      </c>
      <c r="U17" s="149"/>
      <c r="V17" s="149">
        <f t="shared" si="2"/>
        <v>214</v>
      </c>
      <c r="W17" s="150" t="s">
        <v>1491</v>
      </c>
    </row>
    <row r="18" ht="17.6" spans="1:23">
      <c r="A18" s="143" t="s">
        <v>340</v>
      </c>
      <c r="B18" s="144">
        <v>1</v>
      </c>
      <c r="C18" s="145">
        <v>38</v>
      </c>
      <c r="D18" s="145">
        <v>16</v>
      </c>
      <c r="E18" s="145">
        <v>75</v>
      </c>
      <c r="F18" s="145">
        <v>78</v>
      </c>
      <c r="G18" s="145">
        <v>85</v>
      </c>
      <c r="H18" s="145">
        <f t="shared" si="0"/>
        <v>292</v>
      </c>
      <c r="I18" s="145">
        <v>61</v>
      </c>
      <c r="J18" s="147" t="s">
        <v>124</v>
      </c>
      <c r="K18" s="147" t="s">
        <v>124</v>
      </c>
      <c r="L18" s="147" t="s">
        <v>124</v>
      </c>
      <c r="M18" s="147" t="s">
        <v>124</v>
      </c>
      <c r="N18" s="147" t="s">
        <v>124</v>
      </c>
      <c r="O18" s="147" t="s">
        <v>124</v>
      </c>
      <c r="P18" s="148" t="s">
        <v>168</v>
      </c>
      <c r="Q18" s="148" t="s">
        <v>132</v>
      </c>
      <c r="R18" s="148" t="s">
        <v>133</v>
      </c>
      <c r="S18" s="148" t="s">
        <v>126</v>
      </c>
      <c r="T18" s="145">
        <f t="shared" si="1"/>
        <v>54</v>
      </c>
      <c r="U18" s="149"/>
      <c r="V18" s="149">
        <f t="shared" si="2"/>
        <v>238</v>
      </c>
      <c r="W18" s="150" t="s">
        <v>1491</v>
      </c>
    </row>
    <row r="19" ht="17.6" spans="1:23">
      <c r="A19" s="143" t="s">
        <v>363</v>
      </c>
      <c r="B19" s="144">
        <v>1</v>
      </c>
      <c r="C19" s="145">
        <v>34</v>
      </c>
      <c r="D19" s="145">
        <v>35</v>
      </c>
      <c r="E19" s="145">
        <v>75</v>
      </c>
      <c r="F19" s="145">
        <v>78</v>
      </c>
      <c r="G19" s="145">
        <v>82</v>
      </c>
      <c r="H19" s="145">
        <f t="shared" si="0"/>
        <v>304</v>
      </c>
      <c r="I19" s="145">
        <v>43</v>
      </c>
      <c r="J19" s="147" t="s">
        <v>124</v>
      </c>
      <c r="K19" s="147" t="s">
        <v>124</v>
      </c>
      <c r="L19" s="147" t="s">
        <v>124</v>
      </c>
      <c r="M19" s="147" t="s">
        <v>124</v>
      </c>
      <c r="N19" s="147" t="s">
        <v>124</v>
      </c>
      <c r="O19" s="147" t="s">
        <v>124</v>
      </c>
      <c r="P19" s="148" t="s">
        <v>147</v>
      </c>
      <c r="Q19" s="148" t="s">
        <v>118</v>
      </c>
      <c r="R19" s="148" t="s">
        <v>133</v>
      </c>
      <c r="S19" s="148" t="s">
        <v>126</v>
      </c>
      <c r="T19" s="145">
        <f t="shared" si="1"/>
        <v>69</v>
      </c>
      <c r="U19" s="149"/>
      <c r="V19" s="149">
        <f t="shared" si="2"/>
        <v>235</v>
      </c>
      <c r="W19" s="150" t="s">
        <v>1491</v>
      </c>
    </row>
    <row r="20" ht="17.6" spans="1:23">
      <c r="A20" s="143" t="s">
        <v>312</v>
      </c>
      <c r="B20" s="144">
        <v>1</v>
      </c>
      <c r="C20" s="145">
        <v>16</v>
      </c>
      <c r="D20" s="145">
        <v>20</v>
      </c>
      <c r="E20" s="145">
        <v>75</v>
      </c>
      <c r="F20" s="145">
        <v>86</v>
      </c>
      <c r="G20" s="145">
        <v>89</v>
      </c>
      <c r="H20" s="145">
        <f t="shared" si="0"/>
        <v>286</v>
      </c>
      <c r="I20" s="145">
        <v>76</v>
      </c>
      <c r="J20" s="147" t="s">
        <v>124</v>
      </c>
      <c r="K20" s="147" t="s">
        <v>124</v>
      </c>
      <c r="L20" s="147" t="s">
        <v>124</v>
      </c>
      <c r="M20" s="147" t="s">
        <v>124</v>
      </c>
      <c r="N20" s="147" t="s">
        <v>124</v>
      </c>
      <c r="O20" s="147" t="s">
        <v>124</v>
      </c>
      <c r="P20" s="148" t="s">
        <v>168</v>
      </c>
      <c r="Q20" s="148" t="s">
        <v>118</v>
      </c>
      <c r="R20" s="148" t="s">
        <v>133</v>
      </c>
      <c r="S20" s="148" t="s">
        <v>148</v>
      </c>
      <c r="T20" s="145">
        <f t="shared" si="1"/>
        <v>36</v>
      </c>
      <c r="U20" s="149"/>
      <c r="V20" s="149">
        <f t="shared" si="2"/>
        <v>250</v>
      </c>
      <c r="W20" s="150" t="s">
        <v>1491</v>
      </c>
    </row>
    <row r="21" ht="17.6" spans="1:23">
      <c r="A21" s="143" t="s">
        <v>756</v>
      </c>
      <c r="B21" s="144">
        <v>1</v>
      </c>
      <c r="C21" s="145">
        <v>66</v>
      </c>
      <c r="D21" s="145">
        <v>51</v>
      </c>
      <c r="E21" s="145">
        <v>74</v>
      </c>
      <c r="F21" s="145">
        <v>83</v>
      </c>
      <c r="G21" s="145">
        <v>71</v>
      </c>
      <c r="H21" s="145">
        <f t="shared" si="0"/>
        <v>345</v>
      </c>
      <c r="I21" s="145">
        <v>9</v>
      </c>
      <c r="J21" s="147" t="s">
        <v>130</v>
      </c>
      <c r="K21" s="147" t="s">
        <v>114</v>
      </c>
      <c r="L21" s="147" t="s">
        <v>130</v>
      </c>
      <c r="M21" s="147" t="s">
        <v>114</v>
      </c>
      <c r="N21" s="147" t="s">
        <v>130</v>
      </c>
      <c r="O21" s="147" t="s">
        <v>124</v>
      </c>
      <c r="P21" s="149"/>
      <c r="Q21" s="148" t="s">
        <v>119</v>
      </c>
      <c r="R21" s="148" t="s">
        <v>119</v>
      </c>
      <c r="S21" s="148" t="s">
        <v>148</v>
      </c>
      <c r="T21" s="145">
        <f t="shared" si="1"/>
        <v>117</v>
      </c>
      <c r="U21" s="149"/>
      <c r="V21" s="149">
        <f t="shared" si="2"/>
        <v>228</v>
      </c>
      <c r="W21" s="150" t="s">
        <v>1491</v>
      </c>
    </row>
    <row r="22" ht="17.6" spans="1:23">
      <c r="A22" s="143" t="s">
        <v>422</v>
      </c>
      <c r="B22" s="144">
        <v>1</v>
      </c>
      <c r="C22" s="145">
        <v>46</v>
      </c>
      <c r="D22" s="145">
        <v>55</v>
      </c>
      <c r="E22" s="145">
        <v>74</v>
      </c>
      <c r="F22" s="145">
        <v>83</v>
      </c>
      <c r="G22" s="145">
        <v>74</v>
      </c>
      <c r="H22" s="145">
        <f t="shared" si="0"/>
        <v>332</v>
      </c>
      <c r="I22" s="145">
        <v>17</v>
      </c>
      <c r="J22" s="147" t="s">
        <v>124</v>
      </c>
      <c r="K22" s="147" t="s">
        <v>124</v>
      </c>
      <c r="L22" s="147" t="s">
        <v>124</v>
      </c>
      <c r="M22" s="147" t="s">
        <v>124</v>
      </c>
      <c r="N22" s="147" t="s">
        <v>124</v>
      </c>
      <c r="O22" s="147" t="s">
        <v>124</v>
      </c>
      <c r="P22" s="148" t="s">
        <v>344</v>
      </c>
      <c r="Q22" s="148" t="s">
        <v>119</v>
      </c>
      <c r="R22" s="148" t="s">
        <v>119</v>
      </c>
      <c r="S22" s="148" t="s">
        <v>148</v>
      </c>
      <c r="T22" s="145">
        <f t="shared" si="1"/>
        <v>101</v>
      </c>
      <c r="U22" s="149"/>
      <c r="V22" s="149">
        <f t="shared" si="2"/>
        <v>231</v>
      </c>
      <c r="W22" s="150" t="s">
        <v>1491</v>
      </c>
    </row>
    <row r="23" ht="17.6" spans="1:23">
      <c r="A23" s="143" t="s">
        <v>439</v>
      </c>
      <c r="B23" s="144">
        <v>1</v>
      </c>
      <c r="C23" s="145">
        <v>36</v>
      </c>
      <c r="D23" s="145">
        <v>34</v>
      </c>
      <c r="E23" s="145">
        <v>74</v>
      </c>
      <c r="F23" s="145">
        <v>80</v>
      </c>
      <c r="G23" s="145">
        <v>72</v>
      </c>
      <c r="H23" s="145">
        <f t="shared" si="0"/>
        <v>296</v>
      </c>
      <c r="I23" s="145">
        <v>4</v>
      </c>
      <c r="J23" s="147" t="s">
        <v>124</v>
      </c>
      <c r="K23" s="147" t="s">
        <v>124</v>
      </c>
      <c r="L23" s="147" t="s">
        <v>124</v>
      </c>
      <c r="M23" s="147" t="s">
        <v>124</v>
      </c>
      <c r="N23" s="147" t="s">
        <v>124</v>
      </c>
      <c r="O23" s="147" t="s">
        <v>124</v>
      </c>
      <c r="P23" s="148" t="s">
        <v>344</v>
      </c>
      <c r="Q23" s="148" t="s">
        <v>132</v>
      </c>
      <c r="R23" s="148" t="s">
        <v>119</v>
      </c>
      <c r="S23" s="148" t="s">
        <v>120</v>
      </c>
      <c r="T23" s="145">
        <f t="shared" si="1"/>
        <v>70</v>
      </c>
      <c r="U23" s="149"/>
      <c r="V23" s="149">
        <f t="shared" si="2"/>
        <v>226</v>
      </c>
      <c r="W23" s="150" t="s">
        <v>1491</v>
      </c>
    </row>
    <row r="24" ht="17.6" spans="1:23">
      <c r="A24" s="143" t="s">
        <v>731</v>
      </c>
      <c r="B24" s="144">
        <v>1</v>
      </c>
      <c r="C24" s="145">
        <v>67</v>
      </c>
      <c r="D24" s="145">
        <v>53</v>
      </c>
      <c r="E24" s="145">
        <v>73</v>
      </c>
      <c r="F24" s="145">
        <v>82</v>
      </c>
      <c r="G24" s="145">
        <v>74</v>
      </c>
      <c r="H24" s="145">
        <f t="shared" si="0"/>
        <v>349</v>
      </c>
      <c r="I24" s="145">
        <v>57</v>
      </c>
      <c r="J24" s="147" t="s">
        <v>124</v>
      </c>
      <c r="K24" s="147" t="s">
        <v>130</v>
      </c>
      <c r="L24" s="147" t="s">
        <v>130</v>
      </c>
      <c r="M24" s="147" t="s">
        <v>130</v>
      </c>
      <c r="N24" s="147" t="s">
        <v>130</v>
      </c>
      <c r="O24" s="147" t="s">
        <v>130</v>
      </c>
      <c r="P24" s="149"/>
      <c r="Q24" s="148" t="s">
        <v>132</v>
      </c>
      <c r="R24" s="148" t="s">
        <v>119</v>
      </c>
      <c r="S24" s="148" t="s">
        <v>120</v>
      </c>
      <c r="T24" s="145">
        <f t="shared" si="1"/>
        <v>120</v>
      </c>
      <c r="U24" s="149"/>
      <c r="V24" s="149">
        <f t="shared" si="2"/>
        <v>229</v>
      </c>
      <c r="W24" s="150" t="s">
        <v>1491</v>
      </c>
    </row>
    <row r="25" ht="17.6" spans="1:23">
      <c r="A25" s="143" t="s">
        <v>469</v>
      </c>
      <c r="B25" s="144">
        <v>1</v>
      </c>
      <c r="C25" s="145">
        <v>54</v>
      </c>
      <c r="D25" s="145">
        <v>13</v>
      </c>
      <c r="E25" s="145">
        <v>73</v>
      </c>
      <c r="F25" s="146"/>
      <c r="G25" s="145">
        <v>67</v>
      </c>
      <c r="H25" s="145">
        <f t="shared" si="0"/>
        <v>207</v>
      </c>
      <c r="I25" s="145">
        <v>121</v>
      </c>
      <c r="J25" s="147" t="s">
        <v>124</v>
      </c>
      <c r="K25" s="147" t="s">
        <v>130</v>
      </c>
      <c r="L25" s="147" t="s">
        <v>124</v>
      </c>
      <c r="M25" s="147" t="s">
        <v>124</v>
      </c>
      <c r="N25" s="147" t="s">
        <v>124</v>
      </c>
      <c r="O25" s="147" t="s">
        <v>130</v>
      </c>
      <c r="P25" s="149"/>
      <c r="Q25" s="148" t="s">
        <v>119</v>
      </c>
      <c r="R25" s="148" t="s">
        <v>119</v>
      </c>
      <c r="S25" s="148" t="s">
        <v>148</v>
      </c>
      <c r="T25" s="145">
        <f t="shared" si="1"/>
        <v>67</v>
      </c>
      <c r="U25" s="149"/>
      <c r="V25" s="149">
        <f t="shared" si="2"/>
        <v>140</v>
      </c>
      <c r="W25" s="150" t="s">
        <v>1491</v>
      </c>
    </row>
    <row r="26" ht="17.6" spans="1:23">
      <c r="A26" s="143" t="s">
        <v>766</v>
      </c>
      <c r="B26" s="144">
        <v>1</v>
      </c>
      <c r="C26" s="145">
        <v>52</v>
      </c>
      <c r="D26" s="145">
        <v>38</v>
      </c>
      <c r="E26" s="145">
        <v>73</v>
      </c>
      <c r="F26" s="145">
        <v>81</v>
      </c>
      <c r="G26" s="145">
        <v>69</v>
      </c>
      <c r="H26" s="145">
        <f t="shared" si="0"/>
        <v>313</v>
      </c>
      <c r="I26" s="145">
        <v>58</v>
      </c>
      <c r="J26" s="147" t="s">
        <v>124</v>
      </c>
      <c r="K26" s="147" t="s">
        <v>130</v>
      </c>
      <c r="L26" s="147" t="s">
        <v>124</v>
      </c>
      <c r="M26" s="147" t="s">
        <v>124</v>
      </c>
      <c r="N26" s="147" t="s">
        <v>130</v>
      </c>
      <c r="O26" s="147" t="s">
        <v>124</v>
      </c>
      <c r="P26" s="149"/>
      <c r="Q26" s="148" t="s">
        <v>175</v>
      </c>
      <c r="R26" s="148" t="s">
        <v>119</v>
      </c>
      <c r="S26" s="148" t="s">
        <v>250</v>
      </c>
      <c r="T26" s="145">
        <f t="shared" si="1"/>
        <v>90</v>
      </c>
      <c r="U26" s="149"/>
      <c r="V26" s="149">
        <f t="shared" si="2"/>
        <v>223</v>
      </c>
      <c r="W26" s="150" t="s">
        <v>1491</v>
      </c>
    </row>
    <row r="27" ht="17.6" spans="1:23">
      <c r="A27" s="143" t="s">
        <v>569</v>
      </c>
      <c r="B27" s="144">
        <v>1</v>
      </c>
      <c r="C27" s="145">
        <v>48</v>
      </c>
      <c r="D27" s="145">
        <v>41</v>
      </c>
      <c r="E27" s="145">
        <v>73</v>
      </c>
      <c r="F27" s="145">
        <v>88</v>
      </c>
      <c r="G27" s="145">
        <v>48</v>
      </c>
      <c r="H27" s="145">
        <f t="shared" si="0"/>
        <v>298</v>
      </c>
      <c r="I27" s="145">
        <v>86</v>
      </c>
      <c r="J27" s="147" t="s">
        <v>124</v>
      </c>
      <c r="K27" s="147" t="s">
        <v>124</v>
      </c>
      <c r="L27" s="147" t="s">
        <v>124</v>
      </c>
      <c r="M27" s="147" t="s">
        <v>124</v>
      </c>
      <c r="N27" s="147" t="s">
        <v>124</v>
      </c>
      <c r="O27" s="147" t="s">
        <v>124</v>
      </c>
      <c r="P27" s="148" t="s">
        <v>344</v>
      </c>
      <c r="Q27" s="148" t="s">
        <v>132</v>
      </c>
      <c r="R27" s="148" t="s">
        <v>119</v>
      </c>
      <c r="S27" s="148" t="s">
        <v>250</v>
      </c>
      <c r="T27" s="145">
        <f t="shared" si="1"/>
        <v>89</v>
      </c>
      <c r="U27" s="149"/>
      <c r="V27" s="149">
        <f t="shared" si="2"/>
        <v>209</v>
      </c>
      <c r="W27" s="150" t="s">
        <v>1491</v>
      </c>
    </row>
    <row r="28" ht="17.6" spans="1:23">
      <c r="A28" s="143" t="s">
        <v>349</v>
      </c>
      <c r="B28" s="144">
        <v>1</v>
      </c>
      <c r="C28" s="145">
        <v>18</v>
      </c>
      <c r="D28" s="145">
        <v>22</v>
      </c>
      <c r="E28" s="145">
        <v>73</v>
      </c>
      <c r="F28" s="145">
        <v>80</v>
      </c>
      <c r="G28" s="145">
        <v>83</v>
      </c>
      <c r="H28" s="145">
        <f t="shared" si="0"/>
        <v>276</v>
      </c>
      <c r="I28" s="145">
        <v>61</v>
      </c>
      <c r="J28" s="147" t="s">
        <v>124</v>
      </c>
      <c r="K28" s="147" t="s">
        <v>124</v>
      </c>
      <c r="L28" s="147" t="s">
        <v>124</v>
      </c>
      <c r="M28" s="147" t="s">
        <v>124</v>
      </c>
      <c r="N28" s="147" t="s">
        <v>124</v>
      </c>
      <c r="O28" s="147" t="s">
        <v>124</v>
      </c>
      <c r="P28" s="148" t="s">
        <v>147</v>
      </c>
      <c r="Q28" s="148" t="s">
        <v>132</v>
      </c>
      <c r="R28" s="148" t="s">
        <v>133</v>
      </c>
      <c r="S28" s="148" t="s">
        <v>120</v>
      </c>
      <c r="T28" s="145">
        <f t="shared" si="1"/>
        <v>40</v>
      </c>
      <c r="U28" s="149"/>
      <c r="V28" s="149">
        <f t="shared" si="2"/>
        <v>236</v>
      </c>
      <c r="W28" s="150" t="s">
        <v>1491</v>
      </c>
    </row>
    <row r="29" ht="17.6" spans="1:23">
      <c r="A29" s="143" t="s">
        <v>501</v>
      </c>
      <c r="B29" s="144">
        <v>1</v>
      </c>
      <c r="C29" s="145">
        <v>59</v>
      </c>
      <c r="D29" s="145">
        <v>64</v>
      </c>
      <c r="E29" s="145">
        <v>72</v>
      </c>
      <c r="F29" s="145">
        <v>85</v>
      </c>
      <c r="G29" s="145">
        <v>64</v>
      </c>
      <c r="H29" s="145">
        <f t="shared" si="0"/>
        <v>344</v>
      </c>
      <c r="I29" s="145">
        <v>144</v>
      </c>
      <c r="J29" s="147" t="s">
        <v>124</v>
      </c>
      <c r="K29" s="147" t="s">
        <v>124</v>
      </c>
      <c r="L29" s="147" t="s">
        <v>124</v>
      </c>
      <c r="M29" s="147" t="s">
        <v>130</v>
      </c>
      <c r="N29" s="147" t="s">
        <v>124</v>
      </c>
      <c r="O29" s="147" t="s">
        <v>124</v>
      </c>
      <c r="P29" s="149"/>
      <c r="Q29" s="148" t="s">
        <v>132</v>
      </c>
      <c r="R29" s="148" t="s">
        <v>119</v>
      </c>
      <c r="S29" s="148" t="s">
        <v>120</v>
      </c>
      <c r="T29" s="145">
        <f t="shared" si="1"/>
        <v>123</v>
      </c>
      <c r="U29" s="149"/>
      <c r="V29" s="149">
        <f t="shared" si="2"/>
        <v>221</v>
      </c>
      <c r="W29" s="150" t="s">
        <v>1491</v>
      </c>
    </row>
    <row r="30" ht="17.6" spans="1:23">
      <c r="A30" s="143" t="s">
        <v>537</v>
      </c>
      <c r="B30" s="144">
        <v>1</v>
      </c>
      <c r="C30" s="145">
        <v>57</v>
      </c>
      <c r="D30" s="145">
        <v>56</v>
      </c>
      <c r="E30" s="145">
        <v>72</v>
      </c>
      <c r="F30" s="145">
        <v>84</v>
      </c>
      <c r="G30" s="145">
        <v>57</v>
      </c>
      <c r="H30" s="145">
        <f t="shared" si="0"/>
        <v>326</v>
      </c>
      <c r="I30" s="145">
        <v>11</v>
      </c>
      <c r="J30" s="147" t="s">
        <v>124</v>
      </c>
      <c r="K30" s="147" t="s">
        <v>130</v>
      </c>
      <c r="L30" s="147" t="s">
        <v>124</v>
      </c>
      <c r="M30" s="147" t="s">
        <v>130</v>
      </c>
      <c r="N30" s="147" t="s">
        <v>124</v>
      </c>
      <c r="O30" s="147" t="s">
        <v>124</v>
      </c>
      <c r="P30" s="149"/>
      <c r="Q30" s="148" t="s">
        <v>175</v>
      </c>
      <c r="R30" s="148" t="s">
        <v>119</v>
      </c>
      <c r="S30" s="148" t="s">
        <v>148</v>
      </c>
      <c r="T30" s="145">
        <f t="shared" si="1"/>
        <v>113</v>
      </c>
      <c r="U30" s="149"/>
      <c r="V30" s="149">
        <f t="shared" si="2"/>
        <v>213</v>
      </c>
      <c r="W30" s="150" t="s">
        <v>1491</v>
      </c>
    </row>
    <row r="31" ht="17.6" spans="1:23">
      <c r="A31" s="143" t="s">
        <v>408</v>
      </c>
      <c r="B31" s="144">
        <v>1</v>
      </c>
      <c r="C31" s="145">
        <v>47</v>
      </c>
      <c r="D31" s="145">
        <v>60</v>
      </c>
      <c r="E31" s="145">
        <v>72</v>
      </c>
      <c r="F31" s="145">
        <v>83</v>
      </c>
      <c r="G31" s="145">
        <v>76</v>
      </c>
      <c r="H31" s="145">
        <f t="shared" si="0"/>
        <v>338</v>
      </c>
      <c r="I31" s="145">
        <v>0</v>
      </c>
      <c r="J31" s="147" t="s">
        <v>124</v>
      </c>
      <c r="K31" s="147" t="s">
        <v>130</v>
      </c>
      <c r="L31" s="147" t="s">
        <v>124</v>
      </c>
      <c r="M31" s="147" t="s">
        <v>124</v>
      </c>
      <c r="N31" s="147" t="s">
        <v>124</v>
      </c>
      <c r="O31" s="147" t="s">
        <v>124</v>
      </c>
      <c r="P31" s="149"/>
      <c r="Q31" s="148" t="s">
        <v>119</v>
      </c>
      <c r="R31" s="148" t="s">
        <v>119</v>
      </c>
      <c r="S31" s="148" t="s">
        <v>120</v>
      </c>
      <c r="T31" s="145">
        <f t="shared" si="1"/>
        <v>107</v>
      </c>
      <c r="U31" s="149"/>
      <c r="V31" s="149">
        <f t="shared" si="2"/>
        <v>231</v>
      </c>
      <c r="W31" s="150" t="s">
        <v>1491</v>
      </c>
    </row>
    <row r="32" ht="17.6" spans="1:23">
      <c r="A32" s="143" t="s">
        <v>368</v>
      </c>
      <c r="B32" s="144">
        <v>1</v>
      </c>
      <c r="C32" s="145">
        <v>19</v>
      </c>
      <c r="D32" s="145">
        <v>32</v>
      </c>
      <c r="E32" s="145">
        <v>72</v>
      </c>
      <c r="F32" s="145">
        <v>79</v>
      </c>
      <c r="G32" s="145">
        <v>81</v>
      </c>
      <c r="H32" s="145">
        <f t="shared" si="0"/>
        <v>283</v>
      </c>
      <c r="I32" s="145">
        <v>61</v>
      </c>
      <c r="J32" s="147" t="s">
        <v>124</v>
      </c>
      <c r="K32" s="147" t="s">
        <v>124</v>
      </c>
      <c r="L32" s="147" t="s">
        <v>124</v>
      </c>
      <c r="M32" s="147" t="s">
        <v>124</v>
      </c>
      <c r="N32" s="147" t="s">
        <v>124</v>
      </c>
      <c r="O32" s="147" t="s">
        <v>124</v>
      </c>
      <c r="P32" s="148" t="s">
        <v>147</v>
      </c>
      <c r="Q32" s="148" t="s">
        <v>132</v>
      </c>
      <c r="R32" s="148" t="s">
        <v>133</v>
      </c>
      <c r="S32" s="148" t="s">
        <v>120</v>
      </c>
      <c r="T32" s="145">
        <f t="shared" si="1"/>
        <v>51</v>
      </c>
      <c r="U32" s="149"/>
      <c r="V32" s="149">
        <f t="shared" si="2"/>
        <v>232</v>
      </c>
      <c r="W32" s="150" t="s">
        <v>1491</v>
      </c>
    </row>
    <row r="33" ht="17.6" spans="1:23">
      <c r="A33" s="143" t="s">
        <v>397</v>
      </c>
      <c r="B33" s="144">
        <v>1</v>
      </c>
      <c r="C33" s="145">
        <v>18</v>
      </c>
      <c r="D33" s="145">
        <v>46</v>
      </c>
      <c r="E33" s="145">
        <v>72</v>
      </c>
      <c r="F33" s="145">
        <v>80</v>
      </c>
      <c r="G33" s="145">
        <v>77</v>
      </c>
      <c r="H33" s="145">
        <f t="shared" si="0"/>
        <v>293</v>
      </c>
      <c r="I33" s="145">
        <v>67</v>
      </c>
      <c r="J33" s="147" t="s">
        <v>124</v>
      </c>
      <c r="K33" s="147" t="s">
        <v>124</v>
      </c>
      <c r="L33" s="147" t="s">
        <v>124</v>
      </c>
      <c r="M33" s="147" t="s">
        <v>124</v>
      </c>
      <c r="N33" s="147" t="s">
        <v>124</v>
      </c>
      <c r="O33" s="147" t="s">
        <v>124</v>
      </c>
      <c r="P33" s="148" t="s">
        <v>147</v>
      </c>
      <c r="Q33" s="148" t="s">
        <v>118</v>
      </c>
      <c r="R33" s="148" t="s">
        <v>133</v>
      </c>
      <c r="S33" s="148" t="s">
        <v>120</v>
      </c>
      <c r="T33" s="145">
        <f t="shared" si="1"/>
        <v>64</v>
      </c>
      <c r="U33" s="149"/>
      <c r="V33" s="149">
        <f t="shared" si="2"/>
        <v>229</v>
      </c>
      <c r="W33" s="150" t="s">
        <v>1491</v>
      </c>
    </row>
    <row r="34" ht="17.6" spans="1:23">
      <c r="A34" s="143" t="s">
        <v>699</v>
      </c>
      <c r="B34" s="144">
        <v>1</v>
      </c>
      <c r="C34" s="145">
        <v>67</v>
      </c>
      <c r="D34" s="145">
        <v>53</v>
      </c>
      <c r="E34" s="145">
        <v>71</v>
      </c>
      <c r="F34" s="145">
        <v>77</v>
      </c>
      <c r="G34" s="145">
        <v>79</v>
      </c>
      <c r="H34" s="145">
        <f t="shared" si="0"/>
        <v>347</v>
      </c>
      <c r="I34" s="145">
        <v>73</v>
      </c>
      <c r="J34" s="147" t="s">
        <v>130</v>
      </c>
      <c r="K34" s="147" t="s">
        <v>114</v>
      </c>
      <c r="L34" s="147" t="s">
        <v>130</v>
      </c>
      <c r="M34" s="147" t="s">
        <v>124</v>
      </c>
      <c r="N34" s="147" t="s">
        <v>130</v>
      </c>
      <c r="O34" s="147" t="s">
        <v>130</v>
      </c>
      <c r="P34" s="149"/>
      <c r="Q34" s="148" t="s">
        <v>132</v>
      </c>
      <c r="R34" s="148" t="s">
        <v>119</v>
      </c>
      <c r="S34" s="148" t="s">
        <v>126</v>
      </c>
      <c r="T34" s="145">
        <f t="shared" si="1"/>
        <v>120</v>
      </c>
      <c r="U34" s="149"/>
      <c r="V34" s="149">
        <f t="shared" si="2"/>
        <v>227</v>
      </c>
      <c r="W34" s="150" t="s">
        <v>1491</v>
      </c>
    </row>
    <row r="35" ht="17.6" spans="1:23">
      <c r="A35" s="143" t="s">
        <v>710</v>
      </c>
      <c r="B35" s="144">
        <v>1</v>
      </c>
      <c r="C35" s="145">
        <v>60</v>
      </c>
      <c r="D35" s="145">
        <v>76</v>
      </c>
      <c r="E35" s="145">
        <v>71</v>
      </c>
      <c r="F35" s="145">
        <v>83</v>
      </c>
      <c r="G35" s="145">
        <v>77</v>
      </c>
      <c r="H35" s="145">
        <f t="shared" si="0"/>
        <v>367</v>
      </c>
      <c r="I35" s="145">
        <v>59</v>
      </c>
      <c r="J35" s="147" t="s">
        <v>124</v>
      </c>
      <c r="K35" s="147" t="s">
        <v>130</v>
      </c>
      <c r="L35" s="147" t="s">
        <v>130</v>
      </c>
      <c r="M35" s="147" t="s">
        <v>124</v>
      </c>
      <c r="N35" s="147" t="s">
        <v>130</v>
      </c>
      <c r="O35" s="147" t="s">
        <v>130</v>
      </c>
      <c r="P35" s="148" t="s">
        <v>344</v>
      </c>
      <c r="Q35" s="148" t="s">
        <v>132</v>
      </c>
      <c r="R35" s="148" t="s">
        <v>119</v>
      </c>
      <c r="S35" s="148" t="s">
        <v>126</v>
      </c>
      <c r="T35" s="145">
        <f t="shared" si="1"/>
        <v>136</v>
      </c>
      <c r="U35" s="149"/>
      <c r="V35" s="149">
        <f t="shared" si="2"/>
        <v>231</v>
      </c>
      <c r="W35" s="150" t="s">
        <v>1491</v>
      </c>
    </row>
    <row r="36" ht="17.6" spans="1:23">
      <c r="A36" s="143" t="s">
        <v>346</v>
      </c>
      <c r="B36" s="144">
        <v>1</v>
      </c>
      <c r="C36" s="145">
        <v>64</v>
      </c>
      <c r="D36" s="145">
        <v>44</v>
      </c>
      <c r="E36" s="145">
        <v>70</v>
      </c>
      <c r="F36" s="145">
        <v>80</v>
      </c>
      <c r="G36" s="145">
        <v>85</v>
      </c>
      <c r="H36" s="145">
        <f t="shared" si="0"/>
        <v>343</v>
      </c>
      <c r="I36" s="145">
        <v>123</v>
      </c>
      <c r="J36" s="147" t="s">
        <v>124</v>
      </c>
      <c r="K36" s="147" t="s">
        <v>130</v>
      </c>
      <c r="L36" s="147" t="s">
        <v>114</v>
      </c>
      <c r="M36" s="147" t="s">
        <v>124</v>
      </c>
      <c r="N36" s="147" t="s">
        <v>124</v>
      </c>
      <c r="O36" s="147" t="s">
        <v>114</v>
      </c>
      <c r="P36" s="149"/>
      <c r="Q36" s="148" t="s">
        <v>132</v>
      </c>
      <c r="R36" s="148" t="s">
        <v>133</v>
      </c>
      <c r="S36" s="148" t="s">
        <v>148</v>
      </c>
      <c r="T36" s="145">
        <f t="shared" si="1"/>
        <v>108</v>
      </c>
      <c r="U36" s="149"/>
      <c r="V36" s="149">
        <f t="shared" si="2"/>
        <v>235</v>
      </c>
      <c r="W36" s="150" t="s">
        <v>1491</v>
      </c>
    </row>
    <row r="37" ht="17.6" spans="1:23">
      <c r="A37" s="143" t="s">
        <v>679</v>
      </c>
      <c r="B37" s="144">
        <v>1</v>
      </c>
      <c r="C37" s="145">
        <v>58</v>
      </c>
      <c r="D37" s="145">
        <v>58</v>
      </c>
      <c r="E37" s="145">
        <v>70</v>
      </c>
      <c r="F37" s="145">
        <v>79</v>
      </c>
      <c r="G37" s="145">
        <v>82</v>
      </c>
      <c r="H37" s="145">
        <f t="shared" si="0"/>
        <v>347</v>
      </c>
      <c r="I37" s="145">
        <v>22</v>
      </c>
      <c r="J37" s="147" t="s">
        <v>124</v>
      </c>
      <c r="K37" s="147" t="s">
        <v>124</v>
      </c>
      <c r="L37" s="147" t="s">
        <v>130</v>
      </c>
      <c r="M37" s="147" t="s">
        <v>124</v>
      </c>
      <c r="N37" s="147" t="s">
        <v>130</v>
      </c>
      <c r="O37" s="147" t="s">
        <v>124</v>
      </c>
      <c r="P37" s="149"/>
      <c r="Q37" s="148" t="s">
        <v>119</v>
      </c>
      <c r="R37" s="148" t="s">
        <v>136</v>
      </c>
      <c r="S37" s="148" t="s">
        <v>126</v>
      </c>
      <c r="T37" s="145">
        <f t="shared" si="1"/>
        <v>116</v>
      </c>
      <c r="U37" s="149"/>
      <c r="V37" s="149">
        <f t="shared" si="2"/>
        <v>231</v>
      </c>
      <c r="W37" s="150" t="s">
        <v>1491</v>
      </c>
    </row>
    <row r="38" ht="17.6" spans="1:23">
      <c r="A38" s="143" t="s">
        <v>441</v>
      </c>
      <c r="B38" s="144">
        <v>1</v>
      </c>
      <c r="C38" s="145">
        <v>58</v>
      </c>
      <c r="D38" s="145">
        <v>28</v>
      </c>
      <c r="E38" s="145">
        <v>70</v>
      </c>
      <c r="F38" s="145">
        <v>83</v>
      </c>
      <c r="G38" s="145">
        <v>72</v>
      </c>
      <c r="H38" s="145">
        <f t="shared" si="0"/>
        <v>311</v>
      </c>
      <c r="I38" s="145">
        <v>77</v>
      </c>
      <c r="J38" s="147" t="s">
        <v>124</v>
      </c>
      <c r="K38" s="147" t="s">
        <v>124</v>
      </c>
      <c r="L38" s="147" t="s">
        <v>130</v>
      </c>
      <c r="M38" s="147" t="s">
        <v>124</v>
      </c>
      <c r="N38" s="147" t="s">
        <v>124</v>
      </c>
      <c r="O38" s="147" t="s">
        <v>130</v>
      </c>
      <c r="P38" s="149"/>
      <c r="Q38" s="148" t="s">
        <v>132</v>
      </c>
      <c r="R38" s="148" t="s">
        <v>119</v>
      </c>
      <c r="S38" s="148" t="s">
        <v>148</v>
      </c>
      <c r="T38" s="145">
        <f t="shared" si="1"/>
        <v>86</v>
      </c>
      <c r="U38" s="149"/>
      <c r="V38" s="149">
        <f t="shared" si="2"/>
        <v>225</v>
      </c>
      <c r="W38" s="150" t="s">
        <v>1491</v>
      </c>
    </row>
    <row r="39" ht="17.6" spans="1:23">
      <c r="A39" s="143" t="s">
        <v>323</v>
      </c>
      <c r="B39" s="144">
        <v>1</v>
      </c>
      <c r="C39" s="145">
        <v>36</v>
      </c>
      <c r="D39" s="145">
        <v>49</v>
      </c>
      <c r="E39" s="145">
        <v>70</v>
      </c>
      <c r="F39" s="145">
        <v>85</v>
      </c>
      <c r="G39" s="145">
        <v>88</v>
      </c>
      <c r="H39" s="145">
        <f t="shared" si="0"/>
        <v>328</v>
      </c>
      <c r="I39" s="145">
        <v>89</v>
      </c>
      <c r="J39" s="147" t="s">
        <v>124</v>
      </c>
      <c r="K39" s="147" t="s">
        <v>124</v>
      </c>
      <c r="L39" s="147" t="s">
        <v>124</v>
      </c>
      <c r="M39" s="147" t="s">
        <v>124</v>
      </c>
      <c r="N39" s="147" t="s">
        <v>124</v>
      </c>
      <c r="O39" s="147" t="s">
        <v>124</v>
      </c>
      <c r="P39" s="149"/>
      <c r="Q39" s="148" t="s">
        <v>118</v>
      </c>
      <c r="R39" s="148" t="s">
        <v>119</v>
      </c>
      <c r="S39" s="148" t="s">
        <v>120</v>
      </c>
      <c r="T39" s="145">
        <f t="shared" si="1"/>
        <v>85</v>
      </c>
      <c r="U39" s="149"/>
      <c r="V39" s="149">
        <f t="shared" si="2"/>
        <v>243</v>
      </c>
      <c r="W39" s="150" t="s">
        <v>1491</v>
      </c>
    </row>
    <row r="40" ht="17.6" spans="1:23">
      <c r="A40" s="143" t="s">
        <v>815</v>
      </c>
      <c r="B40" s="144">
        <v>1</v>
      </c>
      <c r="C40" s="145">
        <v>75</v>
      </c>
      <c r="D40" s="145">
        <v>75</v>
      </c>
      <c r="E40" s="145">
        <v>59</v>
      </c>
      <c r="F40" s="145">
        <v>65</v>
      </c>
      <c r="G40" s="145">
        <v>60</v>
      </c>
      <c r="H40" s="145">
        <f t="shared" si="0"/>
        <v>334</v>
      </c>
      <c r="I40" s="145">
        <v>5</v>
      </c>
      <c r="J40" s="147" t="s">
        <v>114</v>
      </c>
      <c r="K40" s="147" t="s">
        <v>130</v>
      </c>
      <c r="L40" s="147" t="s">
        <v>130</v>
      </c>
      <c r="M40" s="147" t="s">
        <v>114</v>
      </c>
      <c r="N40" s="147" t="s">
        <v>130</v>
      </c>
      <c r="O40" s="147" t="s">
        <v>124</v>
      </c>
      <c r="P40" s="149"/>
      <c r="Q40" s="148" t="s">
        <v>132</v>
      </c>
      <c r="R40" s="148" t="s">
        <v>119</v>
      </c>
      <c r="S40" s="148" t="s">
        <v>126</v>
      </c>
      <c r="T40" s="145">
        <f t="shared" si="1"/>
        <v>150</v>
      </c>
      <c r="U40" s="149"/>
      <c r="V40" s="149">
        <f t="shared" si="2"/>
        <v>184</v>
      </c>
      <c r="W40" s="150" t="s">
        <v>1491</v>
      </c>
    </row>
    <row r="41" ht="17.6" spans="1:23">
      <c r="A41" s="143" t="s">
        <v>854</v>
      </c>
      <c r="B41" s="144">
        <v>1</v>
      </c>
      <c r="C41" s="145">
        <v>74</v>
      </c>
      <c r="D41" s="145">
        <v>77</v>
      </c>
      <c r="E41" s="145">
        <v>50</v>
      </c>
      <c r="F41" s="145">
        <v>49</v>
      </c>
      <c r="G41" s="145">
        <v>48</v>
      </c>
      <c r="H41" s="145">
        <f t="shared" si="0"/>
        <v>298</v>
      </c>
      <c r="I41" s="145">
        <v>88</v>
      </c>
      <c r="J41" s="147" t="s">
        <v>130</v>
      </c>
      <c r="K41" s="147" t="s">
        <v>130</v>
      </c>
      <c r="L41" s="147" t="s">
        <v>130</v>
      </c>
      <c r="M41" s="147" t="s">
        <v>114</v>
      </c>
      <c r="N41" s="147" t="s">
        <v>130</v>
      </c>
      <c r="O41" s="147" t="s">
        <v>114</v>
      </c>
      <c r="P41" s="149"/>
      <c r="Q41" s="148" t="s">
        <v>175</v>
      </c>
      <c r="R41" s="148" t="s">
        <v>119</v>
      </c>
      <c r="S41" s="148" t="s">
        <v>120</v>
      </c>
      <c r="T41" s="145">
        <f t="shared" si="1"/>
        <v>151</v>
      </c>
      <c r="U41" s="149"/>
      <c r="V41" s="149">
        <f t="shared" si="2"/>
        <v>147</v>
      </c>
      <c r="W41" s="150" t="s">
        <v>1491</v>
      </c>
    </row>
    <row r="42" ht="17.6" spans="1:23">
      <c r="A42" s="143" t="s">
        <v>876</v>
      </c>
      <c r="B42" s="144">
        <v>1</v>
      </c>
      <c r="C42" s="145">
        <v>69</v>
      </c>
      <c r="D42" s="145">
        <v>81</v>
      </c>
      <c r="E42" s="145">
        <v>49</v>
      </c>
      <c r="F42" s="145">
        <v>46</v>
      </c>
      <c r="G42" s="145">
        <v>20</v>
      </c>
      <c r="H42" s="145">
        <f t="shared" si="0"/>
        <v>265</v>
      </c>
      <c r="I42" s="145">
        <v>138</v>
      </c>
      <c r="J42" s="147" t="s">
        <v>130</v>
      </c>
      <c r="K42" s="147" t="s">
        <v>124</v>
      </c>
      <c r="L42" s="147" t="s">
        <v>114</v>
      </c>
      <c r="M42" s="147" t="s">
        <v>114</v>
      </c>
      <c r="N42" s="147" t="s">
        <v>130</v>
      </c>
      <c r="O42" s="147" t="s">
        <v>124</v>
      </c>
      <c r="P42" s="149"/>
      <c r="Q42" s="148" t="s">
        <v>175</v>
      </c>
      <c r="R42" s="148" t="s">
        <v>136</v>
      </c>
      <c r="S42" s="148" t="s">
        <v>250</v>
      </c>
      <c r="T42" s="145">
        <f t="shared" si="1"/>
        <v>150</v>
      </c>
      <c r="U42" s="149"/>
      <c r="V42" s="149">
        <f t="shared" si="2"/>
        <v>115</v>
      </c>
      <c r="W42" s="150" t="s">
        <v>1491</v>
      </c>
    </row>
  </sheetData>
  <pageMargins left="0.7" right="0.7" top="0.75" bottom="0.75" header="0.3" footer="0.3"/>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I44"/>
  <sheetViews>
    <sheetView showGridLines="0" zoomScale="134" zoomScaleNormal="134" workbookViewId="0">
      <selection activeCell="L12" sqref="L12"/>
    </sheetView>
  </sheetViews>
  <sheetFormatPr defaultColWidth="8.83035714285714" defaultRowHeight="13" customHeight="1"/>
  <cols>
    <col min="1" max="1" width="6.83035714285714" style="1" customWidth="1"/>
    <col min="2" max="2" width="13.3303571428571" style="1" customWidth="1"/>
    <col min="3" max="3" width="12.3303571428571" style="1" customWidth="1"/>
    <col min="4" max="4" width="9.5" style="1" customWidth="1"/>
    <col min="5" max="5" width="11.5" style="1" customWidth="1"/>
    <col min="6" max="6" width="19.6607142857143" style="1" customWidth="1"/>
    <col min="7" max="10" width="8.83035714285714" style="1" customWidth="1"/>
    <col min="11" max="16384" width="8.83035714285714" style="1"/>
  </cols>
  <sheetData>
    <row r="1" ht="17.5" customHeight="1" spans="1:9">
      <c r="A1" s="116" t="s">
        <v>91</v>
      </c>
      <c r="B1" s="117" t="s">
        <v>1492</v>
      </c>
      <c r="C1" s="117" t="s">
        <v>1493</v>
      </c>
      <c r="D1" s="117" t="s">
        <v>1494</v>
      </c>
      <c r="E1" s="117" t="s">
        <v>107</v>
      </c>
      <c r="F1" s="117" t="s">
        <v>1495</v>
      </c>
      <c r="G1" s="129"/>
      <c r="H1" s="130"/>
      <c r="I1" s="140"/>
    </row>
    <row r="2" ht="17" customHeight="1" spans="1:9">
      <c r="A2" s="118">
        <v>26</v>
      </c>
      <c r="B2" s="119" t="s">
        <v>1421</v>
      </c>
      <c r="C2" s="120">
        <v>25</v>
      </c>
      <c r="D2" s="121" t="s">
        <v>1369</v>
      </c>
      <c r="E2" s="131" t="s">
        <v>461</v>
      </c>
      <c r="F2" s="132"/>
      <c r="G2" s="133"/>
      <c r="H2" s="134"/>
      <c r="I2" s="141"/>
    </row>
    <row r="3" ht="17" customHeight="1" spans="1:9">
      <c r="A3" s="122">
        <v>37</v>
      </c>
      <c r="B3" s="123" t="s">
        <v>1422</v>
      </c>
      <c r="C3" s="124">
        <v>25</v>
      </c>
      <c r="D3" s="121" t="s">
        <v>1369</v>
      </c>
      <c r="E3" s="121" t="s">
        <v>141</v>
      </c>
      <c r="F3" s="135"/>
      <c r="G3" s="130"/>
      <c r="H3" s="136"/>
      <c r="I3" s="140"/>
    </row>
    <row r="4" ht="17" customHeight="1" spans="1:9">
      <c r="A4" s="122">
        <v>43</v>
      </c>
      <c r="B4" s="123" t="s">
        <v>1423</v>
      </c>
      <c r="C4" s="124">
        <v>25</v>
      </c>
      <c r="D4" s="121" t="s">
        <v>1423</v>
      </c>
      <c r="E4" s="121" t="s">
        <v>243</v>
      </c>
      <c r="F4" s="121" t="s">
        <v>1424</v>
      </c>
      <c r="G4" s="130"/>
      <c r="H4" s="136"/>
      <c r="I4" s="140"/>
    </row>
    <row r="5" ht="17" customHeight="1" spans="1:9">
      <c r="A5" s="122">
        <v>42</v>
      </c>
      <c r="B5" s="123" t="s">
        <v>1425</v>
      </c>
      <c r="C5" s="124">
        <v>25</v>
      </c>
      <c r="D5" s="121" t="s">
        <v>1425</v>
      </c>
      <c r="E5" s="121" t="s">
        <v>144</v>
      </c>
      <c r="F5" s="121" t="s">
        <v>1426</v>
      </c>
      <c r="G5" s="130"/>
      <c r="H5" s="136"/>
      <c r="I5" s="140"/>
    </row>
    <row r="6" ht="17" customHeight="1" spans="1:9">
      <c r="A6" s="122">
        <v>6</v>
      </c>
      <c r="B6" s="123" t="s">
        <v>1427</v>
      </c>
      <c r="C6" s="124">
        <v>22</v>
      </c>
      <c r="D6" s="121" t="s">
        <v>1374</v>
      </c>
      <c r="E6" s="121" t="s">
        <v>1428</v>
      </c>
      <c r="F6" s="121" t="s">
        <v>1429</v>
      </c>
      <c r="G6" s="130"/>
      <c r="H6" s="136"/>
      <c r="I6" s="140"/>
    </row>
    <row r="7" ht="17" customHeight="1" spans="1:9">
      <c r="A7" s="122">
        <v>9</v>
      </c>
      <c r="B7" s="123" t="s">
        <v>1430</v>
      </c>
      <c r="C7" s="124">
        <v>22</v>
      </c>
      <c r="D7" s="121" t="s">
        <v>1374</v>
      </c>
      <c r="E7" s="121" t="s">
        <v>762</v>
      </c>
      <c r="F7" s="121" t="s">
        <v>1431</v>
      </c>
      <c r="G7" s="130"/>
      <c r="H7" s="136"/>
      <c r="I7" s="140"/>
    </row>
    <row r="8" ht="17" customHeight="1" spans="1:9">
      <c r="A8" s="122">
        <v>18</v>
      </c>
      <c r="B8" s="123" t="s">
        <v>1432</v>
      </c>
      <c r="C8" s="124">
        <v>22</v>
      </c>
      <c r="D8" s="121" t="s">
        <v>1433</v>
      </c>
      <c r="E8" s="121" t="s">
        <v>801</v>
      </c>
      <c r="F8" s="121" t="s">
        <v>1434</v>
      </c>
      <c r="G8" s="130"/>
      <c r="H8" s="136"/>
      <c r="I8" s="140"/>
    </row>
    <row r="9" ht="17" customHeight="1" spans="1:9">
      <c r="A9" s="122">
        <v>36</v>
      </c>
      <c r="B9" s="123" t="s">
        <v>1435</v>
      </c>
      <c r="C9" s="124">
        <v>20</v>
      </c>
      <c r="D9" s="121" t="s">
        <v>1369</v>
      </c>
      <c r="E9" s="121" t="s">
        <v>1436</v>
      </c>
      <c r="F9" s="135"/>
      <c r="G9" s="130"/>
      <c r="H9" s="136"/>
      <c r="I9" s="140"/>
    </row>
    <row r="10" ht="17" customHeight="1" spans="1:9">
      <c r="A10" s="122">
        <v>7</v>
      </c>
      <c r="B10" s="123" t="s">
        <v>1437</v>
      </c>
      <c r="C10" s="124">
        <v>20</v>
      </c>
      <c r="D10" s="121" t="s">
        <v>1374</v>
      </c>
      <c r="E10" s="121" t="s">
        <v>172</v>
      </c>
      <c r="F10" s="121" t="s">
        <v>1438</v>
      </c>
      <c r="G10" s="130"/>
      <c r="H10" s="136"/>
      <c r="I10" s="140"/>
    </row>
    <row r="11" ht="17" customHeight="1" spans="1:9">
      <c r="A11" s="122">
        <v>8</v>
      </c>
      <c r="B11" s="123" t="s">
        <v>1439</v>
      </c>
      <c r="C11" s="124">
        <v>18</v>
      </c>
      <c r="D11" s="121" t="s">
        <v>1374</v>
      </c>
      <c r="E11" s="121" t="s">
        <v>411</v>
      </c>
      <c r="F11" s="121" t="s">
        <v>1438</v>
      </c>
      <c r="G11" s="130"/>
      <c r="H11" s="136"/>
      <c r="I11" s="140"/>
    </row>
    <row r="12" ht="17" customHeight="1" spans="1:9">
      <c r="A12" s="122">
        <v>33</v>
      </c>
      <c r="B12" s="123" t="s">
        <v>1440</v>
      </c>
      <c r="C12" s="124">
        <v>16</v>
      </c>
      <c r="D12" s="121" t="s">
        <v>1369</v>
      </c>
      <c r="E12" s="121" t="s">
        <v>337</v>
      </c>
      <c r="F12" s="135"/>
      <c r="G12" s="130"/>
      <c r="H12" s="136"/>
      <c r="I12" s="140"/>
    </row>
    <row r="13" ht="17" customHeight="1" spans="1:9">
      <c r="A13" s="122">
        <v>16</v>
      </c>
      <c r="B13" s="123" t="s">
        <v>1441</v>
      </c>
      <c r="C13" s="124">
        <v>16</v>
      </c>
      <c r="D13" s="121" t="s">
        <v>1366</v>
      </c>
      <c r="E13" s="121" t="s">
        <v>220</v>
      </c>
      <c r="F13" s="121" t="s">
        <v>1442</v>
      </c>
      <c r="G13" s="130"/>
      <c r="H13" s="136"/>
      <c r="I13" s="140"/>
    </row>
    <row r="14" ht="17" customHeight="1" spans="1:9">
      <c r="A14" s="122">
        <v>19</v>
      </c>
      <c r="B14" s="123" t="s">
        <v>1443</v>
      </c>
      <c r="C14" s="124">
        <v>16</v>
      </c>
      <c r="D14" s="121" t="s">
        <v>1433</v>
      </c>
      <c r="E14" s="121" t="s">
        <v>189</v>
      </c>
      <c r="F14" s="121" t="s">
        <v>1444</v>
      </c>
      <c r="G14" s="130"/>
      <c r="H14" s="136"/>
      <c r="I14" s="140"/>
    </row>
    <row r="15" ht="17" customHeight="1" spans="1:9">
      <c r="A15" s="122">
        <v>27</v>
      </c>
      <c r="B15" s="123" t="s">
        <v>1445</v>
      </c>
      <c r="C15" s="124">
        <v>14</v>
      </c>
      <c r="D15" s="121" t="s">
        <v>1369</v>
      </c>
      <c r="E15" s="121" t="s">
        <v>157</v>
      </c>
      <c r="F15" s="135"/>
      <c r="G15" s="130"/>
      <c r="H15" s="136"/>
      <c r="I15" s="140"/>
    </row>
    <row r="16" ht="17" customHeight="1" spans="1:9">
      <c r="A16" s="122">
        <v>34</v>
      </c>
      <c r="B16" s="123" t="s">
        <v>1446</v>
      </c>
      <c r="C16" s="124">
        <v>14</v>
      </c>
      <c r="D16" s="121" t="s">
        <v>1369</v>
      </c>
      <c r="E16" s="121" t="s">
        <v>328</v>
      </c>
      <c r="F16" s="135"/>
      <c r="G16" s="130"/>
      <c r="H16" s="136"/>
      <c r="I16" s="140"/>
    </row>
    <row r="17" ht="17" customHeight="1" spans="1:9">
      <c r="A17" s="122">
        <v>5</v>
      </c>
      <c r="B17" s="123" t="s">
        <v>1447</v>
      </c>
      <c r="C17" s="124">
        <v>14</v>
      </c>
      <c r="D17" s="121" t="s">
        <v>1360</v>
      </c>
      <c r="E17" s="121" t="s">
        <v>655</v>
      </c>
      <c r="F17" s="135"/>
      <c r="G17" s="130"/>
      <c r="H17" s="136"/>
      <c r="I17" s="140"/>
    </row>
    <row r="18" ht="17" customHeight="1" spans="1:9">
      <c r="A18" s="122">
        <v>13</v>
      </c>
      <c r="B18" s="123" t="s">
        <v>1448</v>
      </c>
      <c r="C18" s="124">
        <v>14</v>
      </c>
      <c r="D18" s="121" t="s">
        <v>1366</v>
      </c>
      <c r="E18" s="121" t="s">
        <v>198</v>
      </c>
      <c r="F18" s="135"/>
      <c r="G18" s="130"/>
      <c r="H18" s="136"/>
      <c r="I18" s="140"/>
    </row>
    <row r="19" ht="17" customHeight="1" spans="1:9">
      <c r="A19" s="122">
        <v>12</v>
      </c>
      <c r="B19" s="123" t="s">
        <v>1389</v>
      </c>
      <c r="C19" s="124">
        <v>12</v>
      </c>
      <c r="D19" s="121" t="s">
        <v>1366</v>
      </c>
      <c r="E19" s="121" t="s">
        <v>490</v>
      </c>
      <c r="F19" s="135"/>
      <c r="G19" s="130"/>
      <c r="H19" s="136"/>
      <c r="I19" s="140"/>
    </row>
    <row r="20" ht="17" customHeight="1" spans="1:9">
      <c r="A20" s="122">
        <v>41</v>
      </c>
      <c r="B20" s="123" t="s">
        <v>1459</v>
      </c>
      <c r="C20" s="124">
        <v>10</v>
      </c>
      <c r="D20" s="121" t="s">
        <v>1369</v>
      </c>
      <c r="E20" s="121" t="s">
        <v>292</v>
      </c>
      <c r="F20" s="135"/>
      <c r="G20" s="130"/>
      <c r="H20" s="136"/>
      <c r="I20" s="140"/>
    </row>
    <row r="21" ht="17" customHeight="1" spans="1:9">
      <c r="A21" s="122">
        <v>17</v>
      </c>
      <c r="B21" s="123" t="s">
        <v>1404</v>
      </c>
      <c r="C21" s="124">
        <v>10</v>
      </c>
      <c r="D21" s="121" t="s">
        <v>1366</v>
      </c>
      <c r="E21" s="121" t="s">
        <v>239</v>
      </c>
      <c r="F21" s="135"/>
      <c r="G21" s="130"/>
      <c r="H21" s="136"/>
      <c r="I21" s="140"/>
    </row>
    <row r="22" ht="17" customHeight="1" spans="1:9">
      <c r="A22" s="122">
        <v>40</v>
      </c>
      <c r="B22" s="123" t="s">
        <v>1384</v>
      </c>
      <c r="C22" s="124">
        <v>8</v>
      </c>
      <c r="D22" s="121" t="s">
        <v>1369</v>
      </c>
      <c r="E22" s="121" t="s">
        <v>160</v>
      </c>
      <c r="F22" s="135"/>
      <c r="G22" s="130"/>
      <c r="H22" s="136"/>
      <c r="I22" s="140"/>
    </row>
    <row r="23" ht="17" customHeight="1" spans="1:9">
      <c r="A23" s="122">
        <v>2</v>
      </c>
      <c r="B23" s="123" t="s">
        <v>1468</v>
      </c>
      <c r="C23" s="124">
        <v>8</v>
      </c>
      <c r="D23" s="121" t="s">
        <v>1360</v>
      </c>
      <c r="E23" s="121" t="s">
        <v>256</v>
      </c>
      <c r="F23" s="135"/>
      <c r="G23" s="130"/>
      <c r="H23" s="136"/>
      <c r="I23" s="140"/>
    </row>
    <row r="24" ht="17" customHeight="1" spans="1:9">
      <c r="A24" s="122">
        <v>25</v>
      </c>
      <c r="B24" s="123" t="s">
        <v>1376</v>
      </c>
      <c r="C24" s="124">
        <v>8</v>
      </c>
      <c r="D24" s="121" t="s">
        <v>1369</v>
      </c>
      <c r="E24" s="121" t="s">
        <v>856</v>
      </c>
      <c r="F24" s="135"/>
      <c r="G24" s="130"/>
      <c r="H24" s="136"/>
      <c r="I24" s="140"/>
    </row>
    <row r="25" ht="17" customHeight="1" spans="1:9">
      <c r="A25" s="122">
        <v>29</v>
      </c>
      <c r="B25" s="123" t="s">
        <v>1396</v>
      </c>
      <c r="C25" s="124">
        <v>8</v>
      </c>
      <c r="D25" s="121" t="s">
        <v>1369</v>
      </c>
      <c r="E25" s="121" t="s">
        <v>260</v>
      </c>
      <c r="F25" s="135"/>
      <c r="G25" s="130"/>
      <c r="H25" s="136"/>
      <c r="I25" s="140"/>
    </row>
    <row r="26" ht="17" customHeight="1" spans="1:9">
      <c r="A26" s="122">
        <v>31</v>
      </c>
      <c r="B26" s="123" t="s">
        <v>1450</v>
      </c>
      <c r="C26" s="124">
        <v>8</v>
      </c>
      <c r="D26" s="121" t="s">
        <v>1369</v>
      </c>
      <c r="E26" s="121" t="s">
        <v>624</v>
      </c>
      <c r="F26" s="121" t="s">
        <v>1451</v>
      </c>
      <c r="G26" s="130"/>
      <c r="H26" s="136"/>
      <c r="I26" s="140"/>
    </row>
    <row r="27" ht="17" customHeight="1" spans="1:9">
      <c r="A27" s="122">
        <v>1</v>
      </c>
      <c r="B27" s="123" t="s">
        <v>1380</v>
      </c>
      <c r="C27" s="124">
        <v>8</v>
      </c>
      <c r="D27" s="121" t="s">
        <v>1360</v>
      </c>
      <c r="E27" s="121" t="s">
        <v>472</v>
      </c>
      <c r="F27" s="135"/>
      <c r="G27" s="130"/>
      <c r="H27" s="136"/>
      <c r="I27" s="140"/>
    </row>
    <row r="28" ht="17" customHeight="1" spans="1:9">
      <c r="A28" s="122">
        <v>32</v>
      </c>
      <c r="B28" s="123" t="s">
        <v>1464</v>
      </c>
      <c r="C28" s="124">
        <v>8</v>
      </c>
      <c r="D28" s="121" t="s">
        <v>1369</v>
      </c>
      <c r="E28" s="121" t="s">
        <v>353</v>
      </c>
      <c r="F28" s="121" t="s">
        <v>1465</v>
      </c>
      <c r="G28" s="130"/>
      <c r="H28" s="136"/>
      <c r="I28" s="140"/>
    </row>
    <row r="29" ht="17" customHeight="1" spans="1:9">
      <c r="A29" s="122">
        <v>14</v>
      </c>
      <c r="B29" s="123" t="s">
        <v>1365</v>
      </c>
      <c r="C29" s="124">
        <v>6</v>
      </c>
      <c r="D29" s="121" t="s">
        <v>1366</v>
      </c>
      <c r="E29" s="121" t="s">
        <v>309</v>
      </c>
      <c r="F29" s="135"/>
      <c r="G29" s="130"/>
      <c r="H29" s="136"/>
      <c r="I29" s="140"/>
    </row>
    <row r="30" ht="17" customHeight="1" spans="1:9">
      <c r="A30" s="122">
        <v>23</v>
      </c>
      <c r="B30" s="123" t="s">
        <v>1456</v>
      </c>
      <c r="C30" s="124">
        <v>6</v>
      </c>
      <c r="D30" s="121" t="s">
        <v>1369</v>
      </c>
      <c r="E30" s="121" t="s">
        <v>215</v>
      </c>
      <c r="F30" s="121" t="s">
        <v>1410</v>
      </c>
      <c r="G30" s="130"/>
      <c r="H30" s="136"/>
      <c r="I30" s="140"/>
    </row>
    <row r="31" ht="17" customHeight="1" spans="1:9">
      <c r="A31" s="122">
        <v>24</v>
      </c>
      <c r="B31" s="123" t="s">
        <v>1409</v>
      </c>
      <c r="C31" s="124">
        <v>6</v>
      </c>
      <c r="D31" s="121" t="s">
        <v>1369</v>
      </c>
      <c r="E31" s="121" t="s">
        <v>503</v>
      </c>
      <c r="F31" s="121" t="s">
        <v>1410</v>
      </c>
      <c r="G31" s="130"/>
      <c r="H31" s="136"/>
      <c r="I31" s="140"/>
    </row>
    <row r="32" ht="17" customHeight="1" spans="1:9">
      <c r="A32" s="122">
        <v>15</v>
      </c>
      <c r="B32" s="123" t="s">
        <v>1382</v>
      </c>
      <c r="C32" s="124">
        <v>6</v>
      </c>
      <c r="D32" s="121" t="s">
        <v>1366</v>
      </c>
      <c r="E32" s="121" t="s">
        <v>155</v>
      </c>
      <c r="F32" s="137"/>
      <c r="G32" s="130"/>
      <c r="H32" s="136"/>
      <c r="I32" s="140"/>
    </row>
    <row r="33" ht="17" customHeight="1" spans="1:9">
      <c r="A33" s="122">
        <v>39</v>
      </c>
      <c r="B33" s="123" t="s">
        <v>1392</v>
      </c>
      <c r="C33" s="124">
        <v>6</v>
      </c>
      <c r="D33" s="121" t="s">
        <v>1369</v>
      </c>
      <c r="E33" s="121" t="s">
        <v>1393</v>
      </c>
      <c r="F33" s="121" t="s">
        <v>1394</v>
      </c>
      <c r="G33" s="130"/>
      <c r="H33" s="136"/>
      <c r="I33" s="140"/>
    </row>
    <row r="34" ht="17" customHeight="1" spans="1:9">
      <c r="A34" s="122">
        <v>10</v>
      </c>
      <c r="B34" s="123" t="s">
        <v>1469</v>
      </c>
      <c r="C34" s="124">
        <v>6</v>
      </c>
      <c r="D34" s="121" t="s">
        <v>1374</v>
      </c>
      <c r="E34" s="121" t="s">
        <v>311</v>
      </c>
      <c r="F34" s="135"/>
      <c r="G34" s="130"/>
      <c r="H34" s="136"/>
      <c r="I34" s="140"/>
    </row>
    <row r="35" ht="17" customHeight="1" spans="1:9">
      <c r="A35" s="122">
        <v>11</v>
      </c>
      <c r="B35" s="123" t="s">
        <v>1373</v>
      </c>
      <c r="C35" s="124">
        <v>6</v>
      </c>
      <c r="D35" s="121" t="s">
        <v>1374</v>
      </c>
      <c r="E35" s="121" t="s">
        <v>459</v>
      </c>
      <c r="F35" s="135"/>
      <c r="G35" s="130"/>
      <c r="H35" s="136"/>
      <c r="I35" s="140"/>
    </row>
    <row r="36" ht="17" customHeight="1" spans="1:9">
      <c r="A36" s="122">
        <v>3</v>
      </c>
      <c r="B36" s="123" t="s">
        <v>1359</v>
      </c>
      <c r="C36" s="124">
        <v>4</v>
      </c>
      <c r="D36" s="121" t="s">
        <v>1360</v>
      </c>
      <c r="E36" s="121" t="s">
        <v>1361</v>
      </c>
      <c r="F36" s="135"/>
      <c r="G36" s="130"/>
      <c r="H36" s="136"/>
      <c r="I36" s="140"/>
    </row>
    <row r="37" ht="17" customHeight="1" spans="1:9">
      <c r="A37" s="122">
        <v>4</v>
      </c>
      <c r="B37" s="123" t="s">
        <v>1371</v>
      </c>
      <c r="C37" s="124">
        <v>4</v>
      </c>
      <c r="D37" s="121" t="s">
        <v>1360</v>
      </c>
      <c r="E37" s="121" t="s">
        <v>636</v>
      </c>
      <c r="F37" s="135"/>
      <c r="G37" s="130"/>
      <c r="H37" s="136"/>
      <c r="I37" s="140"/>
    </row>
    <row r="38" ht="17" customHeight="1" spans="1:9">
      <c r="A38" s="122">
        <v>28</v>
      </c>
      <c r="B38" s="123" t="s">
        <v>1402</v>
      </c>
      <c r="C38" s="124">
        <v>4</v>
      </c>
      <c r="D38" s="121" t="s">
        <v>1369</v>
      </c>
      <c r="E38" s="121" t="s">
        <v>701</v>
      </c>
      <c r="F38" s="135"/>
      <c r="G38" s="130"/>
      <c r="H38" s="136"/>
      <c r="I38" s="140"/>
    </row>
    <row r="39" ht="17" customHeight="1" spans="1:9">
      <c r="A39" s="122">
        <v>30</v>
      </c>
      <c r="B39" s="123" t="s">
        <v>1454</v>
      </c>
      <c r="C39" s="124">
        <v>4</v>
      </c>
      <c r="D39" s="121" t="s">
        <v>1369</v>
      </c>
      <c r="E39" s="121" t="s">
        <v>721</v>
      </c>
      <c r="F39" s="135"/>
      <c r="G39" s="130"/>
      <c r="H39" s="136"/>
      <c r="I39" s="140"/>
    </row>
    <row r="40" ht="17" customHeight="1" spans="1:9">
      <c r="A40" s="122">
        <v>35</v>
      </c>
      <c r="B40" s="123" t="s">
        <v>1368</v>
      </c>
      <c r="C40" s="124">
        <v>4</v>
      </c>
      <c r="D40" s="121" t="s">
        <v>1369</v>
      </c>
      <c r="E40" s="121" t="s">
        <v>281</v>
      </c>
      <c r="F40" s="135"/>
      <c r="G40" s="130"/>
      <c r="H40" s="136"/>
      <c r="I40" s="140"/>
    </row>
    <row r="41" ht="17" customHeight="1" spans="1:9">
      <c r="A41" s="122">
        <v>38</v>
      </c>
      <c r="B41" s="123" t="s">
        <v>1398</v>
      </c>
      <c r="C41" s="124">
        <v>4</v>
      </c>
      <c r="D41" s="121" t="s">
        <v>1369</v>
      </c>
      <c r="E41" s="121" t="s">
        <v>499</v>
      </c>
      <c r="F41" s="135"/>
      <c r="G41" s="130"/>
      <c r="H41" s="136"/>
      <c r="I41" s="140"/>
    </row>
    <row r="42" ht="17" customHeight="1" spans="1:9">
      <c r="A42" s="122">
        <v>20</v>
      </c>
      <c r="B42" s="123" t="s">
        <v>1462</v>
      </c>
      <c r="C42" s="124">
        <v>4</v>
      </c>
      <c r="D42" s="121" t="s">
        <v>1401</v>
      </c>
      <c r="E42" s="121" t="s">
        <v>393</v>
      </c>
      <c r="F42" s="135"/>
      <c r="G42" s="130"/>
      <c r="H42" s="136"/>
      <c r="I42" s="140"/>
    </row>
    <row r="43" ht="17" customHeight="1" spans="1:9">
      <c r="A43" s="122">
        <v>21</v>
      </c>
      <c r="B43" s="123" t="s">
        <v>1400</v>
      </c>
      <c r="C43" s="124">
        <v>4</v>
      </c>
      <c r="D43" s="121" t="s">
        <v>1401</v>
      </c>
      <c r="E43" s="121" t="s">
        <v>429</v>
      </c>
      <c r="F43" s="135"/>
      <c r="G43" s="130"/>
      <c r="H43" s="136"/>
      <c r="I43" s="140"/>
    </row>
    <row r="44" ht="17" customHeight="1" spans="1:9">
      <c r="A44" s="125">
        <v>22</v>
      </c>
      <c r="B44" s="126" t="s">
        <v>1413</v>
      </c>
      <c r="C44" s="127">
        <v>4</v>
      </c>
      <c r="D44" s="128" t="s">
        <v>1401</v>
      </c>
      <c r="E44" s="128" t="s">
        <v>266</v>
      </c>
      <c r="F44" s="138"/>
      <c r="G44" s="139"/>
      <c r="H44" s="136"/>
      <c r="I44" s="142"/>
    </row>
  </sheetData>
  <autoFilter xmlns:etc="http://www.wps.cn/officeDocument/2017/etCustomData" ref="A1:I44" etc:filterBottomFollowUsedRange="0">
    <sortState ref="A1:I44">
      <sortCondition ref="C1:C44" descending="1"/>
    </sortState>
    <extLst/>
  </autoFilter>
  <pageMargins left="1" right="1" top="1" bottom="1" header="0.25" footer="0.25"/>
  <pageSetup paperSize="1" orientation="portrait"/>
  <headerFooter>
    <oddFooter>&amp;C&amp;"Helvetica Neue,Regular"&amp;12&amp;K000000&amp;P</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61"/>
  <sheetViews>
    <sheetView zoomScale="165" zoomScaleNormal="165" topLeftCell="A15" workbookViewId="0">
      <selection activeCell="D24" sqref="D24"/>
    </sheetView>
  </sheetViews>
  <sheetFormatPr defaultColWidth="9.16071428571429" defaultRowHeight="16.8" outlineLevelCol="7"/>
  <cols>
    <col min="1" max="1" width="9.33035714285714" style="94" customWidth="1"/>
    <col min="2" max="2" width="14.1607142857143" style="94" customWidth="1"/>
    <col min="3" max="3" width="7.33035714285714" style="94" customWidth="1"/>
    <col min="4" max="4" width="52" style="94" customWidth="1"/>
    <col min="5" max="5" width="152.160714285714" style="94" customWidth="1"/>
    <col min="6" max="16384" width="9.16071428571429" style="94"/>
  </cols>
  <sheetData>
    <row r="1" ht="17" spans="1:5">
      <c r="A1" s="95" t="s">
        <v>1058</v>
      </c>
      <c r="B1" s="96" t="s">
        <v>1496</v>
      </c>
      <c r="C1" s="97"/>
      <c r="D1" s="97"/>
      <c r="E1" s="97"/>
    </row>
    <row r="2" spans="1:5">
      <c r="A2" s="98"/>
      <c r="B2" s="97" t="s">
        <v>1060</v>
      </c>
      <c r="C2" s="97"/>
      <c r="D2" s="97"/>
      <c r="E2" s="97"/>
    </row>
    <row r="3" spans="1:5">
      <c r="A3" s="98"/>
      <c r="B3" s="97" t="s">
        <v>1061</v>
      </c>
      <c r="C3" s="97"/>
      <c r="D3" s="97"/>
      <c r="E3" s="97"/>
    </row>
    <row r="4" spans="1:5">
      <c r="A4" s="98"/>
      <c r="B4" s="97" t="s">
        <v>1497</v>
      </c>
      <c r="C4" s="97"/>
      <c r="D4" s="97"/>
      <c r="E4" s="97"/>
    </row>
    <row r="5" spans="1:5">
      <c r="A5" s="98"/>
      <c r="B5" s="97" t="s">
        <v>1498</v>
      </c>
      <c r="C5" s="97"/>
      <c r="D5" s="97"/>
      <c r="E5" s="97"/>
    </row>
    <row r="6" spans="1:5">
      <c r="A6" s="98"/>
      <c r="B6" s="99" t="s">
        <v>1499</v>
      </c>
      <c r="C6" s="99"/>
      <c r="D6" s="99"/>
      <c r="E6" s="99"/>
    </row>
    <row r="7" spans="1:5">
      <c r="A7" s="98"/>
      <c r="B7" s="100" t="s">
        <v>1500</v>
      </c>
      <c r="C7" s="100"/>
      <c r="D7" s="100"/>
      <c r="E7" s="100"/>
    </row>
    <row r="8" spans="1:5">
      <c r="A8" s="98"/>
      <c r="B8" s="99" t="s">
        <v>1501</v>
      </c>
      <c r="C8" s="99"/>
      <c r="D8" s="99"/>
      <c r="E8" s="99"/>
    </row>
    <row r="9" s="93" customFormat="1" spans="1:5">
      <c r="A9" s="101"/>
      <c r="B9" s="101" t="s">
        <v>1502</v>
      </c>
      <c r="C9" s="101" t="s">
        <v>1503</v>
      </c>
      <c r="D9" s="101" t="s">
        <v>1062</v>
      </c>
      <c r="E9" s="101" t="s">
        <v>5</v>
      </c>
    </row>
    <row r="10" s="93" customFormat="1" spans="1:5">
      <c r="A10" s="101" t="s">
        <v>1504</v>
      </c>
      <c r="B10" s="101" t="s">
        <v>1505</v>
      </c>
      <c r="C10" s="101">
        <v>0</v>
      </c>
      <c r="D10" s="101" t="s">
        <v>1506</v>
      </c>
      <c r="E10" s="101" t="s">
        <v>1507</v>
      </c>
    </row>
    <row r="11" s="93" customFormat="1" spans="1:5">
      <c r="A11" s="101"/>
      <c r="B11" s="101" t="s">
        <v>1508</v>
      </c>
      <c r="C11" s="101">
        <v>5</v>
      </c>
      <c r="D11" s="101" t="s">
        <v>1509</v>
      </c>
      <c r="E11" s="101" t="s">
        <v>1510</v>
      </c>
    </row>
    <row r="12" s="93" customFormat="1" spans="1:5">
      <c r="A12" s="101"/>
      <c r="B12" s="101" t="s">
        <v>1511</v>
      </c>
      <c r="C12" s="101">
        <v>0</v>
      </c>
      <c r="D12" s="101" t="s">
        <v>1506</v>
      </c>
      <c r="E12" s="101" t="s">
        <v>1512</v>
      </c>
    </row>
    <row r="13" s="93" customFormat="1" spans="1:5">
      <c r="A13" s="101"/>
      <c r="B13" s="101" t="s">
        <v>1513</v>
      </c>
      <c r="C13" s="101">
        <v>20</v>
      </c>
      <c r="D13" s="101" t="s">
        <v>1506</v>
      </c>
      <c r="E13" s="101" t="s">
        <v>1514</v>
      </c>
    </row>
    <row r="14" s="93" customFormat="1" spans="1:5">
      <c r="A14" s="101"/>
      <c r="B14" s="101" t="s">
        <v>1515</v>
      </c>
      <c r="C14" s="101">
        <v>15</v>
      </c>
      <c r="D14" s="101" t="s">
        <v>1506</v>
      </c>
      <c r="E14" s="101" t="s">
        <v>1516</v>
      </c>
    </row>
    <row r="15" s="93" customFormat="1" ht="17" spans="1:5">
      <c r="A15" s="101"/>
      <c r="B15" s="101" t="s">
        <v>1517</v>
      </c>
      <c r="C15" s="101">
        <v>20</v>
      </c>
      <c r="D15" s="101" t="s">
        <v>1518</v>
      </c>
      <c r="E15" s="101" t="s">
        <v>1519</v>
      </c>
    </row>
    <row r="16" s="93" customFormat="1" spans="1:5">
      <c r="A16" s="101"/>
      <c r="B16" s="101"/>
      <c r="C16" s="101"/>
      <c r="D16" s="101"/>
      <c r="E16" s="101"/>
    </row>
    <row r="17" s="93" customFormat="1" spans="1:5">
      <c r="A17" s="101" t="s">
        <v>1520</v>
      </c>
      <c r="B17" s="101" t="s">
        <v>1521</v>
      </c>
      <c r="C17" s="101">
        <v>0</v>
      </c>
      <c r="D17" s="101" t="s">
        <v>1506</v>
      </c>
      <c r="E17" s="101" t="s">
        <v>1522</v>
      </c>
    </row>
    <row r="18" s="93" customFormat="1" spans="1:5">
      <c r="A18" s="101"/>
      <c r="B18" s="101" t="s">
        <v>1523</v>
      </c>
      <c r="C18" s="101">
        <v>5</v>
      </c>
      <c r="D18" s="101" t="s">
        <v>1509</v>
      </c>
      <c r="E18" s="101" t="s">
        <v>1510</v>
      </c>
    </row>
    <row r="19" s="93" customFormat="1" spans="1:5">
      <c r="A19" s="101"/>
      <c r="B19" s="101" t="s">
        <v>1524</v>
      </c>
      <c r="C19" s="101">
        <v>5</v>
      </c>
      <c r="D19" s="101" t="s">
        <v>1525</v>
      </c>
      <c r="E19" s="101" t="s">
        <v>1526</v>
      </c>
    </row>
    <row r="20" s="93" customFormat="1" spans="1:5">
      <c r="A20" s="101"/>
      <c r="B20" s="101" t="s">
        <v>1527</v>
      </c>
      <c r="C20" s="101">
        <v>5</v>
      </c>
      <c r="D20" s="101" t="s">
        <v>1506</v>
      </c>
      <c r="E20" s="101" t="s">
        <v>1528</v>
      </c>
    </row>
    <row r="21" s="93" customFormat="1" spans="1:5">
      <c r="A21" s="101"/>
      <c r="B21" s="101" t="s">
        <v>1529</v>
      </c>
      <c r="C21" s="101">
        <v>15</v>
      </c>
      <c r="D21" s="101" t="s">
        <v>1530</v>
      </c>
      <c r="E21" s="101" t="s">
        <v>1531</v>
      </c>
    </row>
    <row r="22" s="93" customFormat="1" spans="1:5">
      <c r="A22" s="101"/>
      <c r="B22" s="101" t="s">
        <v>1532</v>
      </c>
      <c r="C22" s="101">
        <v>25</v>
      </c>
      <c r="D22" s="101" t="s">
        <v>1506</v>
      </c>
      <c r="E22" s="101" t="s">
        <v>1533</v>
      </c>
    </row>
    <row r="23" s="93" customFormat="1" spans="1:5">
      <c r="A23" s="101"/>
      <c r="B23" s="101"/>
      <c r="C23" s="101"/>
      <c r="D23" s="101"/>
      <c r="E23" s="101"/>
    </row>
    <row r="24" s="93" customFormat="1" ht="51" spans="1:8">
      <c r="A24" s="101" t="s">
        <v>1534</v>
      </c>
      <c r="B24" s="101" t="s">
        <v>1535</v>
      </c>
      <c r="C24" s="101">
        <v>30</v>
      </c>
      <c r="D24" s="101" t="s">
        <v>1506</v>
      </c>
      <c r="E24" s="102" t="s">
        <v>1536</v>
      </c>
      <c r="F24" s="103"/>
      <c r="G24" s="103"/>
      <c r="H24" s="103"/>
    </row>
    <row r="25" s="93" customFormat="1" ht="17" spans="1:5">
      <c r="A25" s="101"/>
      <c r="B25" s="101" t="s">
        <v>1537</v>
      </c>
      <c r="C25" s="101">
        <v>0</v>
      </c>
      <c r="D25" s="101" t="s">
        <v>1506</v>
      </c>
      <c r="E25" s="93" t="s">
        <v>1538</v>
      </c>
    </row>
    <row r="26" s="93" customFormat="1" spans="1:5">
      <c r="A26" s="101"/>
      <c r="B26" s="101" t="s">
        <v>1539</v>
      </c>
      <c r="C26" s="101">
        <v>5</v>
      </c>
      <c r="D26" s="101" t="s">
        <v>1506</v>
      </c>
      <c r="E26" s="101" t="s">
        <v>1540</v>
      </c>
    </row>
    <row r="27" s="93" customFormat="1" spans="1:5">
      <c r="A27" s="101"/>
      <c r="B27" s="101" t="s">
        <v>1541</v>
      </c>
      <c r="C27" s="101">
        <v>20</v>
      </c>
      <c r="D27" s="101" t="s">
        <v>1506</v>
      </c>
      <c r="E27" s="101" t="s">
        <v>1542</v>
      </c>
    </row>
    <row r="28" s="93" customFormat="1" spans="1:5">
      <c r="A28" s="101"/>
      <c r="B28" s="101" t="s">
        <v>1543</v>
      </c>
      <c r="C28" s="101">
        <v>10</v>
      </c>
      <c r="D28" s="101" t="s">
        <v>1544</v>
      </c>
      <c r="E28" s="101" t="s">
        <v>1545</v>
      </c>
    </row>
    <row r="29" s="93" customFormat="1" spans="1:5">
      <c r="A29" s="101"/>
      <c r="B29" s="101" t="s">
        <v>1546</v>
      </c>
      <c r="C29" s="101">
        <v>5</v>
      </c>
      <c r="D29" s="101" t="s">
        <v>1547</v>
      </c>
      <c r="E29" s="101" t="s">
        <v>1548</v>
      </c>
    </row>
    <row r="30" s="93" customFormat="1" spans="1:5">
      <c r="A30" s="101"/>
      <c r="B30" s="101"/>
      <c r="C30" s="101"/>
      <c r="D30" s="101"/>
      <c r="E30" s="101"/>
    </row>
    <row r="31" s="93" customFormat="1" spans="1:5">
      <c r="A31" s="101" t="s">
        <v>1549</v>
      </c>
      <c r="B31" s="101" t="s">
        <v>1550</v>
      </c>
      <c r="C31" s="101">
        <v>0</v>
      </c>
      <c r="D31" s="101" t="s">
        <v>1551</v>
      </c>
      <c r="E31" s="101" t="s">
        <v>1552</v>
      </c>
    </row>
    <row r="32" s="93" customFormat="1" spans="1:5">
      <c r="A32" s="101"/>
      <c r="B32" s="101" t="s">
        <v>1553</v>
      </c>
      <c r="C32" s="101">
        <v>0</v>
      </c>
      <c r="D32" s="101" t="s">
        <v>1506</v>
      </c>
      <c r="E32" s="101" t="s">
        <v>1554</v>
      </c>
    </row>
    <row r="33" s="93" customFormat="1" spans="1:5">
      <c r="A33" s="101"/>
      <c r="B33" s="101" t="s">
        <v>1555</v>
      </c>
      <c r="C33" s="101">
        <v>0</v>
      </c>
      <c r="D33" s="101" t="s">
        <v>1556</v>
      </c>
      <c r="E33" s="101" t="s">
        <v>1557</v>
      </c>
    </row>
    <row r="34" s="93" customFormat="1" spans="1:5">
      <c r="A34" s="101"/>
      <c r="B34" s="101" t="s">
        <v>1558</v>
      </c>
      <c r="C34" s="101">
        <v>15</v>
      </c>
      <c r="D34" s="101" t="s">
        <v>1559</v>
      </c>
      <c r="E34" s="101" t="s">
        <v>1560</v>
      </c>
    </row>
    <row r="35" s="93" customFormat="1" spans="1:5">
      <c r="A35" s="101"/>
      <c r="B35" s="101" t="s">
        <v>1561</v>
      </c>
      <c r="C35" s="101">
        <v>25</v>
      </c>
      <c r="D35" s="101" t="s">
        <v>1506</v>
      </c>
      <c r="E35" s="101" t="s">
        <v>1562</v>
      </c>
    </row>
    <row r="36" s="93" customFormat="1" spans="1:5">
      <c r="A36" s="101"/>
      <c r="B36" s="101" t="s">
        <v>1563</v>
      </c>
      <c r="C36" s="101">
        <v>10</v>
      </c>
      <c r="D36" s="101" t="s">
        <v>1506</v>
      </c>
      <c r="E36" s="101" t="s">
        <v>1564</v>
      </c>
    </row>
    <row r="37" s="93" customFormat="1" spans="1:5">
      <c r="A37" s="101"/>
      <c r="B37" s="101"/>
      <c r="C37" s="101"/>
      <c r="D37" s="101"/>
      <c r="E37" s="101"/>
    </row>
    <row r="38" s="93" customFormat="1" ht="17" spans="1:5">
      <c r="A38" s="101" t="s">
        <v>1565</v>
      </c>
      <c r="B38" s="101" t="s">
        <v>1566</v>
      </c>
      <c r="C38" s="101" t="s">
        <v>1567</v>
      </c>
      <c r="D38" s="101" t="s">
        <v>1506</v>
      </c>
      <c r="E38" s="102" t="s">
        <v>1568</v>
      </c>
    </row>
    <row r="39" s="93" customFormat="1" spans="1:5">
      <c r="A39" s="101"/>
      <c r="B39" s="101" t="s">
        <v>1569</v>
      </c>
      <c r="C39" s="101">
        <v>0</v>
      </c>
      <c r="D39" s="101" t="s">
        <v>1506</v>
      </c>
      <c r="E39" s="101" t="s">
        <v>1522</v>
      </c>
    </row>
    <row r="40" s="93" customFormat="1" ht="34" spans="1:5">
      <c r="A40" s="101"/>
      <c r="B40" s="101" t="s">
        <v>1570</v>
      </c>
      <c r="C40" s="101">
        <v>25</v>
      </c>
      <c r="D40" s="102" t="s">
        <v>1571</v>
      </c>
      <c r="E40" s="102" t="s">
        <v>1572</v>
      </c>
    </row>
    <row r="41" s="93" customFormat="1" spans="1:5">
      <c r="A41" s="101"/>
      <c r="B41" s="101" t="s">
        <v>1573</v>
      </c>
      <c r="C41" s="101">
        <v>0</v>
      </c>
      <c r="D41" s="101" t="s">
        <v>1574</v>
      </c>
      <c r="E41" s="101" t="s">
        <v>1575</v>
      </c>
    </row>
    <row r="42" s="93" customFormat="1" ht="17" spans="1:5">
      <c r="A42" s="101"/>
      <c r="B42" s="101" t="s">
        <v>1576</v>
      </c>
      <c r="C42" s="101">
        <v>20</v>
      </c>
      <c r="D42" s="102" t="s">
        <v>1577</v>
      </c>
      <c r="E42" s="101" t="s">
        <v>1578</v>
      </c>
    </row>
    <row r="43" s="93" customFormat="1" ht="17" spans="1:5">
      <c r="A43" s="101"/>
      <c r="B43" s="101" t="s">
        <v>1579</v>
      </c>
      <c r="C43" s="101"/>
      <c r="D43" s="101"/>
      <c r="E43" s="101" t="s">
        <v>1580</v>
      </c>
    </row>
    <row r="44" s="93" customFormat="1" spans="1:5">
      <c r="A44" s="101"/>
      <c r="B44" s="101"/>
      <c r="C44" s="101"/>
      <c r="D44" s="101"/>
      <c r="E44" s="101"/>
    </row>
    <row r="45" s="93" customFormat="1" spans="1:5">
      <c r="A45" s="101" t="s">
        <v>1581</v>
      </c>
      <c r="B45" s="101" t="s">
        <v>1582</v>
      </c>
      <c r="C45" s="101">
        <v>10</v>
      </c>
      <c r="D45" s="101" t="s">
        <v>1506</v>
      </c>
      <c r="E45" s="101" t="s">
        <v>1583</v>
      </c>
    </row>
    <row r="46" s="93" customFormat="1" spans="1:5">
      <c r="A46" s="101"/>
      <c r="B46" s="101" t="s">
        <v>1584</v>
      </c>
      <c r="C46" s="101">
        <v>0</v>
      </c>
      <c r="D46" s="101" t="s">
        <v>1506</v>
      </c>
      <c r="E46" s="101" t="s">
        <v>1585</v>
      </c>
    </row>
    <row r="47" s="93" customFormat="1" spans="1:5">
      <c r="A47" s="101"/>
      <c r="B47" s="101" t="s">
        <v>1586</v>
      </c>
      <c r="C47" s="101">
        <v>5</v>
      </c>
      <c r="D47" s="101" t="s">
        <v>1506</v>
      </c>
      <c r="E47" s="101" t="s">
        <v>1587</v>
      </c>
    </row>
    <row r="48" s="93" customFormat="1" spans="1:5">
      <c r="A48" s="101"/>
      <c r="B48" s="101" t="s">
        <v>1588</v>
      </c>
      <c r="C48" s="101">
        <v>5</v>
      </c>
      <c r="D48" s="101" t="s">
        <v>1506</v>
      </c>
      <c r="E48" s="101" t="s">
        <v>1589</v>
      </c>
    </row>
    <row r="49" s="93" customFormat="1" spans="1:5">
      <c r="A49" s="101"/>
      <c r="B49" s="101" t="s">
        <v>1590</v>
      </c>
      <c r="C49" s="101">
        <v>10</v>
      </c>
      <c r="D49" s="101" t="s">
        <v>1591</v>
      </c>
      <c r="E49" s="101" t="s">
        <v>1592</v>
      </c>
    </row>
    <row r="50" s="93" customFormat="1" ht="17" spans="1:5">
      <c r="A50" s="101"/>
      <c r="B50" s="101" t="s">
        <v>1593</v>
      </c>
      <c r="C50" s="101">
        <v>25</v>
      </c>
      <c r="D50" s="101" t="s">
        <v>1506</v>
      </c>
      <c r="E50" s="102" t="s">
        <v>1594</v>
      </c>
    </row>
    <row r="51" s="93" customFormat="1" spans="1:5">
      <c r="A51" s="101"/>
      <c r="B51" s="101"/>
      <c r="C51" s="101"/>
      <c r="D51" s="101"/>
      <c r="E51" s="101"/>
    </row>
    <row r="52" s="93" customFormat="1" spans="1:5">
      <c r="A52" s="101" t="s">
        <v>1595</v>
      </c>
      <c r="B52" s="101" t="s">
        <v>1596</v>
      </c>
      <c r="C52" s="101">
        <v>10</v>
      </c>
      <c r="D52" s="101" t="s">
        <v>1506</v>
      </c>
      <c r="E52" s="101" t="s">
        <v>1597</v>
      </c>
    </row>
    <row r="53" s="93" customFormat="1" spans="1:5">
      <c r="A53" s="101"/>
      <c r="B53" s="101" t="s">
        <v>1598</v>
      </c>
      <c r="C53" s="101">
        <v>0</v>
      </c>
      <c r="D53" s="101" t="s">
        <v>1506</v>
      </c>
      <c r="E53" s="101" t="s">
        <v>1599</v>
      </c>
    </row>
    <row r="54" s="93" customFormat="1" ht="17" spans="1:5">
      <c r="A54" s="101"/>
      <c r="B54" s="101" t="s">
        <v>1600</v>
      </c>
      <c r="C54" s="101">
        <v>15</v>
      </c>
      <c r="D54" s="101" t="s">
        <v>1601</v>
      </c>
      <c r="E54" s="101" t="s">
        <v>1602</v>
      </c>
    </row>
    <row r="55" s="93" customFormat="1" spans="1:5">
      <c r="A55" s="101"/>
      <c r="B55" s="101" t="s">
        <v>1603</v>
      </c>
      <c r="C55" s="101">
        <v>5</v>
      </c>
      <c r="D55" s="101" t="s">
        <v>1506</v>
      </c>
      <c r="E55" s="101" t="s">
        <v>1604</v>
      </c>
    </row>
    <row r="56" s="93" customFormat="1" spans="1:5">
      <c r="A56" s="101"/>
      <c r="B56" s="101" t="s">
        <v>1605</v>
      </c>
      <c r="C56" s="101">
        <v>15</v>
      </c>
      <c r="D56" s="101" t="s">
        <v>1606</v>
      </c>
      <c r="E56" s="101" t="s">
        <v>1607</v>
      </c>
    </row>
    <row r="57" s="93" customFormat="1" ht="17" spans="1:5">
      <c r="A57" s="101"/>
      <c r="B57" s="101" t="s">
        <v>1608</v>
      </c>
      <c r="C57" s="101">
        <v>20</v>
      </c>
      <c r="D57" s="101" t="s">
        <v>1609</v>
      </c>
      <c r="E57" s="101" t="s">
        <v>1610</v>
      </c>
    </row>
    <row r="58" s="93" customFormat="1" spans="1:5">
      <c r="A58" s="101"/>
      <c r="B58" s="101"/>
      <c r="C58" s="101"/>
      <c r="D58" s="101"/>
      <c r="E58" s="101"/>
    </row>
    <row r="59" s="93" customFormat="1" ht="17" spans="1:5">
      <c r="A59" s="101" t="s">
        <v>1611</v>
      </c>
      <c r="B59" s="101" t="s">
        <v>1612</v>
      </c>
      <c r="C59" s="101">
        <v>0</v>
      </c>
      <c r="D59" s="101" t="s">
        <v>1613</v>
      </c>
      <c r="E59" s="101" t="s">
        <v>1614</v>
      </c>
    </row>
    <row r="60" s="93" customFormat="1" spans="1:5">
      <c r="A60" s="101"/>
      <c r="B60" s="101" t="s">
        <v>1615</v>
      </c>
      <c r="C60" s="101">
        <v>5</v>
      </c>
      <c r="D60" s="101" t="s">
        <v>1506</v>
      </c>
      <c r="E60" s="101" t="s">
        <v>1616</v>
      </c>
    </row>
    <row r="61" s="93" customFormat="1" spans="1:5">
      <c r="A61" s="101"/>
      <c r="B61" s="101" t="s">
        <v>1617</v>
      </c>
      <c r="C61" s="101">
        <v>5</v>
      </c>
      <c r="D61" s="101" t="s">
        <v>1506</v>
      </c>
      <c r="E61" s="104" t="s">
        <v>1618</v>
      </c>
    </row>
    <row r="62" s="93" customFormat="1" spans="1:5">
      <c r="A62" s="101"/>
      <c r="B62" s="101" t="s">
        <v>1619</v>
      </c>
      <c r="C62" s="101">
        <v>20</v>
      </c>
      <c r="D62" s="101" t="s">
        <v>1506</v>
      </c>
      <c r="E62" s="101" t="s">
        <v>1620</v>
      </c>
    </row>
    <row r="63" s="93" customFormat="1" ht="34" spans="1:5">
      <c r="A63" s="101"/>
      <c r="B63" s="101" t="s">
        <v>1621</v>
      </c>
      <c r="C63" s="101">
        <v>20</v>
      </c>
      <c r="D63" s="101" t="s">
        <v>1622</v>
      </c>
      <c r="E63" s="102" t="s">
        <v>1623</v>
      </c>
    </row>
    <row r="64" s="93" customFormat="1" spans="1:5">
      <c r="A64" s="101"/>
      <c r="B64" s="101" t="s">
        <v>1624</v>
      </c>
      <c r="C64" s="101">
        <v>0</v>
      </c>
      <c r="D64" s="101" t="s">
        <v>1506</v>
      </c>
      <c r="E64" s="101" t="s">
        <v>1625</v>
      </c>
    </row>
    <row r="65" s="93" customFormat="1" spans="1:5">
      <c r="A65" s="101"/>
      <c r="B65" s="101"/>
      <c r="C65" s="101"/>
      <c r="D65" s="101"/>
      <c r="E65" s="101"/>
    </row>
    <row r="66" s="93" customFormat="1" spans="1:5">
      <c r="A66" s="101" t="s">
        <v>1626</v>
      </c>
      <c r="B66" s="101" t="s">
        <v>1627</v>
      </c>
      <c r="C66" s="101">
        <v>5</v>
      </c>
      <c r="D66" s="101" t="s">
        <v>1628</v>
      </c>
      <c r="E66" s="101" t="s">
        <v>1629</v>
      </c>
    </row>
    <row r="67" s="93" customFormat="1" spans="1:5">
      <c r="A67" s="101"/>
      <c r="B67" s="101" t="s">
        <v>1630</v>
      </c>
      <c r="C67" s="101">
        <v>5</v>
      </c>
      <c r="D67" s="101" t="s">
        <v>1506</v>
      </c>
      <c r="E67" s="101" t="s">
        <v>1631</v>
      </c>
    </row>
    <row r="68" s="93" customFormat="1" spans="1:5">
      <c r="A68" s="101"/>
      <c r="B68" s="101" t="s">
        <v>1632</v>
      </c>
      <c r="C68" s="101">
        <v>0</v>
      </c>
      <c r="D68" s="101" t="s">
        <v>1506</v>
      </c>
      <c r="E68" s="101" t="s">
        <v>1633</v>
      </c>
    </row>
    <row r="69" s="93" customFormat="1" spans="1:5">
      <c r="A69" s="101"/>
      <c r="B69" s="101" t="s">
        <v>1634</v>
      </c>
      <c r="C69" s="101">
        <v>10</v>
      </c>
      <c r="D69" s="101" t="s">
        <v>1635</v>
      </c>
      <c r="E69" s="101" t="s">
        <v>1636</v>
      </c>
    </row>
    <row r="70" s="93" customFormat="1" spans="1:5">
      <c r="A70" s="101"/>
      <c r="B70" s="101" t="s">
        <v>1637</v>
      </c>
      <c r="C70" s="101">
        <v>25</v>
      </c>
      <c r="D70" s="101" t="s">
        <v>1506</v>
      </c>
      <c r="E70" s="101" t="s">
        <v>1638</v>
      </c>
    </row>
    <row r="71" s="93" customFormat="1" ht="17" spans="1:5">
      <c r="A71" s="101"/>
      <c r="B71" s="101" t="s">
        <v>1639</v>
      </c>
      <c r="C71" s="101">
        <v>15</v>
      </c>
      <c r="D71" s="101" t="s">
        <v>1640</v>
      </c>
      <c r="E71" s="101" t="s">
        <v>1641</v>
      </c>
    </row>
    <row r="72" s="93" customFormat="1" spans="1:5">
      <c r="A72" s="101"/>
      <c r="B72" s="101"/>
      <c r="C72" s="101"/>
      <c r="D72" s="101"/>
      <c r="E72" s="101"/>
    </row>
    <row r="73" s="93" customFormat="1" spans="1:5">
      <c r="A73" s="101" t="s">
        <v>1642</v>
      </c>
      <c r="B73" s="101" t="s">
        <v>1643</v>
      </c>
      <c r="C73" s="101">
        <v>0</v>
      </c>
      <c r="D73" s="101" t="s">
        <v>1506</v>
      </c>
      <c r="E73" s="101" t="s">
        <v>1644</v>
      </c>
    </row>
    <row r="74" s="93" customFormat="1" ht="17" spans="1:5">
      <c r="A74" s="101"/>
      <c r="B74" s="101" t="s">
        <v>1645</v>
      </c>
      <c r="C74" s="101">
        <v>10</v>
      </c>
      <c r="D74" s="101" t="s">
        <v>1506</v>
      </c>
      <c r="E74" s="107" t="s">
        <v>1646</v>
      </c>
    </row>
    <row r="75" s="93" customFormat="1" spans="1:5">
      <c r="A75" s="101"/>
      <c r="B75" s="101" t="s">
        <v>1647</v>
      </c>
      <c r="C75" s="101">
        <v>15</v>
      </c>
      <c r="D75" s="101" t="s">
        <v>1648</v>
      </c>
      <c r="E75" s="101" t="s">
        <v>1649</v>
      </c>
    </row>
    <row r="76" s="93" customFormat="1" spans="1:5">
      <c r="A76" s="101"/>
      <c r="B76" s="101" t="s">
        <v>1650</v>
      </c>
      <c r="C76" s="101">
        <v>5</v>
      </c>
      <c r="D76" s="101" t="s">
        <v>1506</v>
      </c>
      <c r="E76" s="101" t="s">
        <v>1651</v>
      </c>
    </row>
    <row r="77" s="93" customFormat="1" spans="1:5">
      <c r="A77" s="101"/>
      <c r="B77" s="101" t="s">
        <v>1652</v>
      </c>
      <c r="C77" s="101">
        <v>15</v>
      </c>
      <c r="D77" s="101" t="s">
        <v>1653</v>
      </c>
      <c r="E77" s="101" t="s">
        <v>1654</v>
      </c>
    </row>
    <row r="78" s="93" customFormat="1" spans="1:5">
      <c r="A78" s="101"/>
      <c r="B78" s="101" t="s">
        <v>1655</v>
      </c>
      <c r="C78" s="101" t="s">
        <v>1656</v>
      </c>
      <c r="D78" s="101" t="s">
        <v>1506</v>
      </c>
      <c r="E78" s="101" t="s">
        <v>1657</v>
      </c>
    </row>
    <row r="79" s="93" customFormat="1" spans="1:5">
      <c r="A79" s="101"/>
      <c r="B79" s="101"/>
      <c r="C79" s="101"/>
      <c r="D79" s="101"/>
      <c r="E79" s="101"/>
    </row>
    <row r="80" s="93" customFormat="1" spans="1:5">
      <c r="A80" s="101" t="s">
        <v>1658</v>
      </c>
      <c r="B80" s="101" t="s">
        <v>1659</v>
      </c>
      <c r="C80" s="101">
        <v>5</v>
      </c>
      <c r="D80" s="101" t="s">
        <v>1660</v>
      </c>
      <c r="E80" s="101" t="s">
        <v>1661</v>
      </c>
    </row>
    <row r="81" s="93" customFormat="1" spans="1:5">
      <c r="A81" s="101"/>
      <c r="B81" s="101" t="s">
        <v>1662</v>
      </c>
      <c r="C81" s="101">
        <v>10</v>
      </c>
      <c r="D81" s="101" t="s">
        <v>1663</v>
      </c>
      <c r="E81" s="101" t="s">
        <v>1664</v>
      </c>
    </row>
    <row r="82" s="93" customFormat="1" spans="1:5">
      <c r="A82" s="101"/>
      <c r="B82" s="101" t="s">
        <v>1665</v>
      </c>
      <c r="C82" s="101">
        <v>0</v>
      </c>
      <c r="D82" s="101" t="s">
        <v>1506</v>
      </c>
      <c r="E82" s="101" t="s">
        <v>1666</v>
      </c>
    </row>
    <row r="83" s="93" customFormat="1" spans="1:5">
      <c r="A83" s="101"/>
      <c r="B83" s="101" t="s">
        <v>1667</v>
      </c>
      <c r="C83" s="101">
        <v>0</v>
      </c>
      <c r="D83" s="101" t="s">
        <v>1668</v>
      </c>
      <c r="E83" s="101" t="s">
        <v>1669</v>
      </c>
    </row>
    <row r="84" s="93" customFormat="1" spans="1:5">
      <c r="A84" s="101"/>
      <c r="B84" s="101" t="s">
        <v>1670</v>
      </c>
      <c r="C84" s="101">
        <v>20</v>
      </c>
      <c r="D84" s="101" t="s">
        <v>1506</v>
      </c>
      <c r="E84" s="101" t="s">
        <v>1671</v>
      </c>
    </row>
    <row r="85" s="93" customFormat="1" spans="1:5">
      <c r="A85" s="101"/>
      <c r="B85" s="101" t="s">
        <v>1672</v>
      </c>
      <c r="C85" s="101">
        <v>25</v>
      </c>
      <c r="D85" s="101" t="s">
        <v>1506</v>
      </c>
      <c r="E85" s="101" t="s">
        <v>1673</v>
      </c>
    </row>
    <row r="86" s="93" customFormat="1" spans="1:5">
      <c r="A86" s="101"/>
      <c r="B86" s="101"/>
      <c r="C86" s="101"/>
      <c r="D86" s="101"/>
      <c r="E86" s="101"/>
    </row>
    <row r="87" s="93" customFormat="1" spans="1:5">
      <c r="A87" s="101" t="s">
        <v>1674</v>
      </c>
      <c r="B87" s="101" t="s">
        <v>1675</v>
      </c>
      <c r="C87" s="101">
        <v>5</v>
      </c>
      <c r="D87" s="101" t="s">
        <v>1506</v>
      </c>
      <c r="E87" s="101" t="s">
        <v>1676</v>
      </c>
    </row>
    <row r="88" s="93" customFormat="1" spans="1:5">
      <c r="A88" s="101"/>
      <c r="B88" s="101" t="s">
        <v>1677</v>
      </c>
      <c r="C88" s="101">
        <v>5</v>
      </c>
      <c r="D88" s="101" t="s">
        <v>1678</v>
      </c>
      <c r="E88" s="101" t="s">
        <v>1540</v>
      </c>
    </row>
    <row r="89" s="93" customFormat="1" ht="17" spans="1:5">
      <c r="A89" s="101"/>
      <c r="B89" s="101" t="s">
        <v>1679</v>
      </c>
      <c r="C89" s="101">
        <v>10</v>
      </c>
      <c r="D89" s="101" t="s">
        <v>1506</v>
      </c>
      <c r="E89" s="101" t="s">
        <v>1680</v>
      </c>
    </row>
    <row r="90" s="93" customFormat="1" spans="1:5">
      <c r="A90" s="101"/>
      <c r="B90" s="101" t="s">
        <v>1681</v>
      </c>
      <c r="C90" s="101">
        <v>15</v>
      </c>
      <c r="D90" s="101" t="s">
        <v>1506</v>
      </c>
      <c r="E90" s="101" t="s">
        <v>1682</v>
      </c>
    </row>
    <row r="91" s="93" customFormat="1" spans="1:5">
      <c r="A91" s="101"/>
      <c r="B91" s="101" t="s">
        <v>1683</v>
      </c>
      <c r="C91" s="101">
        <v>15</v>
      </c>
      <c r="D91" s="101" t="s">
        <v>1506</v>
      </c>
      <c r="E91" s="101" t="s">
        <v>1684</v>
      </c>
    </row>
    <row r="92" s="93" customFormat="1" spans="1:5">
      <c r="A92" s="101"/>
      <c r="B92" s="101" t="s">
        <v>1685</v>
      </c>
      <c r="C92" s="101">
        <v>20</v>
      </c>
      <c r="D92" s="101" t="s">
        <v>1506</v>
      </c>
      <c r="E92" s="101" t="s">
        <v>1686</v>
      </c>
    </row>
    <row r="93" s="93" customFormat="1" spans="1:5">
      <c r="A93" s="101"/>
      <c r="B93" s="101"/>
      <c r="C93" s="101"/>
      <c r="D93" s="101"/>
      <c r="E93" s="101"/>
    </row>
    <row r="94" s="93" customFormat="1" spans="1:5">
      <c r="A94" s="101" t="s">
        <v>1687</v>
      </c>
      <c r="B94" s="101" t="s">
        <v>1688</v>
      </c>
      <c r="C94" s="101">
        <v>0</v>
      </c>
      <c r="D94" s="101" t="s">
        <v>1506</v>
      </c>
      <c r="E94" s="101" t="s">
        <v>1689</v>
      </c>
    </row>
    <row r="95" s="93" customFormat="1" spans="1:5">
      <c r="A95" s="101"/>
      <c r="B95" s="101" t="s">
        <v>1690</v>
      </c>
      <c r="C95" s="101">
        <v>10</v>
      </c>
      <c r="D95" s="101" t="s">
        <v>1506</v>
      </c>
      <c r="E95" s="101" t="s">
        <v>1691</v>
      </c>
    </row>
    <row r="96" s="93" customFormat="1" spans="1:5">
      <c r="A96" s="101"/>
      <c r="B96" s="101" t="s">
        <v>1692</v>
      </c>
      <c r="C96" s="101">
        <v>20</v>
      </c>
      <c r="D96" s="101" t="s">
        <v>1506</v>
      </c>
      <c r="E96" s="101" t="s">
        <v>1693</v>
      </c>
    </row>
    <row r="97" s="93" customFormat="1" spans="1:5">
      <c r="A97" s="101"/>
      <c r="B97" s="101" t="s">
        <v>1694</v>
      </c>
      <c r="C97" s="101">
        <v>15</v>
      </c>
      <c r="D97" s="101" t="s">
        <v>1695</v>
      </c>
      <c r="E97" s="101" t="s">
        <v>1696</v>
      </c>
    </row>
    <row r="98" s="93" customFormat="1" spans="1:5">
      <c r="A98" s="101"/>
      <c r="B98" s="101" t="s">
        <v>1697</v>
      </c>
      <c r="C98" s="101">
        <v>25</v>
      </c>
      <c r="D98" s="101" t="s">
        <v>1698</v>
      </c>
      <c r="E98" s="101" t="s">
        <v>1699</v>
      </c>
    </row>
    <row r="99" s="93" customFormat="1" spans="1:5">
      <c r="A99" s="101"/>
      <c r="B99" s="101" t="s">
        <v>1700</v>
      </c>
      <c r="C99" s="101">
        <v>0</v>
      </c>
      <c r="D99" s="101" t="s">
        <v>1701</v>
      </c>
      <c r="E99" s="101" t="s">
        <v>1702</v>
      </c>
    </row>
    <row r="100" s="93" customFormat="1" spans="1:5">
      <c r="A100" s="101"/>
      <c r="B100" s="101"/>
      <c r="C100" s="101"/>
      <c r="D100" s="101"/>
      <c r="E100" s="101"/>
    </row>
    <row r="101" s="93" customFormat="1" spans="1:5">
      <c r="A101" s="101" t="s">
        <v>1703</v>
      </c>
      <c r="B101" s="101" t="s">
        <v>1704</v>
      </c>
      <c r="C101" s="101">
        <v>5</v>
      </c>
      <c r="D101" s="101" t="s">
        <v>1705</v>
      </c>
      <c r="E101" s="101" t="s">
        <v>1706</v>
      </c>
    </row>
    <row r="102" s="93" customFormat="1" spans="1:5">
      <c r="A102" s="101"/>
      <c r="B102" s="101" t="s">
        <v>1707</v>
      </c>
      <c r="C102" s="101">
        <v>25</v>
      </c>
      <c r="D102" s="101" t="s">
        <v>1708</v>
      </c>
      <c r="E102" s="101" t="s">
        <v>1709</v>
      </c>
    </row>
    <row r="103" s="93" customFormat="1" spans="1:5">
      <c r="A103" s="101"/>
      <c r="B103" s="105" t="s">
        <v>1710</v>
      </c>
      <c r="C103" s="101">
        <v>15</v>
      </c>
      <c r="D103" s="101" t="s">
        <v>1711</v>
      </c>
      <c r="E103" s="105" t="s">
        <v>1712</v>
      </c>
    </row>
    <row r="104" s="93" customFormat="1" ht="17" spans="1:5">
      <c r="A104" s="101"/>
      <c r="B104" s="105" t="s">
        <v>1713</v>
      </c>
      <c r="C104" s="101">
        <v>15</v>
      </c>
      <c r="D104" s="101" t="s">
        <v>1506</v>
      </c>
      <c r="E104" s="105" t="s">
        <v>1714</v>
      </c>
    </row>
    <row r="105" s="93" customFormat="1" spans="1:5">
      <c r="A105" s="101"/>
      <c r="B105" s="105" t="s">
        <v>1715</v>
      </c>
      <c r="C105" s="101">
        <v>20</v>
      </c>
      <c r="D105" s="101" t="s">
        <v>1506</v>
      </c>
      <c r="E105" s="101" t="s">
        <v>1716</v>
      </c>
    </row>
    <row r="106" s="93" customFormat="1" spans="1:5">
      <c r="A106" s="101"/>
      <c r="B106" s="101" t="s">
        <v>1717</v>
      </c>
      <c r="C106" s="101">
        <v>0</v>
      </c>
      <c r="D106" s="101" t="s">
        <v>1506</v>
      </c>
      <c r="E106" s="101" t="s">
        <v>1718</v>
      </c>
    </row>
    <row r="107" s="93" customFormat="1" spans="1:5">
      <c r="A107" s="101"/>
      <c r="B107" s="101"/>
      <c r="C107" s="101"/>
      <c r="D107" s="101"/>
      <c r="E107" s="101"/>
    </row>
    <row r="108" s="93" customFormat="1" spans="1:5">
      <c r="A108" s="101" t="s">
        <v>1719</v>
      </c>
      <c r="B108" s="101" t="s">
        <v>1720</v>
      </c>
      <c r="C108" s="101">
        <v>0</v>
      </c>
      <c r="D108" s="101" t="s">
        <v>1506</v>
      </c>
      <c r="E108" s="101" t="s">
        <v>1721</v>
      </c>
    </row>
    <row r="109" s="93" customFormat="1" spans="1:5">
      <c r="A109" s="101"/>
      <c r="B109" s="101" t="s">
        <v>1722</v>
      </c>
      <c r="C109" s="101">
        <v>5</v>
      </c>
      <c r="D109" s="101" t="s">
        <v>1723</v>
      </c>
      <c r="E109" s="101" t="s">
        <v>1724</v>
      </c>
    </row>
    <row r="110" s="93" customFormat="1" spans="1:5">
      <c r="A110" s="101"/>
      <c r="B110" s="101" t="s">
        <v>1725</v>
      </c>
      <c r="C110" s="101">
        <v>20</v>
      </c>
      <c r="D110" s="101" t="s">
        <v>1726</v>
      </c>
      <c r="E110" s="101" t="s">
        <v>1727</v>
      </c>
    </row>
    <row r="111" s="93" customFormat="1" spans="1:5">
      <c r="A111" s="101"/>
      <c r="B111" s="105" t="s">
        <v>1728</v>
      </c>
      <c r="C111" s="101">
        <v>20</v>
      </c>
      <c r="D111" s="101" t="s">
        <v>1729</v>
      </c>
      <c r="E111" s="101" t="s">
        <v>1730</v>
      </c>
    </row>
    <row r="112" s="93" customFormat="1" ht="17" spans="1:5">
      <c r="A112" s="101"/>
      <c r="B112" s="101" t="s">
        <v>1731</v>
      </c>
      <c r="C112" s="101">
        <v>15</v>
      </c>
      <c r="D112" s="102" t="s">
        <v>1732</v>
      </c>
      <c r="E112" s="101" t="s">
        <v>1733</v>
      </c>
    </row>
    <row r="113" s="93" customFormat="1" spans="1:5">
      <c r="A113" s="101"/>
      <c r="B113" s="101" t="s">
        <v>1734</v>
      </c>
      <c r="C113" s="101">
        <v>5</v>
      </c>
      <c r="D113" s="101" t="s">
        <v>1735</v>
      </c>
      <c r="E113" s="105" t="s">
        <v>1736</v>
      </c>
    </row>
    <row r="114" s="93" customFormat="1" spans="1:5">
      <c r="A114" s="101"/>
      <c r="B114" s="101"/>
      <c r="C114" s="101"/>
      <c r="D114" s="101"/>
      <c r="E114" s="101"/>
    </row>
    <row r="115" s="93" customFormat="1" spans="1:5">
      <c r="A115" s="101" t="s">
        <v>1737</v>
      </c>
      <c r="B115" s="101" t="s">
        <v>1738</v>
      </c>
      <c r="C115" s="101">
        <v>0</v>
      </c>
      <c r="D115" s="101" t="s">
        <v>1739</v>
      </c>
      <c r="E115" s="101" t="s">
        <v>1669</v>
      </c>
    </row>
    <row r="116" s="93" customFormat="1" ht="17" spans="1:5">
      <c r="A116" s="101"/>
      <c r="B116" s="106" t="s">
        <v>1740</v>
      </c>
      <c r="C116" s="101">
        <v>20</v>
      </c>
      <c r="D116" s="101" t="s">
        <v>1506</v>
      </c>
      <c r="E116" s="101" t="s">
        <v>1741</v>
      </c>
    </row>
    <row r="117" s="93" customFormat="1" ht="17" spans="1:5">
      <c r="A117" s="101"/>
      <c r="B117" s="101" t="s">
        <v>1742</v>
      </c>
      <c r="C117" s="101">
        <v>20</v>
      </c>
      <c r="D117" s="102" t="s">
        <v>1743</v>
      </c>
      <c r="E117" s="101" t="s">
        <v>1744</v>
      </c>
    </row>
    <row r="118" s="93" customFormat="1" spans="1:5">
      <c r="A118" s="101"/>
      <c r="B118" s="101" t="s">
        <v>1745</v>
      </c>
      <c r="C118" s="101">
        <v>20</v>
      </c>
      <c r="D118" s="101" t="s">
        <v>1506</v>
      </c>
      <c r="E118" s="101" t="s">
        <v>1746</v>
      </c>
    </row>
    <row r="119" s="93" customFormat="1" spans="1:5">
      <c r="A119" s="101"/>
      <c r="B119" s="101" t="s">
        <v>1747</v>
      </c>
      <c r="C119" s="101">
        <v>10</v>
      </c>
      <c r="D119" s="101" t="s">
        <v>1506</v>
      </c>
      <c r="E119" s="101" t="s">
        <v>1748</v>
      </c>
    </row>
    <row r="120" s="93" customFormat="1" spans="1:5">
      <c r="A120" s="101"/>
      <c r="B120" s="101" t="s">
        <v>1749</v>
      </c>
      <c r="C120" s="101">
        <v>5</v>
      </c>
      <c r="D120" s="101" t="s">
        <v>1506</v>
      </c>
      <c r="E120" s="101" t="s">
        <v>1750</v>
      </c>
    </row>
    <row r="121" s="93" customFormat="1" spans="1:5">
      <c r="A121" s="101"/>
      <c r="B121" s="101"/>
      <c r="C121" s="101"/>
      <c r="D121" s="101"/>
      <c r="E121" s="101"/>
    </row>
    <row r="122" s="93" customFormat="1" ht="17" spans="1:5">
      <c r="A122" s="101" t="s">
        <v>1751</v>
      </c>
      <c r="B122" s="106" t="s">
        <v>1752</v>
      </c>
      <c r="C122" s="101">
        <v>0</v>
      </c>
      <c r="D122" s="101" t="s">
        <v>1506</v>
      </c>
      <c r="E122" s="101" t="s">
        <v>1753</v>
      </c>
    </row>
    <row r="123" s="93" customFormat="1" spans="1:5">
      <c r="A123" s="101"/>
      <c r="B123" s="101" t="s">
        <v>1754</v>
      </c>
      <c r="C123" s="101">
        <v>5</v>
      </c>
      <c r="D123" s="101" t="s">
        <v>1755</v>
      </c>
      <c r="E123" s="101" t="s">
        <v>1756</v>
      </c>
    </row>
    <row r="124" s="93" customFormat="1" ht="17" spans="1:5">
      <c r="A124" s="101"/>
      <c r="B124" s="101" t="s">
        <v>1757</v>
      </c>
      <c r="C124" s="101">
        <v>15</v>
      </c>
      <c r="D124" s="101" t="s">
        <v>1506</v>
      </c>
      <c r="E124" s="101" t="s">
        <v>1758</v>
      </c>
    </row>
    <row r="125" s="93" customFormat="1" spans="1:5">
      <c r="A125" s="101"/>
      <c r="B125" s="101" t="s">
        <v>1759</v>
      </c>
      <c r="C125" s="101">
        <v>15</v>
      </c>
      <c r="D125" s="101" t="s">
        <v>1760</v>
      </c>
      <c r="E125" s="101" t="s">
        <v>1761</v>
      </c>
    </row>
    <row r="126" s="93" customFormat="1" spans="1:5">
      <c r="A126" s="101"/>
      <c r="B126" s="101" t="s">
        <v>1762</v>
      </c>
      <c r="C126" s="101">
        <v>20</v>
      </c>
      <c r="D126" s="101" t="s">
        <v>1506</v>
      </c>
      <c r="E126" s="101" t="s">
        <v>1763</v>
      </c>
    </row>
    <row r="127" s="93" customFormat="1" ht="17" spans="1:5">
      <c r="A127" s="101"/>
      <c r="B127" s="106" t="s">
        <v>1764</v>
      </c>
      <c r="C127" s="101">
        <v>15</v>
      </c>
      <c r="D127" s="101" t="s">
        <v>1506</v>
      </c>
      <c r="E127" s="101" t="s">
        <v>1765</v>
      </c>
    </row>
    <row r="128" s="93" customFormat="1" spans="1:5">
      <c r="A128" s="101"/>
      <c r="B128" s="101"/>
      <c r="C128" s="101"/>
      <c r="D128" s="101"/>
      <c r="E128" s="101"/>
    </row>
    <row r="129" s="93" customFormat="1" ht="14.25" customHeight="1" spans="1:5">
      <c r="A129" s="101" t="s">
        <v>1766</v>
      </c>
      <c r="B129" s="101" t="s">
        <v>1767</v>
      </c>
      <c r="C129" s="101">
        <v>0</v>
      </c>
      <c r="D129" s="101" t="s">
        <v>1506</v>
      </c>
      <c r="E129" s="101" t="s">
        <v>1768</v>
      </c>
    </row>
    <row r="130" s="93" customFormat="1" ht="17" spans="1:5">
      <c r="A130" s="101"/>
      <c r="B130" s="101" t="s">
        <v>1769</v>
      </c>
      <c r="C130" s="101">
        <v>15</v>
      </c>
      <c r="D130" s="102" t="s">
        <v>1770</v>
      </c>
      <c r="E130" s="101" t="s">
        <v>1771</v>
      </c>
    </row>
    <row r="131" s="93" customFormat="1" spans="1:5">
      <c r="A131" s="101"/>
      <c r="B131" s="101" t="s">
        <v>1772</v>
      </c>
      <c r="C131" s="101">
        <v>5</v>
      </c>
      <c r="D131" s="101" t="s">
        <v>1506</v>
      </c>
      <c r="E131" s="101" t="s">
        <v>1773</v>
      </c>
    </row>
    <row r="132" s="93" customFormat="1" ht="17" spans="1:5">
      <c r="A132" s="101"/>
      <c r="B132" s="101" t="s">
        <v>1774</v>
      </c>
      <c r="C132" s="101">
        <v>15</v>
      </c>
      <c r="D132" s="101" t="s">
        <v>1775</v>
      </c>
      <c r="E132" s="101" t="s">
        <v>1776</v>
      </c>
    </row>
    <row r="133" s="93" customFormat="1" ht="17" spans="1:5">
      <c r="A133" s="101"/>
      <c r="B133" s="101" t="s">
        <v>1777</v>
      </c>
      <c r="C133" s="101">
        <v>20</v>
      </c>
      <c r="D133" s="101" t="s">
        <v>1778</v>
      </c>
      <c r="E133" s="101" t="s">
        <v>1779</v>
      </c>
    </row>
    <row r="134" s="93" customFormat="1" ht="17" spans="1:5">
      <c r="A134" s="101"/>
      <c r="B134" s="101" t="s">
        <v>1780</v>
      </c>
      <c r="C134" s="101">
        <v>20</v>
      </c>
      <c r="D134" s="102" t="s">
        <v>1781</v>
      </c>
      <c r="E134" s="101" t="s">
        <v>1782</v>
      </c>
    </row>
    <row r="135" s="93" customFormat="1" spans="1:5">
      <c r="A135" s="101"/>
      <c r="B135" s="101"/>
      <c r="C135" s="101"/>
      <c r="D135" s="101"/>
      <c r="E135" s="101"/>
    </row>
    <row r="136" s="93" customFormat="1" spans="1:5">
      <c r="A136" s="101" t="s">
        <v>1783</v>
      </c>
      <c r="B136" s="101" t="s">
        <v>1784</v>
      </c>
      <c r="C136" s="101">
        <v>0</v>
      </c>
      <c r="D136" s="101" t="s">
        <v>1506</v>
      </c>
      <c r="E136" s="101" t="s">
        <v>1785</v>
      </c>
    </row>
    <row r="137" s="93" customFormat="1" spans="1:5">
      <c r="A137" s="101"/>
      <c r="B137" s="101" t="s">
        <v>1786</v>
      </c>
      <c r="C137" s="101">
        <v>5</v>
      </c>
      <c r="D137" s="101" t="s">
        <v>1787</v>
      </c>
      <c r="E137" s="101" t="s">
        <v>1788</v>
      </c>
    </row>
    <row r="138" s="93" customFormat="1" spans="1:5">
      <c r="A138" s="101"/>
      <c r="B138" s="101" t="s">
        <v>1789</v>
      </c>
      <c r="C138" s="101">
        <v>5</v>
      </c>
      <c r="D138" s="101" t="s">
        <v>1506</v>
      </c>
      <c r="E138" s="101" t="s">
        <v>1790</v>
      </c>
    </row>
    <row r="139" s="93" customFormat="1" spans="1:5">
      <c r="A139" s="101"/>
      <c r="B139" s="101" t="s">
        <v>1791</v>
      </c>
      <c r="C139" s="101">
        <v>20</v>
      </c>
      <c r="D139" s="101" t="s">
        <v>1792</v>
      </c>
      <c r="E139" s="101" t="s">
        <v>1793</v>
      </c>
    </row>
    <row r="140" s="93" customFormat="1" ht="17" spans="1:5">
      <c r="A140" s="101"/>
      <c r="B140" s="101" t="s">
        <v>1794</v>
      </c>
      <c r="C140" s="101">
        <v>25</v>
      </c>
      <c r="D140" s="101" t="s">
        <v>1506</v>
      </c>
      <c r="E140" s="102" t="s">
        <v>1795</v>
      </c>
    </row>
    <row r="141" s="93" customFormat="1" spans="1:5">
      <c r="A141" s="101"/>
      <c r="B141" s="101" t="s">
        <v>1796</v>
      </c>
      <c r="C141" s="101">
        <v>5</v>
      </c>
      <c r="D141" s="101" t="s">
        <v>1506</v>
      </c>
      <c r="E141" s="101" t="s">
        <v>1797</v>
      </c>
    </row>
    <row r="142" s="93" customFormat="1" spans="1:5">
      <c r="A142" s="101"/>
      <c r="B142" s="101"/>
      <c r="C142" s="101"/>
      <c r="D142" s="101"/>
      <c r="E142" s="101"/>
    </row>
    <row r="143" s="93" customFormat="1" spans="1:5">
      <c r="A143" s="101" t="s">
        <v>1798</v>
      </c>
      <c r="B143" s="101" t="s">
        <v>1799</v>
      </c>
      <c r="C143" s="101">
        <v>10</v>
      </c>
      <c r="D143" s="101" t="s">
        <v>1800</v>
      </c>
      <c r="E143" s="101" t="s">
        <v>1801</v>
      </c>
    </row>
    <row r="144" s="93" customFormat="1" spans="1:5">
      <c r="A144" s="101"/>
      <c r="B144" s="101" t="s">
        <v>1802</v>
      </c>
      <c r="C144" s="101">
        <v>5</v>
      </c>
      <c r="D144" s="101" t="s">
        <v>1803</v>
      </c>
      <c r="E144" s="101" t="s">
        <v>1510</v>
      </c>
    </row>
    <row r="145" s="93" customFormat="1" ht="17" spans="1:5">
      <c r="A145" s="101"/>
      <c r="B145" s="101" t="s">
        <v>1804</v>
      </c>
      <c r="C145" s="101">
        <v>0</v>
      </c>
      <c r="D145" s="107" t="s">
        <v>1506</v>
      </c>
      <c r="E145" s="101" t="s">
        <v>1805</v>
      </c>
    </row>
    <row r="146" s="93" customFormat="1" spans="1:5">
      <c r="A146" s="101"/>
      <c r="B146" s="101" t="s">
        <v>1806</v>
      </c>
      <c r="C146" s="101">
        <v>20</v>
      </c>
      <c r="D146" s="101" t="s">
        <v>1807</v>
      </c>
      <c r="E146" s="101" t="s">
        <v>1808</v>
      </c>
    </row>
    <row r="147" s="93" customFormat="1" ht="17" spans="1:5">
      <c r="A147" s="101"/>
      <c r="B147" s="101" t="s">
        <v>1809</v>
      </c>
      <c r="C147" s="101">
        <v>20</v>
      </c>
      <c r="D147" s="101" t="s">
        <v>1506</v>
      </c>
      <c r="E147" s="93" t="s">
        <v>1810</v>
      </c>
    </row>
    <row r="148" s="93" customFormat="1" spans="1:5">
      <c r="A148" s="101"/>
      <c r="B148" s="101" t="s">
        <v>1811</v>
      </c>
      <c r="C148" s="101">
        <v>10</v>
      </c>
      <c r="D148" s="101" t="s">
        <v>1812</v>
      </c>
      <c r="E148" s="101" t="s">
        <v>1813</v>
      </c>
    </row>
    <row r="149" s="93" customFormat="1" spans="1:5">
      <c r="A149" s="101"/>
      <c r="B149" s="101"/>
      <c r="C149" s="101"/>
      <c r="D149" s="101"/>
      <c r="E149" s="101"/>
    </row>
    <row r="150" s="93" customFormat="1" ht="17" spans="1:5">
      <c r="A150" s="101" t="s">
        <v>1814</v>
      </c>
      <c r="B150" s="107" t="s">
        <v>1815</v>
      </c>
      <c r="C150" s="107">
        <v>5</v>
      </c>
      <c r="D150" s="107" t="s">
        <v>1506</v>
      </c>
      <c r="E150" s="107" t="s">
        <v>1816</v>
      </c>
    </row>
    <row r="151" s="93" customFormat="1" ht="17" spans="1:5">
      <c r="A151" s="101"/>
      <c r="B151" s="107" t="s">
        <v>1817</v>
      </c>
      <c r="C151" s="107">
        <v>10</v>
      </c>
      <c r="D151" s="107" t="s">
        <v>1506</v>
      </c>
      <c r="E151" s="107" t="s">
        <v>1818</v>
      </c>
    </row>
    <row r="152" s="93" customFormat="1" ht="17" spans="1:5">
      <c r="A152" s="101"/>
      <c r="B152" s="107" t="s">
        <v>1819</v>
      </c>
      <c r="C152" s="107">
        <v>0</v>
      </c>
      <c r="D152" s="107" t="s">
        <v>1506</v>
      </c>
      <c r="E152" s="107" t="s">
        <v>1820</v>
      </c>
    </row>
    <row r="153" s="93" customFormat="1" ht="17" spans="1:5">
      <c r="A153" s="101"/>
      <c r="B153" s="107" t="s">
        <v>1821</v>
      </c>
      <c r="C153" s="107">
        <v>25</v>
      </c>
      <c r="D153" s="107" t="s">
        <v>1822</v>
      </c>
      <c r="E153" s="107" t="s">
        <v>1823</v>
      </c>
    </row>
    <row r="154" s="93" customFormat="1" ht="17" spans="1:5">
      <c r="A154" s="101"/>
      <c r="B154" s="107" t="s">
        <v>1824</v>
      </c>
      <c r="C154" s="107">
        <v>5</v>
      </c>
      <c r="D154" s="107" t="s">
        <v>1506</v>
      </c>
      <c r="E154" s="107" t="s">
        <v>1825</v>
      </c>
    </row>
    <row r="155" s="93" customFormat="1" ht="17" spans="1:5">
      <c r="A155" s="101"/>
      <c r="B155" s="101" t="s">
        <v>1826</v>
      </c>
      <c r="C155" s="101">
        <v>25</v>
      </c>
      <c r="D155" s="107" t="s">
        <v>1827</v>
      </c>
      <c r="E155" s="101" t="s">
        <v>1828</v>
      </c>
    </row>
    <row r="156" s="93" customFormat="1" spans="1:5">
      <c r="A156" s="101"/>
      <c r="B156" s="101"/>
      <c r="C156" s="101"/>
      <c r="D156" s="101"/>
      <c r="E156" s="101"/>
    </row>
    <row r="157" s="93" customFormat="1" spans="1:5">
      <c r="A157" s="101" t="s">
        <v>1829</v>
      </c>
      <c r="B157" s="101" t="s">
        <v>1830</v>
      </c>
      <c r="C157" s="101">
        <v>0</v>
      </c>
      <c r="D157" s="101" t="s">
        <v>1506</v>
      </c>
      <c r="E157" s="101" t="s">
        <v>1831</v>
      </c>
    </row>
    <row r="158" s="93" customFormat="1" spans="1:5">
      <c r="A158" s="101"/>
      <c r="B158" s="101" t="s">
        <v>1832</v>
      </c>
      <c r="C158" s="101">
        <v>25</v>
      </c>
      <c r="D158" s="101" t="s">
        <v>1833</v>
      </c>
      <c r="E158" s="101" t="s">
        <v>1834</v>
      </c>
    </row>
    <row r="159" s="93" customFormat="1" spans="1:5">
      <c r="A159" s="101"/>
      <c r="B159" s="101" t="s">
        <v>1835</v>
      </c>
      <c r="C159" s="101">
        <v>20</v>
      </c>
      <c r="D159" s="101" t="s">
        <v>1836</v>
      </c>
      <c r="E159" s="101" t="s">
        <v>1837</v>
      </c>
    </row>
    <row r="160" s="93" customFormat="1" ht="17" spans="1:5">
      <c r="A160" s="101"/>
      <c r="B160" s="101" t="s">
        <v>1838</v>
      </c>
      <c r="C160" s="101">
        <v>25</v>
      </c>
      <c r="D160" s="107" t="s">
        <v>1506</v>
      </c>
      <c r="E160" s="105" t="s">
        <v>1839</v>
      </c>
    </row>
    <row r="161" s="93" customFormat="1" ht="17" spans="1:5">
      <c r="A161" s="101"/>
      <c r="B161" s="101" t="s">
        <v>1840</v>
      </c>
      <c r="C161" s="101">
        <v>0</v>
      </c>
      <c r="D161" s="107" t="s">
        <v>1506</v>
      </c>
      <c r="E161" s="101" t="s">
        <v>1841</v>
      </c>
    </row>
    <row r="162" s="93" customFormat="1" spans="1:5">
      <c r="A162" s="101"/>
      <c r="B162" s="101" t="s">
        <v>1842</v>
      </c>
      <c r="C162" s="101">
        <v>5</v>
      </c>
      <c r="D162" s="101" t="s">
        <v>1735</v>
      </c>
      <c r="E162" s="101" t="s">
        <v>1843</v>
      </c>
    </row>
    <row r="163" s="93" customFormat="1" spans="1:5">
      <c r="A163" s="101"/>
      <c r="B163" s="101"/>
      <c r="C163" s="101"/>
      <c r="D163" s="101"/>
      <c r="E163" s="101"/>
    </row>
    <row r="164" s="93" customFormat="1" spans="1:5">
      <c r="A164" s="101" t="s">
        <v>1844</v>
      </c>
      <c r="B164" s="101" t="s">
        <v>1845</v>
      </c>
      <c r="C164" s="101">
        <v>0</v>
      </c>
      <c r="D164" s="101" t="s">
        <v>1506</v>
      </c>
      <c r="E164" s="101" t="s">
        <v>1846</v>
      </c>
    </row>
    <row r="165" s="93" customFormat="1" spans="1:5">
      <c r="A165" s="101"/>
      <c r="B165" s="101" t="s">
        <v>1847</v>
      </c>
      <c r="C165" s="101">
        <v>5</v>
      </c>
      <c r="D165" s="101" t="s">
        <v>1848</v>
      </c>
      <c r="E165" s="101" t="s">
        <v>1849</v>
      </c>
    </row>
    <row r="166" s="93" customFormat="1" spans="1:5">
      <c r="A166" s="101"/>
      <c r="B166" s="101" t="s">
        <v>1850</v>
      </c>
      <c r="C166" s="101">
        <v>5</v>
      </c>
      <c r="D166" s="101" t="s">
        <v>1506</v>
      </c>
      <c r="E166" s="101" t="s">
        <v>1851</v>
      </c>
    </row>
    <row r="167" s="93" customFormat="1" spans="1:5">
      <c r="A167" s="101"/>
      <c r="B167" s="101" t="s">
        <v>1852</v>
      </c>
      <c r="C167" s="101">
        <v>0</v>
      </c>
      <c r="D167" s="101" t="s">
        <v>1853</v>
      </c>
      <c r="E167" s="101" t="s">
        <v>1854</v>
      </c>
    </row>
    <row r="168" s="93" customFormat="1" ht="17" spans="1:5">
      <c r="A168" s="101"/>
      <c r="B168" s="101" t="s">
        <v>1855</v>
      </c>
      <c r="C168" s="101">
        <v>25</v>
      </c>
      <c r="D168" s="108" t="s">
        <v>1506</v>
      </c>
      <c r="E168" s="101" t="s">
        <v>1856</v>
      </c>
    </row>
    <row r="169" s="93" customFormat="1" ht="17" spans="1:5">
      <c r="A169" s="101"/>
      <c r="B169" s="101" t="s">
        <v>1857</v>
      </c>
      <c r="C169" s="101">
        <v>10</v>
      </c>
      <c r="D169" s="107" t="s">
        <v>1506</v>
      </c>
      <c r="E169" s="101" t="s">
        <v>1858</v>
      </c>
    </row>
    <row r="170" s="93" customFormat="1" spans="1:5">
      <c r="A170" s="101"/>
      <c r="B170" s="101"/>
      <c r="C170" s="101"/>
      <c r="D170" s="101"/>
      <c r="E170" s="101"/>
    </row>
    <row r="171" s="93" customFormat="1" ht="17" spans="1:5">
      <c r="A171" s="102" t="s">
        <v>1859</v>
      </c>
      <c r="B171" s="107" t="s">
        <v>1860</v>
      </c>
      <c r="C171" s="109">
        <v>0</v>
      </c>
      <c r="D171" s="107" t="s">
        <v>1861</v>
      </c>
      <c r="E171" s="107" t="s">
        <v>1862</v>
      </c>
    </row>
    <row r="172" s="93" customFormat="1" ht="17" spans="1:5">
      <c r="A172" s="102"/>
      <c r="B172" s="107" t="s">
        <v>1863</v>
      </c>
      <c r="C172" s="109">
        <v>20</v>
      </c>
      <c r="D172" s="107" t="s">
        <v>1864</v>
      </c>
      <c r="E172" s="107" t="s">
        <v>1865</v>
      </c>
    </row>
    <row r="173" s="93" customFormat="1" ht="17" spans="1:5">
      <c r="A173" s="102"/>
      <c r="B173" s="107" t="s">
        <v>1866</v>
      </c>
      <c r="C173" s="109">
        <v>10</v>
      </c>
      <c r="D173" s="107" t="s">
        <v>1867</v>
      </c>
      <c r="E173" s="107" t="s">
        <v>1868</v>
      </c>
    </row>
    <row r="174" s="93" customFormat="1" ht="17" spans="1:5">
      <c r="A174" s="102"/>
      <c r="B174" s="107" t="s">
        <v>1147</v>
      </c>
      <c r="C174" s="109">
        <v>25</v>
      </c>
      <c r="D174" s="107" t="s">
        <v>1869</v>
      </c>
      <c r="E174" s="107" t="s">
        <v>1870</v>
      </c>
    </row>
    <row r="175" s="93" customFormat="1" ht="17" spans="1:5">
      <c r="A175" s="102"/>
      <c r="B175" s="107" t="s">
        <v>1871</v>
      </c>
      <c r="C175" s="109">
        <v>0</v>
      </c>
      <c r="D175" s="107" t="s">
        <v>1506</v>
      </c>
      <c r="E175" s="107" t="s">
        <v>1872</v>
      </c>
    </row>
    <row r="176" s="93" customFormat="1" ht="17" spans="1:5">
      <c r="A176" s="102"/>
      <c r="B176" s="107" t="s">
        <v>1873</v>
      </c>
      <c r="C176" s="109">
        <v>5</v>
      </c>
      <c r="D176" s="107" t="s">
        <v>1874</v>
      </c>
      <c r="E176" s="107" t="s">
        <v>1875</v>
      </c>
    </row>
    <row r="177" s="93" customFormat="1" spans="1:5">
      <c r="A177" s="101"/>
      <c r="B177" s="101"/>
      <c r="C177" s="101"/>
      <c r="D177" s="101"/>
      <c r="E177" s="101"/>
    </row>
    <row r="178" s="93" customFormat="1" ht="17" spans="1:5">
      <c r="A178" s="110" t="s">
        <v>1876</v>
      </c>
      <c r="B178" s="111" t="s">
        <v>1877</v>
      </c>
      <c r="C178" s="107">
        <v>20</v>
      </c>
      <c r="D178" s="110" t="s">
        <v>1878</v>
      </c>
      <c r="E178" s="113" t="s">
        <v>1879</v>
      </c>
    </row>
    <row r="179" s="93" customFormat="1" ht="17" spans="1:5">
      <c r="A179" s="110"/>
      <c r="B179" s="110" t="s">
        <v>1880</v>
      </c>
      <c r="C179" s="101">
        <v>15</v>
      </c>
      <c r="D179" s="110" t="s">
        <v>1881</v>
      </c>
      <c r="E179" s="112" t="s">
        <v>1882</v>
      </c>
    </row>
    <row r="180" s="93" customFormat="1" spans="1:5">
      <c r="A180" s="110"/>
      <c r="B180" s="110" t="s">
        <v>1883</v>
      </c>
      <c r="C180" s="101">
        <v>10</v>
      </c>
      <c r="D180" s="110" t="s">
        <v>1506</v>
      </c>
      <c r="E180" s="114" t="s">
        <v>1884</v>
      </c>
    </row>
    <row r="181" s="93" customFormat="1" ht="17" spans="1:5">
      <c r="A181" s="110"/>
      <c r="B181" s="110" t="s">
        <v>1885</v>
      </c>
      <c r="C181" s="110">
        <v>15</v>
      </c>
      <c r="D181" s="112" t="s">
        <v>1886</v>
      </c>
      <c r="E181" s="110" t="s">
        <v>1887</v>
      </c>
    </row>
    <row r="182" s="93" customFormat="1" spans="1:5">
      <c r="A182" s="110"/>
      <c r="B182" s="110" t="s">
        <v>1888</v>
      </c>
      <c r="C182" s="110">
        <v>0</v>
      </c>
      <c r="D182" s="110" t="s">
        <v>1506</v>
      </c>
      <c r="E182" s="110" t="s">
        <v>1554</v>
      </c>
    </row>
    <row r="183" s="93" customFormat="1" spans="1:5">
      <c r="A183" s="110"/>
      <c r="B183" s="110" t="s">
        <v>1889</v>
      </c>
      <c r="C183" s="101">
        <v>0</v>
      </c>
      <c r="D183" s="101" t="s">
        <v>1506</v>
      </c>
      <c r="E183" s="101" t="s">
        <v>1890</v>
      </c>
    </row>
    <row r="184" s="93" customFormat="1" spans="1:5">
      <c r="A184" s="101"/>
      <c r="B184" s="101"/>
      <c r="C184" s="101"/>
      <c r="D184" s="101"/>
      <c r="E184" s="104"/>
    </row>
    <row r="185" s="93" customFormat="1" spans="1:5">
      <c r="A185" s="101" t="s">
        <v>1891</v>
      </c>
      <c r="B185" s="101" t="s">
        <v>1892</v>
      </c>
      <c r="C185" s="101">
        <v>5</v>
      </c>
      <c r="D185" s="101" t="s">
        <v>1893</v>
      </c>
      <c r="E185" s="104" t="s">
        <v>1894</v>
      </c>
    </row>
    <row r="186" s="93" customFormat="1" spans="1:5">
      <c r="A186" s="101"/>
      <c r="B186" s="101" t="s">
        <v>1895</v>
      </c>
      <c r="C186" s="101">
        <v>10</v>
      </c>
      <c r="D186" s="101" t="s">
        <v>1896</v>
      </c>
      <c r="E186" s="101" t="s">
        <v>1897</v>
      </c>
    </row>
    <row r="187" s="93" customFormat="1" spans="1:5">
      <c r="A187" s="101"/>
      <c r="B187" s="101" t="s">
        <v>1898</v>
      </c>
      <c r="C187" s="101">
        <v>0</v>
      </c>
      <c r="D187" s="101" t="s">
        <v>1506</v>
      </c>
      <c r="E187" s="101" t="s">
        <v>1899</v>
      </c>
    </row>
    <row r="188" s="93" customFormat="1" spans="1:5">
      <c r="A188" s="101"/>
      <c r="B188" s="101" t="s">
        <v>1900</v>
      </c>
      <c r="C188" s="101">
        <v>10</v>
      </c>
      <c r="D188" s="101" t="s">
        <v>1896</v>
      </c>
      <c r="E188" s="101" t="s">
        <v>1901</v>
      </c>
    </row>
    <row r="189" s="93" customFormat="1" spans="1:5">
      <c r="A189" s="101"/>
      <c r="B189" s="101" t="s">
        <v>1902</v>
      </c>
      <c r="C189" s="101">
        <v>20</v>
      </c>
      <c r="D189" s="101" t="s">
        <v>1903</v>
      </c>
      <c r="E189" s="101" t="s">
        <v>1904</v>
      </c>
    </row>
    <row r="190" s="93" customFormat="1" spans="1:5">
      <c r="A190" s="101"/>
      <c r="B190" s="101" t="s">
        <v>1905</v>
      </c>
      <c r="C190" s="101">
        <v>25</v>
      </c>
      <c r="D190" s="101" t="s">
        <v>1506</v>
      </c>
      <c r="E190" s="101" t="s">
        <v>1906</v>
      </c>
    </row>
    <row r="191" s="93" customFormat="1" spans="1:5">
      <c r="A191" s="101"/>
      <c r="B191" s="101"/>
      <c r="C191" s="101"/>
      <c r="D191" s="101"/>
      <c r="E191" s="101"/>
    </row>
    <row r="192" s="93" customFormat="1" spans="1:5">
      <c r="A192" s="110" t="s">
        <v>1907</v>
      </c>
      <c r="B192" s="110" t="s">
        <v>1908</v>
      </c>
      <c r="C192" s="110">
        <v>0</v>
      </c>
      <c r="D192" s="110" t="s">
        <v>1506</v>
      </c>
      <c r="E192" s="110" t="s">
        <v>1909</v>
      </c>
    </row>
    <row r="193" s="93" customFormat="1" spans="1:5">
      <c r="A193" s="110"/>
      <c r="B193" s="110" t="s">
        <v>1910</v>
      </c>
      <c r="C193" s="110">
        <v>0</v>
      </c>
      <c r="D193" s="110" t="s">
        <v>1506</v>
      </c>
      <c r="E193" s="110" t="s">
        <v>1911</v>
      </c>
    </row>
    <row r="194" s="93" customFormat="1" ht="17" spans="1:5">
      <c r="A194" s="110"/>
      <c r="B194" s="111" t="s">
        <v>1912</v>
      </c>
      <c r="C194" s="101">
        <v>20</v>
      </c>
      <c r="D194" s="110" t="s">
        <v>1913</v>
      </c>
      <c r="E194" s="115" t="s">
        <v>1914</v>
      </c>
    </row>
    <row r="195" s="93" customFormat="1" ht="31" customHeight="1" spans="1:5">
      <c r="A195" s="110"/>
      <c r="B195" s="111" t="s">
        <v>1915</v>
      </c>
      <c r="C195" s="111" t="s">
        <v>1916</v>
      </c>
      <c r="D195" s="111" t="s">
        <v>1917</v>
      </c>
      <c r="E195" s="113" t="s">
        <v>1918</v>
      </c>
    </row>
    <row r="196" s="93" customFormat="1" spans="1:5">
      <c r="A196" s="110"/>
      <c r="B196" s="110" t="s">
        <v>1919</v>
      </c>
      <c r="C196" s="110">
        <v>0</v>
      </c>
      <c r="D196" s="110" t="s">
        <v>1920</v>
      </c>
      <c r="E196" s="110" t="s">
        <v>1921</v>
      </c>
    </row>
    <row r="197" s="93" customFormat="1" spans="1:5">
      <c r="A197" s="110"/>
      <c r="B197" s="110" t="s">
        <v>1922</v>
      </c>
      <c r="C197" s="110">
        <v>10</v>
      </c>
      <c r="D197" s="110" t="s">
        <v>1506</v>
      </c>
      <c r="E197" s="110" t="s">
        <v>1923</v>
      </c>
    </row>
    <row r="198" s="93" customFormat="1" spans="1:5">
      <c r="A198" s="101"/>
      <c r="B198" s="101"/>
      <c r="C198" s="101"/>
      <c r="D198" s="101"/>
      <c r="E198" s="102"/>
    </row>
    <row r="199" s="93" customFormat="1" ht="17" spans="1:5">
      <c r="A199" s="101" t="s">
        <v>1924</v>
      </c>
      <c r="B199" s="101" t="s">
        <v>1335</v>
      </c>
      <c r="C199" s="101">
        <v>10</v>
      </c>
      <c r="D199" s="101" t="s">
        <v>1506</v>
      </c>
      <c r="E199" s="102" t="s">
        <v>1925</v>
      </c>
    </row>
    <row r="200" s="93" customFormat="1" spans="1:5">
      <c r="A200" s="101"/>
      <c r="B200" s="101" t="s">
        <v>1926</v>
      </c>
      <c r="C200" s="101">
        <v>0</v>
      </c>
      <c r="D200" s="101" t="s">
        <v>1506</v>
      </c>
      <c r="E200" s="101" t="s">
        <v>1927</v>
      </c>
    </row>
    <row r="201" s="93" customFormat="1" spans="1:5">
      <c r="A201" s="101"/>
      <c r="B201" s="101" t="s">
        <v>1928</v>
      </c>
      <c r="C201" s="101">
        <v>10</v>
      </c>
      <c r="D201" s="101" t="s">
        <v>1929</v>
      </c>
      <c r="E201" s="101" t="s">
        <v>1930</v>
      </c>
    </row>
    <row r="202" s="93" customFormat="1" spans="1:5">
      <c r="A202" s="101"/>
      <c r="B202" s="101" t="s">
        <v>1931</v>
      </c>
      <c r="C202" s="101">
        <v>0</v>
      </c>
      <c r="D202" s="101" t="s">
        <v>1932</v>
      </c>
      <c r="E202" s="101" t="s">
        <v>1933</v>
      </c>
    </row>
    <row r="203" s="93" customFormat="1" spans="1:5">
      <c r="A203" s="101"/>
      <c r="B203" s="101" t="s">
        <v>1934</v>
      </c>
      <c r="C203" s="101">
        <v>15</v>
      </c>
      <c r="D203" s="101" t="s">
        <v>1506</v>
      </c>
      <c r="E203" s="101" t="s">
        <v>1935</v>
      </c>
    </row>
    <row r="204" s="93" customFormat="1" ht="17" spans="1:5">
      <c r="A204" s="101"/>
      <c r="B204" s="101" t="s">
        <v>1936</v>
      </c>
      <c r="C204" s="101">
        <v>15</v>
      </c>
      <c r="D204" s="101" t="s">
        <v>1937</v>
      </c>
      <c r="E204" s="101" t="s">
        <v>1938</v>
      </c>
    </row>
    <row r="205" s="93" customFormat="1" spans="1:5">
      <c r="A205" s="101"/>
      <c r="B205" s="101"/>
      <c r="C205" s="101"/>
      <c r="D205" s="101"/>
      <c r="E205" s="101"/>
    </row>
    <row r="206" s="93" customFormat="1" spans="1:5">
      <c r="A206" s="101" t="s">
        <v>1939</v>
      </c>
      <c r="B206" s="101" t="s">
        <v>1940</v>
      </c>
      <c r="C206" s="101">
        <v>0</v>
      </c>
      <c r="D206" s="101" t="s">
        <v>1506</v>
      </c>
      <c r="E206" s="101" t="s">
        <v>1941</v>
      </c>
    </row>
    <row r="207" s="93" customFormat="1" spans="1:5">
      <c r="A207" s="101"/>
      <c r="B207" s="101" t="s">
        <v>1942</v>
      </c>
      <c r="C207" s="101">
        <v>5</v>
      </c>
      <c r="D207" s="101" t="s">
        <v>1506</v>
      </c>
      <c r="E207" s="101" t="s">
        <v>1943</v>
      </c>
    </row>
    <row r="208" s="93" customFormat="1" spans="1:5">
      <c r="A208" s="101"/>
      <c r="B208" s="101" t="s">
        <v>1944</v>
      </c>
      <c r="C208" s="101">
        <v>15</v>
      </c>
      <c r="D208" s="101" t="s">
        <v>1945</v>
      </c>
      <c r="E208" s="101" t="s">
        <v>1946</v>
      </c>
    </row>
    <row r="209" s="93" customFormat="1" spans="1:5">
      <c r="A209" s="101"/>
      <c r="B209" s="101" t="s">
        <v>1947</v>
      </c>
      <c r="C209" s="101" t="s">
        <v>1948</v>
      </c>
      <c r="D209" s="101" t="s">
        <v>1506</v>
      </c>
      <c r="E209" s="101" t="s">
        <v>1949</v>
      </c>
    </row>
    <row r="210" s="93" customFormat="1" spans="1:5">
      <c r="A210" s="101"/>
      <c r="B210" s="101" t="s">
        <v>1950</v>
      </c>
      <c r="C210" s="101">
        <v>20</v>
      </c>
      <c r="D210" s="101" t="s">
        <v>1506</v>
      </c>
      <c r="E210" s="101" t="s">
        <v>1951</v>
      </c>
    </row>
    <row r="211" s="93" customFormat="1" ht="17" spans="1:5">
      <c r="A211" s="101"/>
      <c r="B211" s="101" t="s">
        <v>1952</v>
      </c>
      <c r="C211" s="101">
        <v>20</v>
      </c>
      <c r="D211" s="102" t="s">
        <v>1551</v>
      </c>
      <c r="E211" s="102" t="s">
        <v>1953</v>
      </c>
    </row>
    <row r="212" s="93" customFormat="1" spans="1:5">
      <c r="A212" s="101"/>
      <c r="B212" s="101"/>
      <c r="C212" s="101"/>
      <c r="D212" s="101"/>
      <c r="E212" s="101"/>
    </row>
    <row r="213" s="93" customFormat="1" ht="17" spans="1:5">
      <c r="A213" s="110" t="s">
        <v>1954</v>
      </c>
      <c r="B213" s="107" t="s">
        <v>1955</v>
      </c>
      <c r="C213" s="101">
        <v>25</v>
      </c>
      <c r="D213" s="101" t="s">
        <v>1506</v>
      </c>
      <c r="E213" s="102" t="s">
        <v>1956</v>
      </c>
    </row>
    <row r="214" s="93" customFormat="1" ht="17" spans="1:5">
      <c r="A214" s="110"/>
      <c r="B214" s="111" t="s">
        <v>1957</v>
      </c>
      <c r="C214" s="111">
        <v>25</v>
      </c>
      <c r="D214" s="111" t="s">
        <v>1506</v>
      </c>
      <c r="E214" s="113" t="s">
        <v>1958</v>
      </c>
    </row>
    <row r="215" s="93" customFormat="1" ht="17" spans="1:5">
      <c r="A215" s="110"/>
      <c r="B215" s="111" t="s">
        <v>1959</v>
      </c>
      <c r="C215" s="111">
        <v>5</v>
      </c>
      <c r="D215" s="111" t="s">
        <v>1960</v>
      </c>
      <c r="E215" s="113" t="s">
        <v>1961</v>
      </c>
    </row>
    <row r="216" s="93" customFormat="1" ht="17" spans="1:5">
      <c r="A216" s="110"/>
      <c r="B216" s="111" t="s">
        <v>1962</v>
      </c>
      <c r="C216" s="110">
        <v>0</v>
      </c>
      <c r="D216" s="111" t="s">
        <v>1506</v>
      </c>
      <c r="E216" s="110" t="s">
        <v>1963</v>
      </c>
    </row>
    <row r="217" s="93" customFormat="1" ht="17" spans="1:5">
      <c r="A217" s="110"/>
      <c r="B217" s="111" t="s">
        <v>1964</v>
      </c>
      <c r="C217" s="111">
        <v>5</v>
      </c>
      <c r="D217" s="111" t="s">
        <v>1506</v>
      </c>
      <c r="E217" s="107" t="s">
        <v>1965</v>
      </c>
    </row>
    <row r="218" s="93" customFormat="1" ht="17" spans="1:5">
      <c r="A218" s="110"/>
      <c r="B218" s="111" t="s">
        <v>1966</v>
      </c>
      <c r="C218" s="111">
        <v>15</v>
      </c>
      <c r="D218" s="111" t="s">
        <v>1506</v>
      </c>
      <c r="E218" s="111" t="s">
        <v>1967</v>
      </c>
    </row>
    <row r="219" s="93" customFormat="1" spans="1:5">
      <c r="A219" s="110"/>
      <c r="B219" s="110"/>
      <c r="C219" s="110"/>
      <c r="D219" s="110"/>
      <c r="E219" s="110"/>
    </row>
    <row r="220" s="93" customFormat="1" ht="17" spans="1:5">
      <c r="A220" s="101" t="s">
        <v>1968</v>
      </c>
      <c r="B220" s="111" t="s">
        <v>1969</v>
      </c>
      <c r="C220" s="101">
        <v>15</v>
      </c>
      <c r="D220" s="102" t="s">
        <v>1770</v>
      </c>
      <c r="E220" s="101" t="s">
        <v>1970</v>
      </c>
    </row>
    <row r="221" s="93" customFormat="1" ht="17" spans="1:5">
      <c r="A221" s="101"/>
      <c r="B221" s="111" t="s">
        <v>1971</v>
      </c>
      <c r="C221" s="111">
        <v>25</v>
      </c>
      <c r="D221" s="111" t="s">
        <v>1506</v>
      </c>
      <c r="E221" s="101" t="s">
        <v>1972</v>
      </c>
    </row>
    <row r="222" s="93" customFormat="1" ht="17" spans="1:5">
      <c r="A222" s="101"/>
      <c r="B222" s="111" t="s">
        <v>1973</v>
      </c>
      <c r="C222" s="111">
        <v>15</v>
      </c>
      <c r="D222" s="111" t="s">
        <v>1506</v>
      </c>
      <c r="E222" s="111" t="s">
        <v>1974</v>
      </c>
    </row>
    <row r="223" s="93" customFormat="1" ht="17" spans="1:5">
      <c r="A223" s="101"/>
      <c r="B223" s="111" t="s">
        <v>1975</v>
      </c>
      <c r="C223" s="111">
        <v>0</v>
      </c>
      <c r="D223" s="111" t="s">
        <v>1976</v>
      </c>
      <c r="E223" s="111" t="s">
        <v>1977</v>
      </c>
    </row>
    <row r="224" s="93" customFormat="1" ht="17" spans="1:5">
      <c r="A224" s="101"/>
      <c r="B224" s="111" t="s">
        <v>1978</v>
      </c>
      <c r="C224" s="111">
        <v>15</v>
      </c>
      <c r="D224" s="111" t="s">
        <v>1506</v>
      </c>
      <c r="E224" s="113" t="s">
        <v>1979</v>
      </c>
    </row>
    <row r="225" s="93" customFormat="1" ht="17" spans="1:5">
      <c r="A225" s="101"/>
      <c r="B225" s="111" t="s">
        <v>1980</v>
      </c>
      <c r="C225" s="101">
        <v>10</v>
      </c>
      <c r="D225" s="101" t="s">
        <v>1981</v>
      </c>
      <c r="E225" s="101" t="s">
        <v>1982</v>
      </c>
    </row>
    <row r="226" s="93" customFormat="1" spans="1:5">
      <c r="A226" s="101"/>
      <c r="B226" s="101"/>
      <c r="C226" s="101"/>
      <c r="D226" s="101"/>
      <c r="E226" s="101"/>
    </row>
    <row r="227" s="93" customFormat="1" spans="1:5">
      <c r="A227" s="101" t="s">
        <v>1983</v>
      </c>
      <c r="B227" s="101" t="s">
        <v>1984</v>
      </c>
      <c r="C227" s="101">
        <v>0</v>
      </c>
      <c r="D227" s="101" t="s">
        <v>1613</v>
      </c>
      <c r="E227" s="101" t="s">
        <v>1985</v>
      </c>
    </row>
    <row r="228" s="93" customFormat="1" ht="17" spans="1:5">
      <c r="A228" s="101"/>
      <c r="B228" s="101" t="s">
        <v>1986</v>
      </c>
      <c r="C228" s="101">
        <v>15</v>
      </c>
      <c r="D228" s="101" t="s">
        <v>1506</v>
      </c>
      <c r="E228" s="102" t="s">
        <v>1987</v>
      </c>
    </row>
    <row r="229" s="93" customFormat="1" spans="1:5">
      <c r="A229" s="101"/>
      <c r="B229" s="101" t="s">
        <v>1988</v>
      </c>
      <c r="C229" s="101">
        <v>0</v>
      </c>
      <c r="D229" s="101" t="s">
        <v>1853</v>
      </c>
      <c r="E229" s="101" t="s">
        <v>1989</v>
      </c>
    </row>
    <row r="230" s="93" customFormat="1" ht="17" spans="1:5">
      <c r="A230" s="101"/>
      <c r="B230" s="101" t="s">
        <v>1990</v>
      </c>
      <c r="C230" s="107">
        <v>20</v>
      </c>
      <c r="D230" s="101" t="s">
        <v>1991</v>
      </c>
      <c r="E230" s="101" t="s">
        <v>1992</v>
      </c>
    </row>
    <row r="231" s="93" customFormat="1" spans="1:5">
      <c r="A231" s="101"/>
      <c r="B231" s="101" t="s">
        <v>1993</v>
      </c>
      <c r="C231" s="101">
        <v>25</v>
      </c>
      <c r="D231" s="101" t="s">
        <v>1506</v>
      </c>
      <c r="E231" s="101" t="s">
        <v>1994</v>
      </c>
    </row>
    <row r="232" s="93" customFormat="1" ht="34" spans="1:5">
      <c r="A232" s="101"/>
      <c r="B232" s="101" t="s">
        <v>1995</v>
      </c>
      <c r="C232" s="101" t="s">
        <v>1996</v>
      </c>
      <c r="D232" s="101" t="s">
        <v>1506</v>
      </c>
      <c r="E232" s="102" t="s">
        <v>1997</v>
      </c>
    </row>
    <row r="233" s="93" customFormat="1"/>
    <row r="234" s="93" customFormat="1" spans="1:5">
      <c r="A234" s="94"/>
      <c r="B234" s="94"/>
      <c r="C234" s="94"/>
      <c r="D234" s="94"/>
      <c r="E234" s="94"/>
    </row>
    <row r="235" s="93" customFormat="1" spans="1:5">
      <c r="A235" s="94"/>
      <c r="B235" s="94"/>
      <c r="C235" s="94"/>
      <c r="D235" s="94"/>
      <c r="E235" s="94"/>
    </row>
    <row r="236" s="93" customFormat="1" spans="1:5">
      <c r="A236" s="94"/>
      <c r="B236" s="94"/>
      <c r="C236" s="94"/>
      <c r="D236" s="94"/>
      <c r="E236" s="94"/>
    </row>
    <row r="237" s="93" customFormat="1" spans="1:5">
      <c r="A237" s="94"/>
      <c r="B237" s="94"/>
      <c r="C237" s="94"/>
      <c r="D237" s="94"/>
      <c r="E237" s="94"/>
    </row>
    <row r="238" s="93" customFormat="1" spans="1:6">
      <c r="A238" s="94"/>
      <c r="B238" s="94"/>
      <c r="C238" s="94"/>
      <c r="D238" s="94"/>
      <c r="E238" s="94"/>
      <c r="F238" s="101"/>
    </row>
    <row r="239" s="93" customFormat="1" spans="1:5">
      <c r="A239" s="94"/>
      <c r="B239" s="94"/>
      <c r="C239" s="94"/>
      <c r="D239" s="94"/>
      <c r="E239" s="94"/>
    </row>
    <row r="240" s="93" customFormat="1" spans="1:5">
      <c r="A240" s="94"/>
      <c r="B240" s="94"/>
      <c r="C240" s="94"/>
      <c r="D240" s="94"/>
      <c r="E240" s="94"/>
    </row>
    <row r="241" s="93" customFormat="1" spans="1:5">
      <c r="A241" s="94"/>
      <c r="B241" s="94"/>
      <c r="C241" s="94"/>
      <c r="D241" s="94"/>
      <c r="E241" s="94"/>
    </row>
    <row r="242" s="93" customFormat="1" spans="1:5">
      <c r="A242" s="94"/>
      <c r="B242" s="94"/>
      <c r="C242" s="94"/>
      <c r="D242" s="94"/>
      <c r="E242" s="94"/>
    </row>
    <row r="243" s="93" customFormat="1" spans="1:5">
      <c r="A243" s="94"/>
      <c r="B243" s="94"/>
      <c r="C243" s="94"/>
      <c r="D243" s="94"/>
      <c r="E243" s="94"/>
    </row>
    <row r="244" s="93" customFormat="1" spans="1:5">
      <c r="A244" s="94"/>
      <c r="B244" s="94"/>
      <c r="C244" s="94"/>
      <c r="D244" s="94"/>
      <c r="E244" s="94"/>
    </row>
    <row r="245" s="93" customFormat="1" spans="1:5">
      <c r="A245" s="94"/>
      <c r="B245" s="94"/>
      <c r="C245" s="94"/>
      <c r="D245" s="94"/>
      <c r="E245" s="94"/>
    </row>
    <row r="246" s="93" customFormat="1" spans="1:5">
      <c r="A246" s="94"/>
      <c r="B246" s="94"/>
      <c r="C246" s="94"/>
      <c r="D246" s="94"/>
      <c r="E246" s="94"/>
    </row>
    <row r="247" s="93" customFormat="1" spans="1:5">
      <c r="A247" s="94"/>
      <c r="B247" s="94"/>
      <c r="C247" s="94"/>
      <c r="D247" s="94"/>
      <c r="E247" s="94"/>
    </row>
    <row r="248" s="93" customFormat="1" spans="1:5">
      <c r="A248" s="94"/>
      <c r="B248" s="94"/>
      <c r="C248" s="94"/>
      <c r="D248" s="94"/>
      <c r="E248" s="94"/>
    </row>
    <row r="249" s="93" customFormat="1" spans="1:5">
      <c r="A249" s="94"/>
      <c r="B249" s="94"/>
      <c r="C249" s="94"/>
      <c r="D249" s="94"/>
      <c r="E249" s="94"/>
    </row>
    <row r="250" s="93" customFormat="1" spans="1:5">
      <c r="A250" s="94"/>
      <c r="B250" s="94"/>
      <c r="C250" s="94"/>
      <c r="D250" s="94"/>
      <c r="E250" s="94"/>
    </row>
    <row r="251" s="93" customFormat="1" spans="1:5">
      <c r="A251" s="94"/>
      <c r="B251" s="94"/>
      <c r="C251" s="94"/>
      <c r="D251" s="94"/>
      <c r="E251" s="94"/>
    </row>
    <row r="252" s="93" customFormat="1" spans="1:5">
      <c r="A252" s="94"/>
      <c r="B252" s="94"/>
      <c r="C252" s="94"/>
      <c r="D252" s="94"/>
      <c r="E252" s="94"/>
    </row>
    <row r="253" s="93" customFormat="1" spans="1:5">
      <c r="A253" s="94"/>
      <c r="B253" s="94"/>
      <c r="C253" s="94"/>
      <c r="D253" s="94"/>
      <c r="E253" s="94"/>
    </row>
    <row r="254" s="93" customFormat="1" spans="1:5">
      <c r="A254" s="94"/>
      <c r="B254" s="94"/>
      <c r="C254" s="94"/>
      <c r="D254" s="94"/>
      <c r="E254" s="94"/>
    </row>
    <row r="255" s="93" customFormat="1" spans="1:5">
      <c r="A255" s="94"/>
      <c r="B255" s="94"/>
      <c r="C255" s="94"/>
      <c r="D255" s="94"/>
      <c r="E255" s="94"/>
    </row>
    <row r="256" s="93" customFormat="1" spans="1:5">
      <c r="A256" s="94"/>
      <c r="B256" s="94"/>
      <c r="C256" s="94"/>
      <c r="D256" s="94"/>
      <c r="E256" s="94"/>
    </row>
    <row r="257" s="93" customFormat="1" spans="1:5">
      <c r="A257" s="94"/>
      <c r="B257" s="94"/>
      <c r="C257" s="94"/>
      <c r="D257" s="94"/>
      <c r="E257" s="94"/>
    </row>
    <row r="258" s="93" customFormat="1" spans="1:5">
      <c r="A258" s="94"/>
      <c r="B258" s="94"/>
      <c r="C258" s="94"/>
      <c r="D258" s="94"/>
      <c r="E258" s="94"/>
    </row>
    <row r="259" s="93" customFormat="1" spans="1:5">
      <c r="A259" s="94"/>
      <c r="B259" s="94"/>
      <c r="C259" s="94"/>
      <c r="D259" s="94"/>
      <c r="E259" s="94"/>
    </row>
    <row r="260" s="93" customFormat="1" spans="1:5">
      <c r="A260" s="94"/>
      <c r="B260" s="94"/>
      <c r="C260" s="94"/>
      <c r="D260" s="94"/>
      <c r="E260" s="94"/>
    </row>
    <row r="261" s="93" customFormat="1" spans="1:5">
      <c r="A261" s="94"/>
      <c r="B261" s="94"/>
      <c r="C261" s="94"/>
      <c r="D261" s="94"/>
      <c r="E261" s="94"/>
    </row>
  </sheetData>
  <mergeCells count="43">
    <mergeCell ref="B1:E1"/>
    <mergeCell ref="B2:E2"/>
    <mergeCell ref="B3:E3"/>
    <mergeCell ref="B4:E4"/>
    <mergeCell ref="B5:E5"/>
    <mergeCell ref="B6:E6"/>
    <mergeCell ref="B7:E7"/>
    <mergeCell ref="B8:E8"/>
    <mergeCell ref="A1:A8"/>
    <mergeCell ref="A10:A15"/>
    <mergeCell ref="A17:A22"/>
    <mergeCell ref="A24:A29"/>
    <mergeCell ref="A31:A36"/>
    <mergeCell ref="A38:A43"/>
    <mergeCell ref="A45:A50"/>
    <mergeCell ref="A52:A57"/>
    <mergeCell ref="A59:A64"/>
    <mergeCell ref="A66:A71"/>
    <mergeCell ref="A73:A78"/>
    <mergeCell ref="A80:A85"/>
    <mergeCell ref="A87:A92"/>
    <mergeCell ref="A94:A99"/>
    <mergeCell ref="A101:A106"/>
    <mergeCell ref="A108:A113"/>
    <mergeCell ref="A115:A120"/>
    <mergeCell ref="A122:A127"/>
    <mergeCell ref="A129:A134"/>
    <mergeCell ref="A136:A141"/>
    <mergeCell ref="A143:A148"/>
    <mergeCell ref="A150:A155"/>
    <mergeCell ref="A157:A162"/>
    <mergeCell ref="A164:A169"/>
    <mergeCell ref="A171:A176"/>
    <mergeCell ref="A178:A183"/>
    <mergeCell ref="A185:A190"/>
    <mergeCell ref="A192:A197"/>
    <mergeCell ref="A199:A204"/>
    <mergeCell ref="A206:A211"/>
    <mergeCell ref="A213:A218"/>
    <mergeCell ref="A220:A225"/>
    <mergeCell ref="A227:A232"/>
    <mergeCell ref="C42:C43"/>
    <mergeCell ref="D42:D43"/>
  </mergeCells>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P43"/>
  <sheetViews>
    <sheetView showGridLines="0" zoomScale="110" zoomScaleNormal="110" workbookViewId="0">
      <selection activeCell="R23" sqref="R23"/>
    </sheetView>
  </sheetViews>
  <sheetFormatPr defaultColWidth="9" defaultRowHeight="13" customHeight="1"/>
  <cols>
    <col min="1" max="2" width="7.16071428571429" style="1" customWidth="1"/>
    <col min="3" max="8" width="9" style="1" customWidth="1"/>
    <col min="9" max="9" width="10.8303571428571" style="1" customWidth="1"/>
    <col min="10" max="15" width="9" style="1" customWidth="1"/>
    <col min="16" max="16" width="16.6607142857143" style="1" customWidth="1"/>
    <col min="17" max="17" width="9" style="1" customWidth="1"/>
    <col min="18" max="16384" width="9" style="1"/>
  </cols>
  <sheetData>
    <row r="1" ht="17" customHeight="1" spans="1:16">
      <c r="A1" s="63" t="s">
        <v>91</v>
      </c>
      <c r="B1" s="63" t="s">
        <v>1492</v>
      </c>
      <c r="C1" s="63" t="s">
        <v>1998</v>
      </c>
      <c r="D1" s="63" t="s">
        <v>1999</v>
      </c>
      <c r="E1" s="63" t="s">
        <v>2000</v>
      </c>
      <c r="F1" s="63" t="s">
        <v>32</v>
      </c>
      <c r="G1" s="63" t="s">
        <v>2001</v>
      </c>
      <c r="H1" s="41"/>
      <c r="I1" s="69"/>
      <c r="J1" s="70" t="s">
        <v>91</v>
      </c>
      <c r="K1" s="70" t="s">
        <v>2002</v>
      </c>
      <c r="L1" s="70" t="s">
        <v>38</v>
      </c>
      <c r="M1" s="70" t="s">
        <v>2003</v>
      </c>
      <c r="N1" s="70" t="s">
        <v>38</v>
      </c>
      <c r="O1" s="80"/>
      <c r="P1" s="80"/>
    </row>
    <row r="2" ht="17" customHeight="1" spans="1:16">
      <c r="A2" s="64">
        <v>0</v>
      </c>
      <c r="B2" s="63" t="s">
        <v>2004</v>
      </c>
      <c r="C2" s="64">
        <v>200000</v>
      </c>
      <c r="D2" s="64">
        <v>300</v>
      </c>
      <c r="E2" s="64">
        <v>4500</v>
      </c>
      <c r="F2" s="64">
        <v>7000</v>
      </c>
      <c r="G2" s="67">
        <v>16</v>
      </c>
      <c r="H2" s="41"/>
      <c r="I2" s="71" t="s">
        <v>2005</v>
      </c>
      <c r="J2" s="72">
        <v>1</v>
      </c>
      <c r="K2" s="73" t="s">
        <v>2006</v>
      </c>
      <c r="L2" s="73" t="s">
        <v>101</v>
      </c>
      <c r="M2" s="73" t="s">
        <v>2007</v>
      </c>
      <c r="N2" s="81" t="s">
        <v>101</v>
      </c>
      <c r="O2" s="82" t="s">
        <v>2008</v>
      </c>
      <c r="P2" s="83"/>
    </row>
    <row r="3" ht="17" customHeight="1" spans="1:16">
      <c r="A3" s="64">
        <v>1</v>
      </c>
      <c r="B3" s="63" t="s">
        <v>2009</v>
      </c>
      <c r="C3" s="64">
        <v>200000</v>
      </c>
      <c r="D3" s="64">
        <v>300</v>
      </c>
      <c r="E3" s="64">
        <v>4500</v>
      </c>
      <c r="F3" s="64">
        <v>7000</v>
      </c>
      <c r="G3" s="67">
        <v>16</v>
      </c>
      <c r="H3" s="41"/>
      <c r="I3" s="74"/>
      <c r="J3" s="75">
        <v>2</v>
      </c>
      <c r="K3" s="73" t="s">
        <v>2010</v>
      </c>
      <c r="L3" s="73" t="s">
        <v>102</v>
      </c>
      <c r="M3" s="73" t="s">
        <v>2011</v>
      </c>
      <c r="N3" s="73" t="s">
        <v>102</v>
      </c>
      <c r="O3" s="80"/>
      <c r="P3" s="80"/>
    </row>
    <row r="4" ht="17" customHeight="1" spans="1:16">
      <c r="A4" s="64">
        <v>2</v>
      </c>
      <c r="B4" s="63" t="s">
        <v>2012</v>
      </c>
      <c r="C4" s="64">
        <v>200000</v>
      </c>
      <c r="D4" s="64">
        <v>300</v>
      </c>
      <c r="E4" s="64">
        <v>4500</v>
      </c>
      <c r="F4" s="64">
        <v>7000</v>
      </c>
      <c r="G4" s="64">
        <v>18</v>
      </c>
      <c r="H4" s="41"/>
      <c r="I4" s="74"/>
      <c r="J4" s="72">
        <v>3</v>
      </c>
      <c r="K4" s="73" t="s">
        <v>2013</v>
      </c>
      <c r="L4" s="73" t="s">
        <v>1401</v>
      </c>
      <c r="M4" s="73" t="s">
        <v>2014</v>
      </c>
      <c r="N4" s="73" t="s">
        <v>1401</v>
      </c>
      <c r="O4" s="80"/>
      <c r="P4" s="80"/>
    </row>
    <row r="5" ht="17" customHeight="1" spans="1:16">
      <c r="A5" s="64">
        <v>3</v>
      </c>
      <c r="B5" s="63" t="s">
        <v>2015</v>
      </c>
      <c r="C5" s="64">
        <v>200000</v>
      </c>
      <c r="D5" s="64">
        <v>300</v>
      </c>
      <c r="E5" s="64">
        <v>4500</v>
      </c>
      <c r="F5" s="64">
        <v>7000</v>
      </c>
      <c r="G5" s="64">
        <v>18</v>
      </c>
      <c r="H5" s="41"/>
      <c r="I5" s="74"/>
      <c r="J5" s="75">
        <v>4</v>
      </c>
      <c r="K5" s="73" t="s">
        <v>2016</v>
      </c>
      <c r="L5" s="73" t="s">
        <v>101</v>
      </c>
      <c r="M5" s="73" t="s">
        <v>2017</v>
      </c>
      <c r="N5" s="73" t="s">
        <v>102</v>
      </c>
      <c r="O5" s="80"/>
      <c r="P5" s="80"/>
    </row>
    <row r="6" ht="17" customHeight="1" spans="1:16">
      <c r="A6" s="64">
        <v>4</v>
      </c>
      <c r="B6" s="63" t="s">
        <v>2018</v>
      </c>
      <c r="C6" s="64">
        <v>200000</v>
      </c>
      <c r="D6" s="64">
        <v>300</v>
      </c>
      <c r="E6" s="64">
        <v>4500</v>
      </c>
      <c r="F6" s="64">
        <v>7000</v>
      </c>
      <c r="G6" s="67">
        <v>18</v>
      </c>
      <c r="H6" s="41"/>
      <c r="I6" s="74"/>
      <c r="J6" s="72">
        <v>5</v>
      </c>
      <c r="K6" s="73" t="s">
        <v>2019</v>
      </c>
      <c r="L6" s="73" t="s">
        <v>1401</v>
      </c>
      <c r="M6" s="73" t="s">
        <v>2020</v>
      </c>
      <c r="N6" s="73" t="s">
        <v>102</v>
      </c>
      <c r="O6" s="80"/>
      <c r="P6" s="80"/>
    </row>
    <row r="7" ht="17" customHeight="1" spans="1:16">
      <c r="A7" s="64">
        <v>5</v>
      </c>
      <c r="B7" s="63" t="s">
        <v>2021</v>
      </c>
      <c r="C7" s="64">
        <v>200000</v>
      </c>
      <c r="D7" s="64">
        <v>300</v>
      </c>
      <c r="E7" s="64">
        <v>4500</v>
      </c>
      <c r="F7" s="64">
        <v>7000</v>
      </c>
      <c r="G7" s="64">
        <v>18</v>
      </c>
      <c r="H7" s="41"/>
      <c r="I7" s="74"/>
      <c r="J7" s="75">
        <v>6</v>
      </c>
      <c r="K7" s="73" t="s">
        <v>2022</v>
      </c>
      <c r="L7" s="73" t="s">
        <v>1401</v>
      </c>
      <c r="M7" s="73" t="s">
        <v>2023</v>
      </c>
      <c r="N7" s="73" t="s">
        <v>101</v>
      </c>
      <c r="O7" s="80"/>
      <c r="P7" s="80"/>
    </row>
    <row r="8" ht="17" customHeight="1" spans="1:16">
      <c r="A8" s="64">
        <v>6</v>
      </c>
      <c r="B8" s="63" t="s">
        <v>2024</v>
      </c>
      <c r="C8" s="64">
        <v>300000</v>
      </c>
      <c r="D8" s="64">
        <v>300</v>
      </c>
      <c r="E8" s="64">
        <v>4500</v>
      </c>
      <c r="F8" s="64">
        <v>7000</v>
      </c>
      <c r="G8" s="67">
        <v>18</v>
      </c>
      <c r="H8" s="41"/>
      <c r="I8" s="74"/>
      <c r="J8" s="72">
        <v>7</v>
      </c>
      <c r="K8" s="73" t="s">
        <v>2018</v>
      </c>
      <c r="L8" s="73" t="s">
        <v>101</v>
      </c>
      <c r="M8" s="73" t="s">
        <v>2025</v>
      </c>
      <c r="N8" s="73" t="s">
        <v>2026</v>
      </c>
      <c r="O8" s="80"/>
      <c r="P8" s="80"/>
    </row>
    <row r="9" ht="17" customHeight="1" spans="1:16">
      <c r="A9" s="64">
        <v>7</v>
      </c>
      <c r="B9" s="63" t="s">
        <v>2017</v>
      </c>
      <c r="C9" s="64">
        <v>200000</v>
      </c>
      <c r="D9" s="64">
        <v>300</v>
      </c>
      <c r="E9" s="64">
        <v>4500</v>
      </c>
      <c r="F9" s="64">
        <v>7000</v>
      </c>
      <c r="G9" s="67">
        <v>15</v>
      </c>
      <c r="H9" s="41"/>
      <c r="I9" s="74"/>
      <c r="J9" s="75">
        <v>8</v>
      </c>
      <c r="K9" s="73" t="s">
        <v>2027</v>
      </c>
      <c r="L9" s="73" t="s">
        <v>2026</v>
      </c>
      <c r="M9" s="73" t="s">
        <v>2020</v>
      </c>
      <c r="N9" s="73" t="s">
        <v>102</v>
      </c>
      <c r="O9" s="80"/>
      <c r="P9" s="80"/>
    </row>
    <row r="10" ht="17" customHeight="1" spans="1:16">
      <c r="A10" s="64">
        <v>8</v>
      </c>
      <c r="B10" s="63" t="s">
        <v>2016</v>
      </c>
      <c r="C10" s="64">
        <v>200000</v>
      </c>
      <c r="D10" s="64">
        <v>300</v>
      </c>
      <c r="E10" s="64">
        <v>4500</v>
      </c>
      <c r="F10" s="64">
        <v>7000</v>
      </c>
      <c r="G10" s="67">
        <v>15</v>
      </c>
      <c r="H10" s="41"/>
      <c r="I10" s="74"/>
      <c r="J10" s="72">
        <v>9</v>
      </c>
      <c r="K10" s="73" t="s">
        <v>2028</v>
      </c>
      <c r="L10" s="73" t="s">
        <v>2026</v>
      </c>
      <c r="M10" s="73" t="s">
        <v>2029</v>
      </c>
      <c r="N10" s="84" t="s">
        <v>1401</v>
      </c>
      <c r="O10" s="85" t="s">
        <v>2030</v>
      </c>
      <c r="P10" s="86"/>
    </row>
    <row r="11" ht="17" customHeight="1" spans="1:16">
      <c r="A11" s="64">
        <v>9</v>
      </c>
      <c r="B11" s="63" t="s">
        <v>2014</v>
      </c>
      <c r="C11" s="64">
        <v>200000</v>
      </c>
      <c r="D11" s="64">
        <v>300</v>
      </c>
      <c r="E11" s="64">
        <v>4500</v>
      </c>
      <c r="F11" s="64">
        <v>7000</v>
      </c>
      <c r="G11" s="67">
        <v>16</v>
      </c>
      <c r="H11" s="41"/>
      <c r="I11" s="74"/>
      <c r="J11" s="75">
        <v>10</v>
      </c>
      <c r="K11" s="73" t="s">
        <v>2031</v>
      </c>
      <c r="L11" s="73" t="s">
        <v>2032</v>
      </c>
      <c r="M11" s="73" t="s">
        <v>2033</v>
      </c>
      <c r="N11" s="73" t="s">
        <v>2032</v>
      </c>
      <c r="O11" s="87"/>
      <c r="P11" s="88"/>
    </row>
    <row r="12" ht="17" customHeight="1" spans="1:16">
      <c r="A12" s="64">
        <v>10</v>
      </c>
      <c r="B12" s="63" t="s">
        <v>2013</v>
      </c>
      <c r="C12" s="64">
        <v>200000</v>
      </c>
      <c r="D12" s="64">
        <v>300</v>
      </c>
      <c r="E12" s="64">
        <v>4500</v>
      </c>
      <c r="F12" s="64">
        <v>7000</v>
      </c>
      <c r="G12" s="67">
        <v>16</v>
      </c>
      <c r="H12" s="41"/>
      <c r="I12" s="74"/>
      <c r="J12" s="72">
        <v>11</v>
      </c>
      <c r="K12" s="73" t="s">
        <v>2031</v>
      </c>
      <c r="L12" s="73" t="s">
        <v>2032</v>
      </c>
      <c r="M12" s="73" t="s">
        <v>2034</v>
      </c>
      <c r="N12" s="73" t="s">
        <v>2032</v>
      </c>
      <c r="O12" s="89"/>
      <c r="P12" s="90"/>
    </row>
    <row r="13" ht="17" customHeight="1" spans="1:16">
      <c r="A13" s="64">
        <v>11</v>
      </c>
      <c r="B13" s="63" t="s">
        <v>2035</v>
      </c>
      <c r="C13" s="64">
        <v>300000</v>
      </c>
      <c r="D13" s="64">
        <v>300</v>
      </c>
      <c r="E13" s="64">
        <v>4500</v>
      </c>
      <c r="F13" s="64">
        <v>7000</v>
      </c>
      <c r="G13" s="64">
        <v>20</v>
      </c>
      <c r="H13" s="41"/>
      <c r="I13" s="74"/>
      <c r="J13" s="75">
        <v>12</v>
      </c>
      <c r="K13" s="73" t="s">
        <v>2027</v>
      </c>
      <c r="L13" s="73" t="s">
        <v>2026</v>
      </c>
      <c r="M13" s="73" t="s">
        <v>2036</v>
      </c>
      <c r="N13" s="73" t="s">
        <v>2026</v>
      </c>
      <c r="O13" s="80"/>
      <c r="P13" s="80"/>
    </row>
    <row r="14" ht="17" customHeight="1" spans="1:16">
      <c r="A14" s="64">
        <v>12</v>
      </c>
      <c r="B14" s="63" t="s">
        <v>2034</v>
      </c>
      <c r="C14" s="64">
        <v>300000</v>
      </c>
      <c r="D14" s="64">
        <v>500</v>
      </c>
      <c r="E14" s="64">
        <v>7000</v>
      </c>
      <c r="F14" s="64">
        <v>10000</v>
      </c>
      <c r="G14" s="67">
        <v>20</v>
      </c>
      <c r="H14" s="41"/>
      <c r="I14" s="74"/>
      <c r="J14" s="72">
        <v>13</v>
      </c>
      <c r="K14" s="73" t="s">
        <v>2009</v>
      </c>
      <c r="L14" s="73" t="s">
        <v>2026</v>
      </c>
      <c r="M14" s="73" t="s">
        <v>2004</v>
      </c>
      <c r="N14" s="73" t="s">
        <v>2026</v>
      </c>
      <c r="O14" s="80"/>
      <c r="P14" s="80"/>
    </row>
    <row r="15" ht="17" customHeight="1" spans="1:16">
      <c r="A15" s="64">
        <v>13</v>
      </c>
      <c r="B15" s="63" t="s">
        <v>2006</v>
      </c>
      <c r="C15" s="64">
        <v>200000</v>
      </c>
      <c r="D15" s="64">
        <v>300</v>
      </c>
      <c r="E15" s="64">
        <v>4500</v>
      </c>
      <c r="F15" s="64">
        <v>7000</v>
      </c>
      <c r="G15" s="67">
        <v>18</v>
      </c>
      <c r="H15" s="41"/>
      <c r="I15" s="74"/>
      <c r="J15" s="72">
        <v>15</v>
      </c>
      <c r="K15" s="73" t="s">
        <v>2037</v>
      </c>
      <c r="L15" s="73" t="s">
        <v>106</v>
      </c>
      <c r="M15" s="73" t="s">
        <v>2038</v>
      </c>
      <c r="N15" s="73" t="s">
        <v>106</v>
      </c>
      <c r="O15" s="80"/>
      <c r="P15" s="42"/>
    </row>
    <row r="16" ht="17" customHeight="1" spans="1:16">
      <c r="A16" s="64">
        <v>14</v>
      </c>
      <c r="B16" s="63" t="s">
        <v>2039</v>
      </c>
      <c r="C16" s="64">
        <v>200000</v>
      </c>
      <c r="D16" s="64">
        <v>300</v>
      </c>
      <c r="E16" s="64">
        <v>4500</v>
      </c>
      <c r="F16" s="64">
        <v>7000</v>
      </c>
      <c r="G16" s="64">
        <v>18</v>
      </c>
      <c r="H16" s="41"/>
      <c r="I16" s="76"/>
      <c r="J16" s="77">
        <v>16</v>
      </c>
      <c r="K16" s="78" t="s">
        <v>2007</v>
      </c>
      <c r="L16" s="78" t="s">
        <v>101</v>
      </c>
      <c r="M16" s="78" t="s">
        <v>2040</v>
      </c>
      <c r="N16" s="84" t="s">
        <v>1401</v>
      </c>
      <c r="O16" s="91"/>
      <c r="P16" s="91"/>
    </row>
    <row r="17" ht="17" customHeight="1" spans="1:16">
      <c r="A17" s="65">
        <v>15</v>
      </c>
      <c r="B17" s="66" t="s">
        <v>2031</v>
      </c>
      <c r="C17" s="65">
        <v>300000</v>
      </c>
      <c r="D17" s="64">
        <v>500</v>
      </c>
      <c r="E17" s="64">
        <v>7000</v>
      </c>
      <c r="F17" s="64">
        <v>10000</v>
      </c>
      <c r="G17" s="67">
        <v>20</v>
      </c>
      <c r="H17" s="68" t="s">
        <v>2041</v>
      </c>
      <c r="I17" s="79"/>
      <c r="J17" s="79"/>
      <c r="K17" s="79"/>
      <c r="L17" s="79"/>
      <c r="M17" s="79"/>
      <c r="N17" s="79"/>
      <c r="O17" s="79"/>
      <c r="P17" s="92"/>
    </row>
    <row r="18" ht="17" customHeight="1" spans="1:16">
      <c r="A18" s="65">
        <v>16</v>
      </c>
      <c r="B18" s="66" t="s">
        <v>2042</v>
      </c>
      <c r="C18" s="65">
        <v>300000</v>
      </c>
      <c r="D18" s="64">
        <v>300</v>
      </c>
      <c r="E18" s="64">
        <v>4500</v>
      </c>
      <c r="F18" s="64">
        <v>7000</v>
      </c>
      <c r="G18" s="65">
        <v>18</v>
      </c>
      <c r="H18" s="41"/>
      <c r="I18" s="31"/>
      <c r="J18" s="31"/>
      <c r="K18" s="31"/>
      <c r="L18" s="31"/>
      <c r="M18" s="31"/>
      <c r="N18" s="31"/>
      <c r="O18" s="31"/>
      <c r="P18" s="31"/>
    </row>
    <row r="19" ht="17" customHeight="1" spans="1:16">
      <c r="A19" s="65">
        <v>17</v>
      </c>
      <c r="B19" s="66" t="s">
        <v>2033</v>
      </c>
      <c r="C19" s="65">
        <v>300000</v>
      </c>
      <c r="D19" s="64">
        <v>500</v>
      </c>
      <c r="E19" s="64">
        <v>7000</v>
      </c>
      <c r="F19" s="64">
        <v>10000</v>
      </c>
      <c r="G19" s="67">
        <v>20</v>
      </c>
      <c r="H19" s="41"/>
      <c r="I19" s="31"/>
      <c r="J19" s="31"/>
      <c r="K19" s="31"/>
      <c r="L19" s="31"/>
      <c r="M19" s="31"/>
      <c r="N19" s="31"/>
      <c r="O19" s="31"/>
      <c r="P19" s="31"/>
    </row>
    <row r="20" ht="17" customHeight="1" spans="1:16">
      <c r="A20" s="65">
        <v>18</v>
      </c>
      <c r="B20" s="66" t="s">
        <v>2019</v>
      </c>
      <c r="C20" s="65">
        <v>200000</v>
      </c>
      <c r="D20" s="64">
        <v>300</v>
      </c>
      <c r="E20" s="64">
        <v>4500</v>
      </c>
      <c r="F20" s="64">
        <v>7000</v>
      </c>
      <c r="G20" s="67">
        <v>16</v>
      </c>
      <c r="H20" s="31"/>
      <c r="I20" s="31"/>
      <c r="J20" s="31"/>
      <c r="K20" s="31"/>
      <c r="L20" s="31"/>
      <c r="M20" s="31"/>
      <c r="N20" s="31"/>
      <c r="O20" s="31"/>
      <c r="P20" s="31"/>
    </row>
    <row r="21" ht="17" customHeight="1" spans="1:16">
      <c r="A21" s="65">
        <v>19</v>
      </c>
      <c r="B21" s="66" t="s">
        <v>2036</v>
      </c>
      <c r="C21" s="65">
        <v>200000</v>
      </c>
      <c r="D21" s="64">
        <v>300</v>
      </c>
      <c r="E21" s="64">
        <v>4500</v>
      </c>
      <c r="F21" s="64">
        <v>7000</v>
      </c>
      <c r="G21" s="67">
        <v>16</v>
      </c>
      <c r="H21" s="31"/>
      <c r="I21" s="31"/>
      <c r="J21" s="31"/>
      <c r="K21" s="31"/>
      <c r="L21" s="31"/>
      <c r="M21" s="31"/>
      <c r="N21" s="31"/>
      <c r="O21" s="31"/>
      <c r="P21" s="31"/>
    </row>
    <row r="22" ht="17" customHeight="1" spans="1:16">
      <c r="A22" s="65">
        <v>20</v>
      </c>
      <c r="B22" s="66" t="s">
        <v>2027</v>
      </c>
      <c r="C22" s="65">
        <v>200000</v>
      </c>
      <c r="D22" s="64">
        <v>300</v>
      </c>
      <c r="E22" s="64">
        <v>4500</v>
      </c>
      <c r="F22" s="64">
        <v>7000</v>
      </c>
      <c r="G22" s="67">
        <v>16</v>
      </c>
      <c r="H22" s="31"/>
      <c r="I22" s="31"/>
      <c r="J22" s="31"/>
      <c r="K22" s="31"/>
      <c r="L22" s="31"/>
      <c r="M22" s="31"/>
      <c r="N22" s="31"/>
      <c r="O22" s="31"/>
      <c r="P22" s="31"/>
    </row>
    <row r="23" ht="17" customHeight="1" spans="1:16">
      <c r="A23" s="65">
        <v>21</v>
      </c>
      <c r="B23" s="66" t="s">
        <v>2043</v>
      </c>
      <c r="C23" s="65">
        <v>200000</v>
      </c>
      <c r="D23" s="64">
        <v>300</v>
      </c>
      <c r="E23" s="64">
        <v>4500</v>
      </c>
      <c r="F23" s="64">
        <v>7000</v>
      </c>
      <c r="G23" s="65">
        <v>18</v>
      </c>
      <c r="H23" s="31"/>
      <c r="I23" s="31"/>
      <c r="J23" s="31"/>
      <c r="K23" s="31"/>
      <c r="L23" s="31"/>
      <c r="M23" s="31"/>
      <c r="N23" s="31"/>
      <c r="O23" s="31"/>
      <c r="P23" s="31"/>
    </row>
    <row r="24" ht="17" customHeight="1" spans="1:16">
      <c r="A24" s="65">
        <v>22</v>
      </c>
      <c r="B24" s="66" t="s">
        <v>2037</v>
      </c>
      <c r="C24" s="65">
        <v>200000</v>
      </c>
      <c r="D24" s="64">
        <v>300</v>
      </c>
      <c r="E24" s="64">
        <v>4500</v>
      </c>
      <c r="F24" s="64">
        <v>7000</v>
      </c>
      <c r="G24" s="67">
        <v>16</v>
      </c>
      <c r="H24" s="31"/>
      <c r="I24" s="31"/>
      <c r="J24" s="31"/>
      <c r="K24" s="31"/>
      <c r="L24" s="31"/>
      <c r="M24" s="31"/>
      <c r="N24" s="31"/>
      <c r="O24" s="31"/>
      <c r="P24" s="31"/>
    </row>
    <row r="25" ht="17" customHeight="1" spans="1:16">
      <c r="A25" s="65">
        <v>23</v>
      </c>
      <c r="B25" s="66" t="s">
        <v>2011</v>
      </c>
      <c r="C25" s="65">
        <v>200000</v>
      </c>
      <c r="D25" s="64">
        <v>300</v>
      </c>
      <c r="E25" s="64">
        <v>4500</v>
      </c>
      <c r="F25" s="64">
        <v>7000</v>
      </c>
      <c r="G25" s="67">
        <v>15</v>
      </c>
      <c r="H25" s="31"/>
      <c r="I25" s="31"/>
      <c r="J25" s="31"/>
      <c r="K25" s="31"/>
      <c r="L25" s="31"/>
      <c r="M25" s="31"/>
      <c r="N25" s="31"/>
      <c r="O25" s="31"/>
      <c r="P25" s="31"/>
    </row>
    <row r="26" ht="17" customHeight="1" spans="1:16">
      <c r="A26" s="65">
        <v>24</v>
      </c>
      <c r="B26" s="66" t="s">
        <v>2010</v>
      </c>
      <c r="C26" s="65">
        <v>200000</v>
      </c>
      <c r="D26" s="64">
        <v>300</v>
      </c>
      <c r="E26" s="64">
        <v>4500</v>
      </c>
      <c r="F26" s="64">
        <v>7000</v>
      </c>
      <c r="G26" s="67">
        <v>15</v>
      </c>
      <c r="H26" s="31"/>
      <c r="I26" s="31"/>
      <c r="J26" s="31"/>
      <c r="K26" s="31"/>
      <c r="L26" s="31"/>
      <c r="M26" s="31"/>
      <c r="N26" s="31"/>
      <c r="O26" s="31"/>
      <c r="P26" s="31"/>
    </row>
    <row r="27" ht="17" customHeight="1" spans="1:16">
      <c r="A27" s="65">
        <v>25</v>
      </c>
      <c r="B27" s="66" t="s">
        <v>2038</v>
      </c>
      <c r="C27" s="65">
        <v>200000</v>
      </c>
      <c r="D27" s="64">
        <v>300</v>
      </c>
      <c r="E27" s="64">
        <v>4500</v>
      </c>
      <c r="F27" s="64">
        <v>7000</v>
      </c>
      <c r="G27" s="67">
        <v>16</v>
      </c>
      <c r="H27" s="31"/>
      <c r="I27" s="31"/>
      <c r="J27" s="31"/>
      <c r="K27" s="31"/>
      <c r="L27" s="31"/>
      <c r="M27" s="31"/>
      <c r="N27" s="31"/>
      <c r="O27" s="31"/>
      <c r="P27" s="31"/>
    </row>
    <row r="28" ht="17" customHeight="1" spans="1:16">
      <c r="A28" s="65">
        <v>26</v>
      </c>
      <c r="B28" s="66" t="s">
        <v>2044</v>
      </c>
      <c r="C28" s="65">
        <v>200000</v>
      </c>
      <c r="D28" s="64">
        <v>300</v>
      </c>
      <c r="E28" s="64">
        <v>4500</v>
      </c>
      <c r="F28" s="64">
        <v>7000</v>
      </c>
      <c r="G28" s="65">
        <v>16</v>
      </c>
      <c r="H28" s="31"/>
      <c r="I28" s="31"/>
      <c r="J28" s="31"/>
      <c r="K28" s="31"/>
      <c r="L28" s="31"/>
      <c r="M28" s="31"/>
      <c r="N28" s="31"/>
      <c r="O28" s="31"/>
      <c r="P28" s="31"/>
    </row>
    <row r="29" ht="17" customHeight="1" spans="1:16">
      <c r="A29" s="65">
        <v>27</v>
      </c>
      <c r="B29" s="66" t="s">
        <v>2045</v>
      </c>
      <c r="C29" s="65">
        <v>200000</v>
      </c>
      <c r="D29" s="64">
        <v>300</v>
      </c>
      <c r="E29" s="64">
        <v>4500</v>
      </c>
      <c r="F29" s="64">
        <v>7000</v>
      </c>
      <c r="G29" s="65">
        <v>16</v>
      </c>
      <c r="H29" s="31"/>
      <c r="I29" s="31"/>
      <c r="J29" s="31"/>
      <c r="K29" s="31"/>
      <c r="L29" s="31"/>
      <c r="M29" s="31"/>
      <c r="N29" s="31"/>
      <c r="O29" s="31"/>
      <c r="P29" s="31"/>
    </row>
    <row r="30" ht="17" customHeight="1" spans="1:16">
      <c r="A30" s="65">
        <v>28</v>
      </c>
      <c r="B30" s="66" t="s">
        <v>2007</v>
      </c>
      <c r="C30" s="65">
        <v>200000</v>
      </c>
      <c r="D30" s="64">
        <v>300</v>
      </c>
      <c r="E30" s="64">
        <v>4500</v>
      </c>
      <c r="F30" s="64">
        <v>7000</v>
      </c>
      <c r="G30" s="67">
        <v>18</v>
      </c>
      <c r="H30" s="31"/>
      <c r="I30" s="31"/>
      <c r="J30" s="31"/>
      <c r="K30" s="31"/>
      <c r="L30" s="31"/>
      <c r="M30" s="31"/>
      <c r="N30" s="31"/>
      <c r="O30" s="31"/>
      <c r="P30" s="31"/>
    </row>
    <row r="31" ht="17" customHeight="1" spans="1:16">
      <c r="A31" s="65">
        <v>29</v>
      </c>
      <c r="B31" s="66" t="s">
        <v>2040</v>
      </c>
      <c r="C31" s="65">
        <v>300000</v>
      </c>
      <c r="D31" s="64">
        <v>300</v>
      </c>
      <c r="E31" s="64">
        <v>4500</v>
      </c>
      <c r="F31" s="64">
        <v>7000</v>
      </c>
      <c r="G31" s="67">
        <v>18</v>
      </c>
      <c r="H31" s="31"/>
      <c r="I31" s="31"/>
      <c r="J31" s="31"/>
      <c r="K31" s="31"/>
      <c r="L31" s="31"/>
      <c r="M31" s="31"/>
      <c r="N31" s="31"/>
      <c r="O31" s="31"/>
      <c r="P31" s="31"/>
    </row>
    <row r="32" ht="17" customHeight="1" spans="1:16">
      <c r="A32" s="65">
        <v>30</v>
      </c>
      <c r="B32" s="66" t="s">
        <v>2046</v>
      </c>
      <c r="C32" s="65">
        <v>300000</v>
      </c>
      <c r="D32" s="64">
        <v>300</v>
      </c>
      <c r="E32" s="64">
        <v>4500</v>
      </c>
      <c r="F32" s="64">
        <v>7000</v>
      </c>
      <c r="G32" s="65">
        <v>18</v>
      </c>
      <c r="H32" s="31"/>
      <c r="I32" s="31"/>
      <c r="J32" s="31"/>
      <c r="K32" s="31"/>
      <c r="L32" s="31"/>
      <c r="M32" s="31"/>
      <c r="N32" s="31"/>
      <c r="O32" s="31"/>
      <c r="P32" s="31"/>
    </row>
    <row r="33" ht="17" customHeight="1" spans="1:16">
      <c r="A33" s="65">
        <v>31</v>
      </c>
      <c r="B33" s="66" t="s">
        <v>2022</v>
      </c>
      <c r="C33" s="65">
        <v>200000</v>
      </c>
      <c r="D33" s="64">
        <v>300</v>
      </c>
      <c r="E33" s="64">
        <v>4500</v>
      </c>
      <c r="F33" s="64">
        <v>7000</v>
      </c>
      <c r="G33" s="67">
        <v>15</v>
      </c>
      <c r="H33" s="31"/>
      <c r="I33" s="31"/>
      <c r="J33" s="31"/>
      <c r="K33" s="31"/>
      <c r="L33" s="31"/>
      <c r="M33" s="31"/>
      <c r="N33" s="31"/>
      <c r="O33" s="31"/>
      <c r="P33" s="31"/>
    </row>
    <row r="34" ht="17" customHeight="1" spans="1:16">
      <c r="A34" s="65">
        <v>32</v>
      </c>
      <c r="B34" s="66" t="s">
        <v>2047</v>
      </c>
      <c r="C34" s="65">
        <v>200000</v>
      </c>
      <c r="D34" s="64">
        <v>300</v>
      </c>
      <c r="E34" s="64">
        <v>4500</v>
      </c>
      <c r="F34" s="64">
        <v>7000</v>
      </c>
      <c r="G34" s="65">
        <v>10</v>
      </c>
      <c r="H34" s="31"/>
      <c r="I34" s="31"/>
      <c r="J34" s="31"/>
      <c r="K34" s="31"/>
      <c r="L34" s="31"/>
      <c r="M34" s="31"/>
      <c r="N34" s="31"/>
      <c r="O34" s="31"/>
      <c r="P34" s="31"/>
    </row>
    <row r="35" ht="17" customHeight="1" spans="1:16">
      <c r="A35" s="65">
        <v>33</v>
      </c>
      <c r="B35" s="66" t="s">
        <v>2023</v>
      </c>
      <c r="C35" s="65">
        <v>200000</v>
      </c>
      <c r="D35" s="64">
        <v>300</v>
      </c>
      <c r="E35" s="64">
        <v>4500</v>
      </c>
      <c r="F35" s="64">
        <v>7000</v>
      </c>
      <c r="G35" s="67">
        <v>15</v>
      </c>
      <c r="H35" s="31"/>
      <c r="I35" s="31"/>
      <c r="J35" s="31"/>
      <c r="K35" s="31"/>
      <c r="L35" s="31"/>
      <c r="M35" s="31"/>
      <c r="N35" s="31"/>
      <c r="O35" s="31"/>
      <c r="P35" s="31"/>
    </row>
    <row r="36" ht="17" customHeight="1" spans="1:16">
      <c r="A36" s="65">
        <v>34</v>
      </c>
      <c r="B36" s="66" t="s">
        <v>2048</v>
      </c>
      <c r="C36" s="65">
        <v>200000</v>
      </c>
      <c r="D36" s="64">
        <v>300</v>
      </c>
      <c r="E36" s="64">
        <v>4500</v>
      </c>
      <c r="F36" s="64">
        <v>7000</v>
      </c>
      <c r="G36" s="65">
        <v>12</v>
      </c>
      <c r="H36" s="31"/>
      <c r="I36" s="31"/>
      <c r="J36" s="31"/>
      <c r="K36" s="31"/>
      <c r="L36" s="31"/>
      <c r="M36" s="31"/>
      <c r="N36" s="31"/>
      <c r="O36" s="31"/>
      <c r="P36" s="31"/>
    </row>
    <row r="37" ht="17" customHeight="1" spans="1:16">
      <c r="A37" s="65">
        <v>35</v>
      </c>
      <c r="B37" s="66" t="s">
        <v>2049</v>
      </c>
      <c r="C37" s="65">
        <v>200000</v>
      </c>
      <c r="D37" s="64">
        <v>300</v>
      </c>
      <c r="E37" s="64">
        <v>4500</v>
      </c>
      <c r="F37" s="64">
        <v>7000</v>
      </c>
      <c r="G37" s="65">
        <v>12</v>
      </c>
      <c r="H37" s="31"/>
      <c r="I37" s="31"/>
      <c r="J37" s="31"/>
      <c r="K37" s="31"/>
      <c r="L37" s="31"/>
      <c r="M37" s="31"/>
      <c r="N37" s="31"/>
      <c r="O37" s="31"/>
      <c r="P37" s="31"/>
    </row>
    <row r="38" ht="17" customHeight="1" spans="1:16">
      <c r="A38" s="65">
        <v>36</v>
      </c>
      <c r="B38" s="66" t="s">
        <v>2020</v>
      </c>
      <c r="C38" s="65">
        <v>200000</v>
      </c>
      <c r="D38" s="64">
        <v>300</v>
      </c>
      <c r="E38" s="64">
        <v>4500</v>
      </c>
      <c r="F38" s="64">
        <v>7000</v>
      </c>
      <c r="G38" s="67">
        <v>16</v>
      </c>
      <c r="H38" s="31"/>
      <c r="I38" s="31"/>
      <c r="J38" s="31"/>
      <c r="K38" s="31"/>
      <c r="L38" s="31"/>
      <c r="M38" s="31"/>
      <c r="N38" s="31"/>
      <c r="O38" s="31"/>
      <c r="P38" s="31"/>
    </row>
    <row r="39" ht="17" customHeight="1" spans="1:8">
      <c r="A39" s="65">
        <v>37</v>
      </c>
      <c r="B39" s="66" t="s">
        <v>2029</v>
      </c>
      <c r="C39" s="65">
        <v>300000</v>
      </c>
      <c r="D39" s="64">
        <v>300</v>
      </c>
      <c r="E39" s="64">
        <v>4500</v>
      </c>
      <c r="F39" s="64">
        <v>7000</v>
      </c>
      <c r="G39" s="67">
        <v>18</v>
      </c>
      <c r="H39" s="31"/>
    </row>
    <row r="40" ht="17" customHeight="1" spans="1:8">
      <c r="A40" s="64">
        <v>38</v>
      </c>
      <c r="B40" s="63" t="s">
        <v>2050</v>
      </c>
      <c r="C40" s="64">
        <v>200000</v>
      </c>
      <c r="D40" s="64">
        <v>300</v>
      </c>
      <c r="E40" s="64">
        <v>4500</v>
      </c>
      <c r="F40" s="64">
        <v>7000</v>
      </c>
      <c r="G40" s="64">
        <v>12</v>
      </c>
      <c r="H40" s="31"/>
    </row>
    <row r="41" ht="17" customHeight="1" spans="1:8">
      <c r="A41" s="64">
        <v>39</v>
      </c>
      <c r="B41" s="63" t="s">
        <v>2028</v>
      </c>
      <c r="C41" s="64">
        <v>300000</v>
      </c>
      <c r="D41" s="64">
        <v>300</v>
      </c>
      <c r="E41" s="64">
        <v>4500</v>
      </c>
      <c r="F41" s="64">
        <v>7000</v>
      </c>
      <c r="G41" s="67">
        <v>18</v>
      </c>
      <c r="H41" s="31"/>
    </row>
    <row r="42" ht="17" customHeight="1" spans="1:7">
      <c r="A42" s="64">
        <v>40</v>
      </c>
      <c r="B42" s="63" t="s">
        <v>2051</v>
      </c>
      <c r="C42" s="64">
        <v>200000</v>
      </c>
      <c r="D42" s="64">
        <v>300</v>
      </c>
      <c r="E42" s="64">
        <v>4500</v>
      </c>
      <c r="F42" s="64">
        <v>7000</v>
      </c>
      <c r="G42" s="64">
        <v>10</v>
      </c>
    </row>
    <row r="43" ht="17" customHeight="1" spans="1:7">
      <c r="A43" s="64">
        <v>41</v>
      </c>
      <c r="B43" s="63" t="s">
        <v>2052</v>
      </c>
      <c r="C43" s="64">
        <v>200000</v>
      </c>
      <c r="D43" s="64">
        <v>300</v>
      </c>
      <c r="E43" s="64">
        <v>4500</v>
      </c>
      <c r="F43" s="64">
        <v>7000</v>
      </c>
      <c r="G43" s="64">
        <v>10</v>
      </c>
    </row>
  </sheetData>
  <autoFilter xmlns:etc="http://www.wps.cn/officeDocument/2017/etCustomData" ref="A1:G43" etc:filterBottomFollowUsedRange="0">
    <extLst/>
  </autoFilter>
  <sortState ref="A1:H1">
    <sortCondition ref="G1"/>
  </sortState>
  <mergeCells count="4">
    <mergeCell ref="O2:P2"/>
    <mergeCell ref="H17:P17"/>
    <mergeCell ref="I2:I16"/>
    <mergeCell ref="O10:P12"/>
  </mergeCells>
  <pageMargins left="1" right="1" top="1" bottom="1" header="0.25" footer="0.25"/>
  <pageSetup paperSize="1" orientation="portrait"/>
  <headerFooter>
    <oddFooter>&amp;C&amp;"Helvetica Neue,Regular"&amp;12&amp;K000000&amp;P</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P138"/>
  <sheetViews>
    <sheetView showGridLines="0" zoomScale="168" zoomScaleNormal="168" topLeftCell="H1" workbookViewId="0">
      <selection activeCell="C70" sqref="C70"/>
    </sheetView>
  </sheetViews>
  <sheetFormatPr defaultColWidth="9" defaultRowHeight="13" customHeight="1"/>
  <cols>
    <col min="1" max="2" width="3.83035714285714" style="1" customWidth="1"/>
    <col min="3" max="3" width="25.6607142857143" style="1" customWidth="1"/>
    <col min="4" max="17" width="9" style="1" customWidth="1"/>
    <col min="18" max="16384" width="9" style="1"/>
  </cols>
  <sheetData>
    <row r="1" ht="14.5" customHeight="1" spans="1:16">
      <c r="A1" s="2"/>
      <c r="B1" s="2"/>
      <c r="C1" s="3" t="s">
        <v>1492</v>
      </c>
      <c r="D1" s="3" t="s">
        <v>2053</v>
      </c>
      <c r="E1" s="31"/>
      <c r="F1" s="31"/>
      <c r="G1" s="31"/>
      <c r="H1" s="31"/>
      <c r="I1" s="31"/>
      <c r="J1" s="31"/>
      <c r="K1" s="40"/>
      <c r="L1" s="40"/>
      <c r="M1" s="40"/>
      <c r="N1" s="40"/>
      <c r="O1" s="40"/>
      <c r="P1" s="40"/>
    </row>
    <row r="2" ht="13.5" customHeight="1" spans="1:16">
      <c r="A2" s="4" t="s">
        <v>2054</v>
      </c>
      <c r="B2" s="4"/>
      <c r="C2" s="5" t="s">
        <v>2055</v>
      </c>
      <c r="D2" s="6" t="s">
        <v>2056</v>
      </c>
      <c r="E2" s="32"/>
      <c r="F2" s="32"/>
      <c r="G2" s="32"/>
      <c r="H2" s="32"/>
      <c r="I2" s="32"/>
      <c r="J2" s="41"/>
      <c r="K2" s="42"/>
      <c r="L2" s="43" t="s">
        <v>2057</v>
      </c>
      <c r="M2" s="43" t="s">
        <v>2058</v>
      </c>
      <c r="N2" s="43" t="s">
        <v>2059</v>
      </c>
      <c r="O2" s="43" t="s">
        <v>2060</v>
      </c>
      <c r="P2" s="43" t="s">
        <v>2061</v>
      </c>
    </row>
    <row r="3" ht="19" customHeight="1" spans="1:16">
      <c r="A3" s="4"/>
      <c r="B3" s="4"/>
      <c r="C3" s="3" t="s">
        <v>2062</v>
      </c>
      <c r="D3" s="7" t="s">
        <v>2063</v>
      </c>
      <c r="E3" s="31"/>
      <c r="F3" s="31"/>
      <c r="G3" s="31"/>
      <c r="H3" s="31"/>
      <c r="I3" s="31"/>
      <c r="J3" s="41"/>
      <c r="K3" s="44" t="s">
        <v>101</v>
      </c>
      <c r="L3" s="45">
        <v>20</v>
      </c>
      <c r="M3" s="45">
        <v>10</v>
      </c>
      <c r="N3" s="45">
        <v>10</v>
      </c>
      <c r="O3" s="45">
        <v>40</v>
      </c>
      <c r="P3" s="45">
        <f t="shared" ref="P3:P11" si="0">SUM(L3:O3)</f>
        <v>80</v>
      </c>
    </row>
    <row r="4" ht="19" customHeight="1" spans="1:16">
      <c r="A4" s="4"/>
      <c r="B4" s="4"/>
      <c r="C4" s="3" t="s">
        <v>2064</v>
      </c>
      <c r="D4" s="3" t="s">
        <v>2065</v>
      </c>
      <c r="E4" s="31"/>
      <c r="F4" s="31"/>
      <c r="G4" s="31"/>
      <c r="H4" s="31"/>
      <c r="I4" s="31"/>
      <c r="J4" s="41"/>
      <c r="K4" s="44" t="s">
        <v>102</v>
      </c>
      <c r="L4" s="45">
        <v>20</v>
      </c>
      <c r="M4" s="45">
        <v>10</v>
      </c>
      <c r="N4" s="45">
        <v>20</v>
      </c>
      <c r="O4" s="45">
        <v>40</v>
      </c>
      <c r="P4" s="45">
        <f t="shared" si="0"/>
        <v>90</v>
      </c>
    </row>
    <row r="5" ht="13.5" customHeight="1" spans="1:16">
      <c r="A5" s="4"/>
      <c r="B5" s="4"/>
      <c r="C5" s="3" t="s">
        <v>2066</v>
      </c>
      <c r="D5" s="3" t="s">
        <v>2067</v>
      </c>
      <c r="E5" s="31"/>
      <c r="F5" s="31"/>
      <c r="G5" s="31"/>
      <c r="H5" s="31"/>
      <c r="I5" s="31"/>
      <c r="J5" s="41"/>
      <c r="K5" s="44" t="s">
        <v>103</v>
      </c>
      <c r="L5" s="45">
        <v>20</v>
      </c>
      <c r="M5" s="45">
        <v>10</v>
      </c>
      <c r="N5" s="45">
        <v>20</v>
      </c>
      <c r="O5" s="45">
        <v>40</v>
      </c>
      <c r="P5" s="45">
        <f t="shared" si="0"/>
        <v>90</v>
      </c>
    </row>
    <row r="6" ht="19" customHeight="1" spans="1:16">
      <c r="A6" s="4" t="s">
        <v>2068</v>
      </c>
      <c r="B6" s="8"/>
      <c r="C6" s="3" t="s">
        <v>101</v>
      </c>
      <c r="D6" s="3" t="s">
        <v>2069</v>
      </c>
      <c r="E6" s="31"/>
      <c r="F6" s="31"/>
      <c r="G6" s="31"/>
      <c r="H6" s="31"/>
      <c r="I6" s="31"/>
      <c r="J6" s="41"/>
      <c r="K6" s="44" t="s">
        <v>104</v>
      </c>
      <c r="L6" s="45">
        <v>20</v>
      </c>
      <c r="M6" s="45">
        <v>10</v>
      </c>
      <c r="N6" s="45">
        <v>20</v>
      </c>
      <c r="O6" s="45">
        <v>40</v>
      </c>
      <c r="P6" s="45">
        <f t="shared" si="0"/>
        <v>90</v>
      </c>
    </row>
    <row r="7" ht="19" customHeight="1" spans="1:16">
      <c r="A7" s="8"/>
      <c r="B7" s="8"/>
      <c r="C7" s="3" t="s">
        <v>102</v>
      </c>
      <c r="D7" s="3" t="s">
        <v>2070</v>
      </c>
      <c r="E7" s="31"/>
      <c r="F7" s="31"/>
      <c r="G7" s="31"/>
      <c r="H7" s="31"/>
      <c r="I7" s="31"/>
      <c r="J7" s="41"/>
      <c r="K7" s="44" t="s">
        <v>2071</v>
      </c>
      <c r="L7" s="45">
        <v>20</v>
      </c>
      <c r="M7" s="45">
        <v>0</v>
      </c>
      <c r="N7" s="45">
        <v>40</v>
      </c>
      <c r="O7" s="45">
        <v>20</v>
      </c>
      <c r="P7" s="45">
        <f t="shared" si="0"/>
        <v>80</v>
      </c>
    </row>
    <row r="8" ht="19" customHeight="1" spans="1:16">
      <c r="A8" s="8"/>
      <c r="B8" s="8"/>
      <c r="C8" s="3" t="s">
        <v>103</v>
      </c>
      <c r="D8" s="3" t="s">
        <v>2072</v>
      </c>
      <c r="E8" s="31"/>
      <c r="F8" s="31"/>
      <c r="G8" s="31"/>
      <c r="H8" s="31"/>
      <c r="I8" s="31"/>
      <c r="J8" s="41"/>
      <c r="K8" s="44" t="s">
        <v>360</v>
      </c>
      <c r="L8" s="45">
        <v>20</v>
      </c>
      <c r="M8" s="45">
        <v>20</v>
      </c>
      <c r="N8" s="45">
        <v>40</v>
      </c>
      <c r="O8" s="45">
        <v>20</v>
      </c>
      <c r="P8" s="45">
        <f t="shared" si="0"/>
        <v>100</v>
      </c>
    </row>
    <row r="9" ht="19" customHeight="1" spans="1:16">
      <c r="A9" s="8"/>
      <c r="B9" s="8"/>
      <c r="C9" s="3" t="s">
        <v>104</v>
      </c>
      <c r="D9" s="3" t="s">
        <v>2073</v>
      </c>
      <c r="E9" s="31"/>
      <c r="F9" s="31"/>
      <c r="G9" s="31"/>
      <c r="H9" s="31"/>
      <c r="I9" s="31"/>
      <c r="J9" s="41"/>
      <c r="K9" s="44" t="s">
        <v>2074</v>
      </c>
      <c r="L9" s="45">
        <v>10</v>
      </c>
      <c r="M9" s="45">
        <v>10</v>
      </c>
      <c r="N9" s="45">
        <v>30</v>
      </c>
      <c r="O9" s="45">
        <v>20</v>
      </c>
      <c r="P9" s="45">
        <f t="shared" si="0"/>
        <v>70</v>
      </c>
    </row>
    <row r="10" ht="19" customHeight="1" spans="1:16">
      <c r="A10" s="8"/>
      <c r="B10" s="8"/>
      <c r="C10" s="3" t="s">
        <v>2075</v>
      </c>
      <c r="D10" s="3" t="s">
        <v>2076</v>
      </c>
      <c r="E10" s="31"/>
      <c r="F10" s="31"/>
      <c r="G10" s="31"/>
      <c r="H10" s="31"/>
      <c r="I10" s="31"/>
      <c r="J10" s="41"/>
      <c r="K10" s="44" t="s">
        <v>2077</v>
      </c>
      <c r="L10" s="45">
        <v>20</v>
      </c>
      <c r="M10" s="45">
        <v>10</v>
      </c>
      <c r="N10" s="50">
        <v>10</v>
      </c>
      <c r="O10" s="45">
        <v>30</v>
      </c>
      <c r="P10" s="45">
        <f t="shared" si="0"/>
        <v>70</v>
      </c>
    </row>
    <row r="11" ht="19" customHeight="1" spans="1:16">
      <c r="A11" s="8"/>
      <c r="B11" s="8"/>
      <c r="C11" s="3" t="s">
        <v>2078</v>
      </c>
      <c r="D11" s="9" t="s">
        <v>2079</v>
      </c>
      <c r="E11" s="33"/>
      <c r="F11" s="33"/>
      <c r="G11" s="33"/>
      <c r="H11" s="33"/>
      <c r="I11" s="33"/>
      <c r="J11" s="46"/>
      <c r="K11" s="44" t="s">
        <v>2080</v>
      </c>
      <c r="L11" s="45">
        <v>5</v>
      </c>
      <c r="M11" s="45">
        <v>5</v>
      </c>
      <c r="N11" s="45">
        <v>5</v>
      </c>
      <c r="O11" s="45">
        <v>5</v>
      </c>
      <c r="P11" s="45">
        <f t="shared" si="0"/>
        <v>20</v>
      </c>
    </row>
    <row r="12" ht="14.5" customHeight="1" spans="1:16">
      <c r="A12" s="8"/>
      <c r="B12" s="8"/>
      <c r="C12" s="10" t="s">
        <v>2081</v>
      </c>
      <c r="D12" s="11" t="s">
        <v>2082</v>
      </c>
      <c r="E12" s="34"/>
      <c r="F12" s="34"/>
      <c r="G12" s="34"/>
      <c r="H12" s="34"/>
      <c r="I12" s="34"/>
      <c r="J12" s="47"/>
      <c r="K12" s="48"/>
      <c r="L12" s="48"/>
      <c r="M12" s="48"/>
      <c r="N12" s="48"/>
      <c r="O12" s="48"/>
      <c r="P12" s="48"/>
    </row>
    <row r="13" ht="14.5" customHeight="1" spans="1:16">
      <c r="A13" s="8"/>
      <c r="B13" s="8"/>
      <c r="C13" s="10" t="s">
        <v>2083</v>
      </c>
      <c r="D13" s="12" t="s">
        <v>2084</v>
      </c>
      <c r="E13" s="34"/>
      <c r="F13" s="34"/>
      <c r="G13" s="34"/>
      <c r="H13" s="34"/>
      <c r="I13" s="34"/>
      <c r="J13" s="31"/>
      <c r="K13" s="31"/>
      <c r="L13" s="31"/>
      <c r="M13" s="31"/>
      <c r="N13" s="31"/>
      <c r="O13" s="31"/>
      <c r="P13" s="31"/>
    </row>
    <row r="14" ht="14.5" customHeight="1" spans="1:16">
      <c r="A14" s="8"/>
      <c r="B14" s="8"/>
      <c r="C14" s="3" t="s">
        <v>2085</v>
      </c>
      <c r="D14" s="13" t="s">
        <v>2086</v>
      </c>
      <c r="E14" s="35"/>
      <c r="F14" s="35"/>
      <c r="G14" s="35"/>
      <c r="H14" s="35"/>
      <c r="I14" s="35"/>
      <c r="J14" s="31"/>
      <c r="K14" s="31"/>
      <c r="L14" s="31"/>
      <c r="M14" s="31"/>
      <c r="N14" s="31"/>
      <c r="O14" s="31"/>
      <c r="P14" s="31"/>
    </row>
    <row r="15" ht="14.5" customHeight="1" spans="1:16">
      <c r="A15" s="8"/>
      <c r="B15" s="8"/>
      <c r="C15" s="3" t="s">
        <v>2087</v>
      </c>
      <c r="D15" s="3" t="s">
        <v>2088</v>
      </c>
      <c r="E15" s="31"/>
      <c r="F15" s="31"/>
      <c r="G15" s="31"/>
      <c r="H15" s="31"/>
      <c r="I15" s="31"/>
      <c r="J15" s="31"/>
      <c r="K15" s="31"/>
      <c r="L15" s="31"/>
      <c r="M15" s="31"/>
      <c r="N15" s="31"/>
      <c r="O15" s="31"/>
      <c r="P15" s="31"/>
    </row>
    <row r="16" ht="13.5" customHeight="1" spans="1:16">
      <c r="A16" s="8"/>
      <c r="B16" s="8"/>
      <c r="C16" s="3" t="s">
        <v>2089</v>
      </c>
      <c r="D16" s="3" t="s">
        <v>2090</v>
      </c>
      <c r="E16" s="31"/>
      <c r="F16" s="31"/>
      <c r="G16" s="31"/>
      <c r="H16" s="31"/>
      <c r="I16" s="31"/>
      <c r="J16" s="31"/>
      <c r="K16" s="31"/>
      <c r="L16" s="31"/>
      <c r="M16" s="31"/>
      <c r="N16" s="31"/>
      <c r="O16" s="31"/>
      <c r="P16" s="31"/>
    </row>
    <row r="17" ht="13.5" customHeight="1" spans="1:16">
      <c r="A17" s="14" t="s">
        <v>11</v>
      </c>
      <c r="B17" s="15"/>
      <c r="C17" s="16" t="s">
        <v>102</v>
      </c>
      <c r="D17" s="17" t="s">
        <v>2091</v>
      </c>
      <c r="E17" s="36"/>
      <c r="F17" s="36"/>
      <c r="G17" s="36"/>
      <c r="H17" s="36"/>
      <c r="I17" s="49"/>
      <c r="J17" s="31"/>
      <c r="K17" s="31"/>
      <c r="L17" s="31"/>
      <c r="M17" s="31"/>
      <c r="N17" s="31"/>
      <c r="O17" s="31"/>
      <c r="P17" s="31"/>
    </row>
    <row r="18" ht="14.5" customHeight="1" spans="1:16">
      <c r="A18" s="18"/>
      <c r="B18" s="19"/>
      <c r="C18" s="3" t="s">
        <v>2092</v>
      </c>
      <c r="D18" s="3" t="s">
        <v>2093</v>
      </c>
      <c r="E18" s="31"/>
      <c r="F18" s="31"/>
      <c r="G18" s="31"/>
      <c r="H18" s="31"/>
      <c r="I18" s="31"/>
      <c r="J18" s="31"/>
      <c r="K18" s="31"/>
      <c r="L18" s="31"/>
      <c r="M18" s="31"/>
      <c r="N18" s="31"/>
      <c r="O18" s="31"/>
      <c r="P18" s="31"/>
    </row>
    <row r="19" ht="14.5" customHeight="1" spans="1:16">
      <c r="A19" s="18"/>
      <c r="B19" s="19"/>
      <c r="C19" s="3" t="s">
        <v>2077</v>
      </c>
      <c r="D19" s="3" t="s">
        <v>2093</v>
      </c>
      <c r="E19" s="31"/>
      <c r="F19" s="31"/>
      <c r="G19" s="31"/>
      <c r="H19" s="31"/>
      <c r="I19" s="31"/>
      <c r="J19" s="31"/>
      <c r="K19" s="31"/>
      <c r="L19" s="31"/>
      <c r="M19" s="31"/>
      <c r="N19" s="31"/>
      <c r="O19" s="31"/>
      <c r="P19" s="31"/>
    </row>
    <row r="20" ht="13.5" customHeight="1" spans="1:16">
      <c r="A20" s="20"/>
      <c r="B20" s="21"/>
      <c r="C20" s="3" t="s">
        <v>2080</v>
      </c>
      <c r="D20" s="3" t="s">
        <v>2093</v>
      </c>
      <c r="E20" s="31"/>
      <c r="F20" s="31"/>
      <c r="G20" s="31"/>
      <c r="H20" s="31"/>
      <c r="I20" s="31"/>
      <c r="J20" s="31"/>
      <c r="K20" s="31"/>
      <c r="L20" s="31"/>
      <c r="M20" s="31"/>
      <c r="N20" s="31"/>
      <c r="O20" s="31"/>
      <c r="P20" s="31"/>
    </row>
    <row r="21" ht="14.5" customHeight="1" spans="1:16">
      <c r="A21" s="22" t="s">
        <v>2094</v>
      </c>
      <c r="B21" s="22" t="s">
        <v>101</v>
      </c>
      <c r="C21" s="3" t="s">
        <v>2095</v>
      </c>
      <c r="D21" s="3" t="s">
        <v>2096</v>
      </c>
      <c r="E21" s="31"/>
      <c r="F21" s="31"/>
      <c r="G21" s="31"/>
      <c r="H21" s="31"/>
      <c r="I21" s="31"/>
      <c r="J21" s="31"/>
      <c r="K21" s="31"/>
      <c r="L21" s="31"/>
      <c r="M21" s="31"/>
      <c r="N21" s="31"/>
      <c r="O21" s="31"/>
      <c r="P21" s="31"/>
    </row>
    <row r="22" ht="14.5" customHeight="1" spans="1:16">
      <c r="A22" s="2"/>
      <c r="B22" s="2"/>
      <c r="C22" s="3" t="s">
        <v>2097</v>
      </c>
      <c r="D22" s="3" t="s">
        <v>2096</v>
      </c>
      <c r="E22" s="31"/>
      <c r="F22" s="31"/>
      <c r="G22" s="31"/>
      <c r="H22" s="31"/>
      <c r="I22" s="31"/>
      <c r="J22" s="31"/>
      <c r="K22" s="31"/>
      <c r="L22" s="31"/>
      <c r="M22" s="31"/>
      <c r="N22" s="31"/>
      <c r="O22" s="31"/>
      <c r="P22" s="31"/>
    </row>
    <row r="23" ht="14.5" customHeight="1" spans="1:16">
      <c r="A23" s="2"/>
      <c r="B23" s="2"/>
      <c r="C23" s="3" t="s">
        <v>2098</v>
      </c>
      <c r="D23" s="3" t="s">
        <v>2099</v>
      </c>
      <c r="E23" s="31"/>
      <c r="F23" s="31"/>
      <c r="G23" s="31"/>
      <c r="H23" s="31"/>
      <c r="I23" s="31"/>
      <c r="J23" s="31"/>
      <c r="K23" s="31"/>
      <c r="L23" s="31"/>
      <c r="M23" s="31"/>
      <c r="N23" s="31"/>
      <c r="O23" s="31"/>
      <c r="P23" s="31"/>
    </row>
    <row r="24" ht="14.5" customHeight="1" spans="1:16">
      <c r="A24" s="2"/>
      <c r="B24" s="22" t="s">
        <v>102</v>
      </c>
      <c r="C24" s="3" t="s">
        <v>2100</v>
      </c>
      <c r="D24" s="3" t="s">
        <v>2101</v>
      </c>
      <c r="E24" s="31"/>
      <c r="F24" s="31"/>
      <c r="G24" s="31"/>
      <c r="H24" s="31"/>
      <c r="I24" s="31"/>
      <c r="J24" s="31"/>
      <c r="K24" s="31"/>
      <c r="L24" s="31"/>
      <c r="M24" s="31"/>
      <c r="N24" s="31"/>
      <c r="O24" s="31"/>
      <c r="P24" s="31"/>
    </row>
    <row r="25" ht="14.5" customHeight="1" spans="1:16">
      <c r="A25" s="2"/>
      <c r="B25" s="2"/>
      <c r="C25" s="3" t="s">
        <v>2102</v>
      </c>
      <c r="D25" s="3" t="s">
        <v>2103</v>
      </c>
      <c r="E25" s="31"/>
      <c r="F25" s="31"/>
      <c r="G25" s="31"/>
      <c r="H25" s="31"/>
      <c r="I25" s="31"/>
      <c r="J25" s="31"/>
      <c r="K25" s="31"/>
      <c r="L25" s="31"/>
      <c r="M25" s="31"/>
      <c r="N25" s="31"/>
      <c r="O25" s="31"/>
      <c r="P25" s="31"/>
    </row>
    <row r="26" ht="14.5" customHeight="1" spans="1:16">
      <c r="A26" s="2"/>
      <c r="B26" s="2"/>
      <c r="C26" s="3" t="s">
        <v>2104</v>
      </c>
      <c r="D26" s="3" t="s">
        <v>2105</v>
      </c>
      <c r="E26" s="31"/>
      <c r="F26" s="31"/>
      <c r="G26" s="31"/>
      <c r="H26" s="31"/>
      <c r="I26" s="31"/>
      <c r="J26" s="31"/>
      <c r="K26" s="31"/>
      <c r="L26" s="31"/>
      <c r="M26" s="31"/>
      <c r="N26" s="31"/>
      <c r="O26" s="31"/>
      <c r="P26" s="31"/>
    </row>
    <row r="27" ht="14.5" customHeight="1" spans="1:16">
      <c r="A27" s="2"/>
      <c r="B27" s="22" t="s">
        <v>103</v>
      </c>
      <c r="C27" s="3" t="s">
        <v>2106</v>
      </c>
      <c r="D27" s="3" t="s">
        <v>2107</v>
      </c>
      <c r="E27" s="31"/>
      <c r="F27" s="31"/>
      <c r="G27" s="31"/>
      <c r="H27" s="31"/>
      <c r="I27" s="31"/>
      <c r="J27" s="31"/>
      <c r="K27" s="31"/>
      <c r="L27" s="31"/>
      <c r="M27" s="31"/>
      <c r="N27" s="31"/>
      <c r="O27" s="31"/>
      <c r="P27" s="31"/>
    </row>
    <row r="28" ht="14.5" customHeight="1" spans="1:16">
      <c r="A28" s="2"/>
      <c r="B28" s="2"/>
      <c r="C28" s="3" t="s">
        <v>2108</v>
      </c>
      <c r="D28" s="3" t="s">
        <v>2109</v>
      </c>
      <c r="E28" s="31"/>
      <c r="F28" s="31"/>
      <c r="G28" s="31"/>
      <c r="H28" s="31"/>
      <c r="I28" s="31"/>
      <c r="J28" s="31"/>
      <c r="K28" s="31"/>
      <c r="L28" s="31"/>
      <c r="M28" s="31"/>
      <c r="N28" s="31"/>
      <c r="O28" s="31"/>
      <c r="P28" s="31"/>
    </row>
    <row r="29" ht="14.5" customHeight="1" spans="1:16">
      <c r="A29" s="2"/>
      <c r="B29" s="2"/>
      <c r="C29" s="3" t="s">
        <v>2110</v>
      </c>
      <c r="D29" s="3" t="s">
        <v>2109</v>
      </c>
      <c r="E29" s="31"/>
      <c r="F29" s="31"/>
      <c r="G29" s="31"/>
      <c r="H29" s="31"/>
      <c r="I29" s="31"/>
      <c r="J29" s="31"/>
      <c r="K29" s="31"/>
      <c r="L29" s="31"/>
      <c r="M29" s="31"/>
      <c r="N29" s="31"/>
      <c r="O29" s="31"/>
      <c r="P29" s="31"/>
    </row>
    <row r="30" ht="14.5" customHeight="1" spans="1:16">
      <c r="A30" s="2"/>
      <c r="B30" s="22" t="s">
        <v>104</v>
      </c>
      <c r="C30" s="3" t="s">
        <v>274</v>
      </c>
      <c r="D30" s="3" t="s">
        <v>2111</v>
      </c>
      <c r="E30" s="31"/>
      <c r="F30" s="31"/>
      <c r="G30" s="31"/>
      <c r="H30" s="31"/>
      <c r="I30" s="31"/>
      <c r="J30" s="31"/>
      <c r="K30" s="31"/>
      <c r="L30" s="31"/>
      <c r="M30" s="31"/>
      <c r="N30" s="31"/>
      <c r="O30" s="31"/>
      <c r="P30" s="31"/>
    </row>
    <row r="31" ht="14.5" customHeight="1" spans="1:16">
      <c r="A31" s="2"/>
      <c r="B31" s="2"/>
      <c r="C31" s="3" t="s">
        <v>2112</v>
      </c>
      <c r="D31" s="3" t="s">
        <v>2111</v>
      </c>
      <c r="E31" s="31"/>
      <c r="F31" s="31"/>
      <c r="G31" s="31"/>
      <c r="H31" s="31"/>
      <c r="I31" s="31"/>
      <c r="J31" s="31"/>
      <c r="K31" s="31"/>
      <c r="L31" s="31"/>
      <c r="M31" s="31"/>
      <c r="N31" s="31"/>
      <c r="O31" s="31"/>
      <c r="P31" s="31"/>
    </row>
    <row r="32" ht="14.5" customHeight="1" spans="1:16">
      <c r="A32" s="2"/>
      <c r="B32" s="2"/>
      <c r="C32" s="3" t="s">
        <v>2113</v>
      </c>
      <c r="D32" s="3" t="s">
        <v>2114</v>
      </c>
      <c r="E32" s="31"/>
      <c r="F32" s="31"/>
      <c r="G32" s="31"/>
      <c r="H32" s="31"/>
      <c r="I32" s="31"/>
      <c r="J32" s="31"/>
      <c r="K32" s="31"/>
      <c r="L32" s="31"/>
      <c r="M32" s="31"/>
      <c r="N32" s="31"/>
      <c r="O32" s="31"/>
      <c r="P32" s="31"/>
    </row>
    <row r="33" ht="14.5" customHeight="1" spans="1:16">
      <c r="A33" s="2"/>
      <c r="B33" s="22" t="s">
        <v>2115</v>
      </c>
      <c r="C33" s="3" t="s">
        <v>2106</v>
      </c>
      <c r="D33" s="3" t="s">
        <v>2107</v>
      </c>
      <c r="E33" s="31"/>
      <c r="F33" s="31"/>
      <c r="G33" s="31"/>
      <c r="H33" s="31"/>
      <c r="I33" s="31"/>
      <c r="J33" s="31"/>
      <c r="K33" s="31"/>
      <c r="L33" s="31"/>
      <c r="M33" s="31"/>
      <c r="N33" s="31"/>
      <c r="O33" s="31"/>
      <c r="P33" s="31"/>
    </row>
    <row r="34" ht="14.5" customHeight="1" spans="1:16">
      <c r="A34" s="2"/>
      <c r="B34" s="2"/>
      <c r="C34" s="3" t="s">
        <v>2116</v>
      </c>
      <c r="D34" s="3" t="s">
        <v>2109</v>
      </c>
      <c r="E34" s="31"/>
      <c r="F34" s="31"/>
      <c r="G34" s="31"/>
      <c r="H34" s="31"/>
      <c r="I34" s="31"/>
      <c r="J34" s="31"/>
      <c r="K34" s="31"/>
      <c r="L34" s="31"/>
      <c r="M34" s="31"/>
      <c r="N34" s="31"/>
      <c r="O34" s="31"/>
      <c r="P34" s="31"/>
    </row>
    <row r="35" ht="14.5" customHeight="1" spans="1:16">
      <c r="A35" s="2"/>
      <c r="B35" s="2"/>
      <c r="C35" s="3" t="s">
        <v>2117</v>
      </c>
      <c r="D35" s="3" t="s">
        <v>2107</v>
      </c>
      <c r="E35" s="31"/>
      <c r="F35" s="31"/>
      <c r="G35" s="31"/>
      <c r="H35" s="31"/>
      <c r="I35" s="31"/>
      <c r="J35" s="31"/>
      <c r="K35" s="31"/>
      <c r="L35" s="31"/>
      <c r="M35" s="31"/>
      <c r="N35" s="31"/>
      <c r="O35" s="31"/>
      <c r="P35" s="31"/>
    </row>
    <row r="36" ht="14.5" customHeight="1" spans="1:16">
      <c r="A36" s="2"/>
      <c r="B36" s="2"/>
      <c r="C36" s="3" t="s">
        <v>2081</v>
      </c>
      <c r="D36" s="3" t="s">
        <v>2118</v>
      </c>
      <c r="E36" s="31"/>
      <c r="F36" s="31"/>
      <c r="G36" s="31"/>
      <c r="H36" s="31"/>
      <c r="I36" s="31"/>
      <c r="J36" s="31"/>
      <c r="K36" s="31"/>
      <c r="L36" s="31"/>
      <c r="M36" s="31"/>
      <c r="N36" s="31"/>
      <c r="O36" s="31"/>
      <c r="P36" s="31"/>
    </row>
    <row r="37" ht="14.5" customHeight="1" spans="1:16">
      <c r="A37" s="2"/>
      <c r="B37" s="22" t="s">
        <v>2119</v>
      </c>
      <c r="C37" s="3" t="s">
        <v>2106</v>
      </c>
      <c r="D37" s="3" t="s">
        <v>2107</v>
      </c>
      <c r="E37" s="31"/>
      <c r="F37" s="31"/>
      <c r="G37" s="31"/>
      <c r="H37" s="31"/>
      <c r="I37" s="31"/>
      <c r="J37" s="31"/>
      <c r="K37" s="31"/>
      <c r="L37" s="31"/>
      <c r="M37" s="31"/>
      <c r="N37" s="31"/>
      <c r="O37" s="31"/>
      <c r="P37" s="31"/>
    </row>
    <row r="38" ht="14.5" customHeight="1" spans="1:16">
      <c r="A38" s="2"/>
      <c r="B38" s="2"/>
      <c r="C38" s="3" t="s">
        <v>2120</v>
      </c>
      <c r="D38" s="3" t="s">
        <v>2121</v>
      </c>
      <c r="E38" s="31"/>
      <c r="F38" s="31"/>
      <c r="G38" s="31"/>
      <c r="H38" s="31"/>
      <c r="I38" s="31"/>
      <c r="J38" s="31"/>
      <c r="K38" s="31"/>
      <c r="L38" s="31"/>
      <c r="M38" s="31"/>
      <c r="N38" s="31"/>
      <c r="O38" s="31"/>
      <c r="P38" s="31"/>
    </row>
    <row r="39" ht="14.5" customHeight="1" spans="1:16">
      <c r="A39" s="2"/>
      <c r="B39" s="2"/>
      <c r="C39" s="3" t="s">
        <v>2081</v>
      </c>
      <c r="D39" s="9" t="s">
        <v>2118</v>
      </c>
      <c r="E39" s="33"/>
      <c r="F39" s="33"/>
      <c r="G39" s="33"/>
      <c r="H39" s="33"/>
      <c r="I39" s="33"/>
      <c r="J39" s="47"/>
      <c r="K39" s="31"/>
      <c r="L39" s="31"/>
      <c r="M39" s="31"/>
      <c r="N39" s="31"/>
      <c r="O39" s="31"/>
      <c r="P39" s="31"/>
    </row>
    <row r="40" ht="14.75" customHeight="1" spans="1:16">
      <c r="A40" s="23" t="s">
        <v>2122</v>
      </c>
      <c r="B40" s="15"/>
      <c r="C40" s="10" t="s">
        <v>2123</v>
      </c>
      <c r="D40" s="12" t="s">
        <v>2124</v>
      </c>
      <c r="E40" s="34"/>
      <c r="F40" s="34"/>
      <c r="G40" s="34"/>
      <c r="H40" s="34"/>
      <c r="I40" s="34"/>
      <c r="J40" s="31"/>
      <c r="K40" s="31"/>
      <c r="L40" s="31"/>
      <c r="M40" s="31"/>
      <c r="N40" s="31"/>
      <c r="O40" s="31"/>
      <c r="P40" s="31"/>
    </row>
    <row r="41" ht="14.5" customHeight="1" spans="1:16">
      <c r="A41" s="24"/>
      <c r="B41" s="19"/>
      <c r="C41" s="3" t="s">
        <v>2125</v>
      </c>
      <c r="D41" s="13" t="s">
        <v>2126</v>
      </c>
      <c r="E41" s="35"/>
      <c r="F41" s="35"/>
      <c r="G41" s="35"/>
      <c r="H41" s="35"/>
      <c r="I41" s="35"/>
      <c r="J41" s="31"/>
      <c r="K41" s="31"/>
      <c r="L41" s="31"/>
      <c r="M41" s="31"/>
      <c r="N41" s="31"/>
      <c r="O41" s="31"/>
      <c r="P41" s="31"/>
    </row>
    <row r="42" ht="14.5" customHeight="1" spans="1:16">
      <c r="A42" s="24"/>
      <c r="B42" s="19"/>
      <c r="C42" s="3" t="s">
        <v>2127</v>
      </c>
      <c r="D42" s="9" t="s">
        <v>2128</v>
      </c>
      <c r="E42" s="33"/>
      <c r="F42" s="33"/>
      <c r="G42" s="33"/>
      <c r="H42" s="33"/>
      <c r="I42" s="33"/>
      <c r="J42" s="47"/>
      <c r="K42" s="31"/>
      <c r="L42" s="31"/>
      <c r="M42" s="31"/>
      <c r="N42" s="31"/>
      <c r="O42" s="31"/>
      <c r="P42" s="31"/>
    </row>
    <row r="43" ht="14.5" customHeight="1" spans="1:16">
      <c r="A43" s="24"/>
      <c r="B43" s="19"/>
      <c r="C43" s="25" t="s">
        <v>2129</v>
      </c>
      <c r="D43" s="12" t="s">
        <v>2130</v>
      </c>
      <c r="E43" s="34"/>
      <c r="F43" s="34"/>
      <c r="G43" s="34"/>
      <c r="H43" s="34"/>
      <c r="I43" s="34"/>
      <c r="J43" s="31"/>
      <c r="K43" s="31"/>
      <c r="L43" s="31"/>
      <c r="M43" s="31"/>
      <c r="N43" s="31"/>
      <c r="O43" s="31"/>
      <c r="P43" s="31"/>
    </row>
    <row r="44" ht="14.5" customHeight="1" spans="1:16">
      <c r="A44" s="24"/>
      <c r="B44" s="19"/>
      <c r="C44" s="3" t="s">
        <v>2131</v>
      </c>
      <c r="D44" s="13" t="s">
        <v>2132</v>
      </c>
      <c r="E44" s="35"/>
      <c r="F44" s="35"/>
      <c r="G44" s="35"/>
      <c r="H44" s="35"/>
      <c r="I44" s="35"/>
      <c r="J44" s="31"/>
      <c r="K44" s="31"/>
      <c r="L44" s="31"/>
      <c r="M44" s="31"/>
      <c r="N44" s="31"/>
      <c r="O44" s="31"/>
      <c r="P44" s="31"/>
    </row>
    <row r="45" ht="14.5" customHeight="1" spans="1:16">
      <c r="A45" s="26"/>
      <c r="B45" s="21"/>
      <c r="C45" s="3" t="s">
        <v>2133</v>
      </c>
      <c r="D45" s="3" t="s">
        <v>2134</v>
      </c>
      <c r="E45" s="31"/>
      <c r="F45" s="31"/>
      <c r="G45" s="31"/>
      <c r="H45" s="31"/>
      <c r="I45" s="31"/>
      <c r="J45" s="31"/>
      <c r="K45" s="31"/>
      <c r="L45" s="31"/>
      <c r="M45" s="31"/>
      <c r="N45" s="31"/>
      <c r="O45" s="31"/>
      <c r="P45" s="31"/>
    </row>
    <row r="46" ht="14.5" customHeight="1" spans="1:16">
      <c r="A46" s="23" t="s">
        <v>2135</v>
      </c>
      <c r="B46" s="15"/>
      <c r="C46" s="3" t="s">
        <v>2136</v>
      </c>
      <c r="D46" s="3" t="s">
        <v>2137</v>
      </c>
      <c r="E46" s="31"/>
      <c r="F46" s="31"/>
      <c r="G46" s="31"/>
      <c r="H46" s="31"/>
      <c r="I46" s="31"/>
      <c r="J46" s="31"/>
      <c r="K46" s="31"/>
      <c r="L46" s="31"/>
      <c r="M46" s="31"/>
      <c r="N46" s="31"/>
      <c r="O46" s="31"/>
      <c r="P46" s="31"/>
    </row>
    <row r="47" ht="14.5" customHeight="1" spans="1:16">
      <c r="A47" s="24"/>
      <c r="B47" s="19"/>
      <c r="C47" s="3" t="s">
        <v>2138</v>
      </c>
      <c r="D47" s="27">
        <v>1</v>
      </c>
      <c r="E47" s="27"/>
      <c r="F47" s="27"/>
      <c r="G47" s="27"/>
      <c r="H47" s="27"/>
      <c r="I47" s="27"/>
      <c r="J47" s="31"/>
      <c r="K47" s="31"/>
      <c r="L47" s="31"/>
      <c r="M47" s="31"/>
      <c r="N47" s="31"/>
      <c r="O47" s="31"/>
      <c r="P47" s="31"/>
    </row>
    <row r="48" ht="14.5" customHeight="1" spans="1:16">
      <c r="A48" s="24"/>
      <c r="B48" s="19"/>
      <c r="C48" s="3" t="s">
        <v>2139</v>
      </c>
      <c r="D48" s="3" t="s">
        <v>2140</v>
      </c>
      <c r="E48" s="31"/>
      <c r="F48" s="31"/>
      <c r="G48" s="31"/>
      <c r="H48" s="31"/>
      <c r="I48" s="31"/>
      <c r="J48" s="31"/>
      <c r="K48" s="31"/>
      <c r="L48" s="31"/>
      <c r="M48" s="31"/>
      <c r="N48" s="31"/>
      <c r="O48" s="31"/>
      <c r="P48" s="31"/>
    </row>
    <row r="49" ht="14.5" customHeight="1" spans="1:16">
      <c r="A49" s="24"/>
      <c r="B49" s="19"/>
      <c r="C49" s="3" t="s">
        <v>2141</v>
      </c>
      <c r="D49" s="3" t="s">
        <v>101</v>
      </c>
      <c r="E49" s="3" t="s">
        <v>102</v>
      </c>
      <c r="F49" s="3" t="s">
        <v>103</v>
      </c>
      <c r="G49" s="3" t="s">
        <v>104</v>
      </c>
      <c r="H49" s="3" t="s">
        <v>2115</v>
      </c>
      <c r="I49" s="3" t="s">
        <v>2119</v>
      </c>
      <c r="J49" s="31"/>
      <c r="K49" s="31"/>
      <c r="L49" s="31"/>
      <c r="M49" s="31"/>
      <c r="N49" s="31"/>
      <c r="O49" s="31"/>
      <c r="P49" s="31"/>
    </row>
    <row r="50" ht="14.5" customHeight="1" spans="1:16">
      <c r="A50" s="24"/>
      <c r="B50" s="19"/>
      <c r="C50" s="3" t="s">
        <v>101</v>
      </c>
      <c r="D50" s="28">
        <v>1</v>
      </c>
      <c r="E50" s="37">
        <v>0.9</v>
      </c>
      <c r="F50" s="28">
        <v>1</v>
      </c>
      <c r="G50" s="28">
        <v>1.15</v>
      </c>
      <c r="H50" s="28">
        <v>1</v>
      </c>
      <c r="I50" s="28">
        <v>1</v>
      </c>
      <c r="J50" s="31"/>
      <c r="K50" s="31"/>
      <c r="L50" s="31"/>
      <c r="M50" s="31"/>
      <c r="N50" s="31"/>
      <c r="O50" s="31"/>
      <c r="P50" s="31"/>
    </row>
    <row r="51" ht="14.5" customHeight="1" spans="1:16">
      <c r="A51" s="24"/>
      <c r="B51" s="19"/>
      <c r="C51" s="3" t="s">
        <v>102</v>
      </c>
      <c r="D51" s="28">
        <v>1.15</v>
      </c>
      <c r="E51" s="28">
        <v>1</v>
      </c>
      <c r="F51" s="28">
        <v>1</v>
      </c>
      <c r="G51" s="28">
        <v>0.85</v>
      </c>
      <c r="H51" s="28">
        <v>1</v>
      </c>
      <c r="I51" s="28">
        <v>1</v>
      </c>
      <c r="J51" s="31"/>
      <c r="K51" s="31"/>
      <c r="L51" s="31"/>
      <c r="M51" s="31"/>
      <c r="N51" s="31"/>
      <c r="O51" s="31"/>
      <c r="P51" s="31"/>
    </row>
    <row r="52" ht="14.5" customHeight="1" spans="1:16">
      <c r="A52" s="24"/>
      <c r="B52" s="19"/>
      <c r="C52" s="3" t="s">
        <v>103</v>
      </c>
      <c r="D52" s="28">
        <v>1</v>
      </c>
      <c r="E52" s="37">
        <v>1</v>
      </c>
      <c r="F52" s="37">
        <v>1</v>
      </c>
      <c r="G52" s="28">
        <v>1.1</v>
      </c>
      <c r="H52" s="28">
        <v>1</v>
      </c>
      <c r="I52" s="28">
        <v>0.75</v>
      </c>
      <c r="J52" s="31"/>
      <c r="K52" s="31"/>
      <c r="L52" s="31"/>
      <c r="M52" s="31"/>
      <c r="N52" s="31"/>
      <c r="O52" s="31"/>
      <c r="P52" s="31"/>
    </row>
    <row r="53" ht="14.5" customHeight="1" spans="1:16">
      <c r="A53" s="24"/>
      <c r="B53" s="19"/>
      <c r="C53" s="3" t="s">
        <v>104</v>
      </c>
      <c r="D53" s="28">
        <v>0.85</v>
      </c>
      <c r="E53" s="37">
        <v>1.2</v>
      </c>
      <c r="F53" s="28">
        <v>1</v>
      </c>
      <c r="G53" s="28">
        <v>1</v>
      </c>
      <c r="H53" s="28">
        <v>0.9</v>
      </c>
      <c r="I53" s="28">
        <v>0.6</v>
      </c>
      <c r="J53" s="31"/>
      <c r="K53" s="31"/>
      <c r="L53" s="31"/>
      <c r="M53" s="31"/>
      <c r="N53" s="31"/>
      <c r="O53" s="31"/>
      <c r="P53" s="31"/>
    </row>
    <row r="54" ht="14.5" customHeight="1" spans="1:16">
      <c r="A54" s="24"/>
      <c r="B54" s="19"/>
      <c r="C54" s="3" t="s">
        <v>2083</v>
      </c>
      <c r="D54" s="28">
        <v>1.1</v>
      </c>
      <c r="E54" s="28">
        <v>1.1</v>
      </c>
      <c r="F54" s="28">
        <v>1.1</v>
      </c>
      <c r="G54" s="28">
        <v>1.1</v>
      </c>
      <c r="H54" s="28">
        <v>1</v>
      </c>
      <c r="I54" s="28">
        <v>1</v>
      </c>
      <c r="J54" s="31"/>
      <c r="K54" s="31"/>
      <c r="L54" s="31"/>
      <c r="M54" s="31"/>
      <c r="N54" s="31"/>
      <c r="O54" s="31"/>
      <c r="P54" s="31"/>
    </row>
    <row r="55" ht="14.5" customHeight="1" spans="1:16">
      <c r="A55" s="24"/>
      <c r="B55" s="19"/>
      <c r="C55" s="3" t="s">
        <v>2078</v>
      </c>
      <c r="D55" s="28">
        <v>1.1</v>
      </c>
      <c r="E55" s="28">
        <v>1.1</v>
      </c>
      <c r="F55" s="28">
        <v>1.1</v>
      </c>
      <c r="G55" s="28">
        <v>1.1</v>
      </c>
      <c r="H55" s="28">
        <v>1</v>
      </c>
      <c r="I55" s="28">
        <v>0.75</v>
      </c>
      <c r="J55" s="31"/>
      <c r="K55" s="31"/>
      <c r="L55" s="31"/>
      <c r="M55" s="31"/>
      <c r="N55" s="31"/>
      <c r="O55" s="31"/>
      <c r="P55" s="31"/>
    </row>
    <row r="56" ht="14.5" customHeight="1" spans="1:16">
      <c r="A56" s="24"/>
      <c r="B56" s="19"/>
      <c r="C56" s="3" t="s">
        <v>2081</v>
      </c>
      <c r="D56" s="28">
        <v>1.1</v>
      </c>
      <c r="E56" s="28">
        <v>1.1</v>
      </c>
      <c r="F56" s="28">
        <v>1.1</v>
      </c>
      <c r="G56" s="28">
        <v>1.1</v>
      </c>
      <c r="H56" s="28">
        <v>1</v>
      </c>
      <c r="I56" s="28">
        <v>1.2</v>
      </c>
      <c r="J56" s="31"/>
      <c r="K56" s="31"/>
      <c r="L56" s="31"/>
      <c r="M56" s="31"/>
      <c r="N56" s="31"/>
      <c r="O56" s="31"/>
      <c r="P56" s="31"/>
    </row>
    <row r="57" ht="14.5" customHeight="1" spans="1:16">
      <c r="A57" s="24"/>
      <c r="B57" s="19"/>
      <c r="C57" s="3" t="s">
        <v>2119</v>
      </c>
      <c r="D57" s="28">
        <v>1.2</v>
      </c>
      <c r="E57" s="28">
        <v>1.2</v>
      </c>
      <c r="F57" s="28">
        <v>1.2</v>
      </c>
      <c r="G57" s="28">
        <v>1.1</v>
      </c>
      <c r="H57" s="28">
        <v>1.1</v>
      </c>
      <c r="I57" s="28">
        <v>1.1</v>
      </c>
      <c r="J57" s="31"/>
      <c r="K57" s="31"/>
      <c r="L57" s="31"/>
      <c r="M57" s="31"/>
      <c r="N57" s="31"/>
      <c r="O57" s="31"/>
      <c r="P57" s="31"/>
    </row>
    <row r="58" ht="14.5" customHeight="1" spans="1:16">
      <c r="A58" s="24"/>
      <c r="B58" s="19"/>
      <c r="C58" s="3" t="s">
        <v>2142</v>
      </c>
      <c r="D58" s="3" t="s">
        <v>2143</v>
      </c>
      <c r="E58" s="27"/>
      <c r="F58" s="27"/>
      <c r="G58" s="27"/>
      <c r="H58" s="27"/>
      <c r="I58" s="27"/>
      <c r="J58" s="31"/>
      <c r="K58" s="31"/>
      <c r="L58" s="31"/>
      <c r="M58" s="31"/>
      <c r="N58" s="31"/>
      <c r="O58" s="31"/>
      <c r="P58" s="31"/>
    </row>
    <row r="59" ht="14.5" customHeight="1" spans="1:16">
      <c r="A59" s="24"/>
      <c r="B59" s="19"/>
      <c r="C59" s="3" t="s">
        <v>2144</v>
      </c>
      <c r="D59" s="3" t="s">
        <v>2145</v>
      </c>
      <c r="E59" s="27"/>
      <c r="F59" s="27"/>
      <c r="G59" s="27"/>
      <c r="H59" s="27"/>
      <c r="I59" s="27"/>
      <c r="J59" s="31"/>
      <c r="K59" s="31"/>
      <c r="L59" s="31"/>
      <c r="M59" s="31"/>
      <c r="N59" s="31"/>
      <c r="O59" s="31"/>
      <c r="P59" s="31"/>
    </row>
    <row r="60" ht="14.5" customHeight="1" spans="1:16">
      <c r="A60" s="24"/>
      <c r="B60" s="19"/>
      <c r="C60" s="3" t="s">
        <v>2146</v>
      </c>
      <c r="D60" s="3" t="s">
        <v>2145</v>
      </c>
      <c r="E60" s="31"/>
      <c r="F60" s="31"/>
      <c r="G60" s="31"/>
      <c r="H60" s="31"/>
      <c r="I60" s="31"/>
      <c r="J60" s="31"/>
      <c r="K60" s="31"/>
      <c r="L60" s="31"/>
      <c r="M60" s="31"/>
      <c r="N60" s="31"/>
      <c r="O60" s="31"/>
      <c r="P60" s="31"/>
    </row>
    <row r="61" ht="14.5" customHeight="1" spans="1:16">
      <c r="A61" s="24"/>
      <c r="B61" s="19"/>
      <c r="C61" s="3" t="s">
        <v>2147</v>
      </c>
      <c r="D61" s="3" t="s">
        <v>2148</v>
      </c>
      <c r="E61" s="31"/>
      <c r="F61" s="31"/>
      <c r="G61" s="31"/>
      <c r="H61" s="31"/>
      <c r="I61" s="31"/>
      <c r="J61" s="31"/>
      <c r="K61" s="31"/>
      <c r="L61" s="31"/>
      <c r="M61" s="31"/>
      <c r="N61" s="31"/>
      <c r="O61" s="31"/>
      <c r="P61" s="31"/>
    </row>
    <row r="62" ht="14.5" customHeight="1" spans="1:16">
      <c r="A62" s="24"/>
      <c r="B62" s="19"/>
      <c r="C62" s="3" t="s">
        <v>2149</v>
      </c>
      <c r="D62" s="9" t="s">
        <v>2150</v>
      </c>
      <c r="E62" s="38"/>
      <c r="F62" s="38"/>
      <c r="G62" s="38"/>
      <c r="H62" s="38"/>
      <c r="I62" s="38"/>
      <c r="J62" s="47"/>
      <c r="K62" s="31"/>
      <c r="L62" s="31"/>
      <c r="M62" s="31"/>
      <c r="N62" s="31"/>
      <c r="O62" s="31"/>
      <c r="P62" s="31"/>
    </row>
    <row r="63" ht="14.5" customHeight="1" spans="1:16">
      <c r="A63" s="26"/>
      <c r="B63" s="21"/>
      <c r="C63" s="10" t="s">
        <v>2151</v>
      </c>
      <c r="D63" s="12" t="s">
        <v>2152</v>
      </c>
      <c r="E63" s="34"/>
      <c r="F63" s="34"/>
      <c r="G63" s="34"/>
      <c r="H63" s="34"/>
      <c r="I63" s="34"/>
      <c r="J63" s="31"/>
      <c r="K63" s="31"/>
      <c r="L63" s="31"/>
      <c r="M63" s="31"/>
      <c r="N63" s="31"/>
      <c r="O63" s="31"/>
      <c r="P63" s="31"/>
    </row>
    <row r="64" ht="14.5" customHeight="1" spans="1:16">
      <c r="A64" s="2"/>
      <c r="B64" s="29" t="s">
        <v>2153</v>
      </c>
      <c r="C64" s="3" t="s">
        <v>2154</v>
      </c>
      <c r="D64" s="30" t="s">
        <v>2155</v>
      </c>
      <c r="E64" s="39"/>
      <c r="F64" s="39"/>
      <c r="G64" s="39"/>
      <c r="H64" s="39"/>
      <c r="I64" s="39"/>
      <c r="J64" s="47"/>
      <c r="K64" s="31"/>
      <c r="L64" s="31"/>
      <c r="M64" s="31"/>
      <c r="N64" s="31"/>
      <c r="O64" s="31"/>
      <c r="P64" s="31"/>
    </row>
    <row r="65" ht="14.5" customHeight="1" spans="1:16">
      <c r="A65" s="2"/>
      <c r="B65" s="51"/>
      <c r="C65" s="10" t="s">
        <v>2156</v>
      </c>
      <c r="D65" s="12" t="s">
        <v>2157</v>
      </c>
      <c r="E65" s="34"/>
      <c r="F65" s="34"/>
      <c r="G65" s="34"/>
      <c r="H65" s="34"/>
      <c r="I65" s="34"/>
      <c r="J65" s="31"/>
      <c r="K65" s="31"/>
      <c r="L65" s="31"/>
      <c r="M65" s="31"/>
      <c r="N65" s="31"/>
      <c r="O65" s="31"/>
      <c r="P65" s="31"/>
    </row>
    <row r="66" ht="14.5" customHeight="1" spans="1:16">
      <c r="A66" s="2"/>
      <c r="B66" s="51"/>
      <c r="C66" s="3" t="s">
        <v>2158</v>
      </c>
      <c r="D66" s="13" t="s">
        <v>2159</v>
      </c>
      <c r="E66" s="35"/>
      <c r="F66" s="35"/>
      <c r="G66" s="35"/>
      <c r="H66" s="35"/>
      <c r="I66" s="35"/>
      <c r="J66" s="31"/>
      <c r="K66" s="31"/>
      <c r="L66" s="31"/>
      <c r="M66" s="31"/>
      <c r="N66" s="31"/>
      <c r="O66" s="31"/>
      <c r="P66" s="31"/>
    </row>
    <row r="67" ht="14.5" customHeight="1" spans="1:16">
      <c r="A67" s="2"/>
      <c r="B67" s="51"/>
      <c r="C67" s="3" t="s">
        <v>2160</v>
      </c>
      <c r="D67" s="3" t="s">
        <v>2118</v>
      </c>
      <c r="E67" s="31"/>
      <c r="F67" s="31"/>
      <c r="G67" s="31"/>
      <c r="H67" s="31"/>
      <c r="I67" s="31"/>
      <c r="J67" s="31"/>
      <c r="K67" s="31"/>
      <c r="L67" s="31"/>
      <c r="M67" s="31"/>
      <c r="N67" s="31"/>
      <c r="O67" s="31"/>
      <c r="P67" s="31"/>
    </row>
    <row r="68" ht="14.5" customHeight="1" spans="1:16">
      <c r="A68" s="2"/>
      <c r="B68" s="51"/>
      <c r="C68" s="3" t="s">
        <v>2161</v>
      </c>
      <c r="D68" s="9" t="s">
        <v>2162</v>
      </c>
      <c r="E68" s="33"/>
      <c r="F68" s="33"/>
      <c r="G68" s="33"/>
      <c r="H68" s="33"/>
      <c r="I68" s="33"/>
      <c r="J68" s="47"/>
      <c r="K68" s="31"/>
      <c r="L68" s="31"/>
      <c r="M68" s="31"/>
      <c r="N68" s="31"/>
      <c r="O68" s="31"/>
      <c r="P68" s="31"/>
    </row>
    <row r="69" ht="14.5" customHeight="1" spans="1:16">
      <c r="A69" s="2"/>
      <c r="B69" s="51"/>
      <c r="C69" s="10" t="s">
        <v>1436</v>
      </c>
      <c r="D69" s="12" t="s">
        <v>2163</v>
      </c>
      <c r="E69" s="34"/>
      <c r="F69" s="34"/>
      <c r="G69" s="34"/>
      <c r="H69" s="34"/>
      <c r="I69" s="34"/>
      <c r="J69" s="47"/>
      <c r="K69" s="31"/>
      <c r="L69" s="31"/>
      <c r="M69" s="31"/>
      <c r="N69" s="31"/>
      <c r="O69" s="31"/>
      <c r="P69" s="31"/>
    </row>
    <row r="70" ht="14.5" customHeight="1" spans="1:16">
      <c r="A70" s="2"/>
      <c r="B70" s="51"/>
      <c r="C70" s="10" t="s">
        <v>2164</v>
      </c>
      <c r="D70" s="12" t="s">
        <v>2165</v>
      </c>
      <c r="E70" s="34"/>
      <c r="F70" s="34"/>
      <c r="G70" s="34"/>
      <c r="H70" s="34"/>
      <c r="I70" s="34"/>
      <c r="J70" s="47"/>
      <c r="K70" s="31"/>
      <c r="L70" s="31"/>
      <c r="M70" s="31"/>
      <c r="N70" s="31"/>
      <c r="O70" s="31"/>
      <c r="P70" s="31"/>
    </row>
    <row r="71" ht="14.5" customHeight="1" spans="1:16">
      <c r="A71" s="2"/>
      <c r="B71" s="51"/>
      <c r="C71" s="52" t="s">
        <v>2166</v>
      </c>
      <c r="D71" s="53" t="s">
        <v>2167</v>
      </c>
      <c r="E71" s="34"/>
      <c r="F71" s="34"/>
      <c r="G71" s="34"/>
      <c r="H71" s="34"/>
      <c r="I71" s="34"/>
      <c r="J71" s="47"/>
      <c r="K71" s="31"/>
      <c r="L71" s="31"/>
      <c r="M71" s="31"/>
      <c r="N71" s="31"/>
      <c r="O71" s="31"/>
      <c r="P71" s="31"/>
    </row>
    <row r="72" ht="14.5" customHeight="1" spans="1:16">
      <c r="A72" s="2"/>
      <c r="B72" s="51"/>
      <c r="C72" s="10" t="s">
        <v>2077</v>
      </c>
      <c r="D72" s="12" t="s">
        <v>2168</v>
      </c>
      <c r="E72" s="34"/>
      <c r="F72" s="34"/>
      <c r="G72" s="34"/>
      <c r="H72" s="34"/>
      <c r="I72" s="34"/>
      <c r="J72" s="31"/>
      <c r="K72" s="31"/>
      <c r="L72" s="31"/>
      <c r="M72" s="31"/>
      <c r="N72" s="31"/>
      <c r="O72" s="31"/>
      <c r="P72" s="31"/>
    </row>
    <row r="73" ht="14.5" customHeight="1" spans="1:16">
      <c r="A73" s="2"/>
      <c r="B73" s="54"/>
      <c r="C73" s="3" t="s">
        <v>2169</v>
      </c>
      <c r="D73" s="13" t="s">
        <v>2170</v>
      </c>
      <c r="E73" s="35"/>
      <c r="F73" s="35"/>
      <c r="G73" s="35"/>
      <c r="H73" s="35"/>
      <c r="I73" s="35"/>
      <c r="J73" s="31"/>
      <c r="K73" s="31"/>
      <c r="L73" s="31"/>
      <c r="M73" s="31"/>
      <c r="N73" s="31"/>
      <c r="O73" s="31"/>
      <c r="P73" s="31"/>
    </row>
    <row r="74" ht="14.5" customHeight="1" spans="1:16">
      <c r="A74" s="2"/>
      <c r="B74" s="22" t="s">
        <v>2171</v>
      </c>
      <c r="C74" s="3" t="s">
        <v>2172</v>
      </c>
      <c r="D74" s="3" t="s">
        <v>2173</v>
      </c>
      <c r="E74" s="31"/>
      <c r="F74" s="31"/>
      <c r="G74" s="31"/>
      <c r="H74" s="31"/>
      <c r="I74" s="31"/>
      <c r="J74" s="31"/>
      <c r="K74" s="31"/>
      <c r="L74" s="31"/>
      <c r="M74" s="31"/>
      <c r="N74" s="31"/>
      <c r="O74" s="31"/>
      <c r="P74" s="31"/>
    </row>
    <row r="75" ht="14.5" customHeight="1" spans="1:16">
      <c r="A75" s="2"/>
      <c r="B75" s="2"/>
      <c r="C75" s="3" t="s">
        <v>2174</v>
      </c>
      <c r="D75" s="3" t="s">
        <v>2175</v>
      </c>
      <c r="E75" s="31"/>
      <c r="F75" s="31"/>
      <c r="G75" s="31"/>
      <c r="H75" s="31"/>
      <c r="I75" s="31"/>
      <c r="J75" s="31"/>
      <c r="K75" s="31"/>
      <c r="L75" s="31"/>
      <c r="M75" s="31"/>
      <c r="N75" s="31"/>
      <c r="O75" s="31"/>
      <c r="P75" s="31"/>
    </row>
    <row r="76" ht="14.5" customHeight="1" spans="1:16">
      <c r="A76" s="2"/>
      <c r="B76" s="2"/>
      <c r="C76" s="3" t="s">
        <v>2176</v>
      </c>
      <c r="D76" s="3" t="s">
        <v>2177</v>
      </c>
      <c r="E76" s="31"/>
      <c r="F76" s="31"/>
      <c r="G76" s="31"/>
      <c r="H76" s="31"/>
      <c r="I76" s="31"/>
      <c r="J76" s="31"/>
      <c r="K76" s="31"/>
      <c r="L76" s="31"/>
      <c r="M76" s="31"/>
      <c r="N76" s="31"/>
      <c r="O76" s="31"/>
      <c r="P76" s="31"/>
    </row>
    <row r="77" ht="14.5" customHeight="1" spans="1:16">
      <c r="A77" s="2"/>
      <c r="B77" s="2"/>
      <c r="C77" s="3" t="s">
        <v>2178</v>
      </c>
      <c r="D77" s="3" t="s">
        <v>2179</v>
      </c>
      <c r="E77" s="31"/>
      <c r="F77" s="31"/>
      <c r="G77" s="31"/>
      <c r="H77" s="31"/>
      <c r="I77" s="31"/>
      <c r="J77" s="31"/>
      <c r="K77" s="31"/>
      <c r="L77" s="31"/>
      <c r="M77" s="31"/>
      <c r="N77" s="31"/>
      <c r="O77" s="31"/>
      <c r="P77" s="31"/>
    </row>
    <row r="78" ht="14.5" customHeight="1" spans="1:16">
      <c r="A78" s="2"/>
      <c r="B78" s="2"/>
      <c r="C78" s="3" t="s">
        <v>2180</v>
      </c>
      <c r="D78" s="3" t="s">
        <v>2181</v>
      </c>
      <c r="E78" s="31"/>
      <c r="F78" s="31"/>
      <c r="G78" s="31"/>
      <c r="H78" s="31"/>
      <c r="I78" s="31"/>
      <c r="J78" s="31"/>
      <c r="K78" s="31"/>
      <c r="L78" s="31"/>
      <c r="M78" s="31"/>
      <c r="N78" s="31"/>
      <c r="O78" s="31"/>
      <c r="P78" s="31"/>
    </row>
    <row r="79" ht="14.5" customHeight="1" spans="1:16">
      <c r="A79" s="2"/>
      <c r="B79" s="2"/>
      <c r="C79" s="3" t="s">
        <v>2182</v>
      </c>
      <c r="D79" s="3" t="s">
        <v>2183</v>
      </c>
      <c r="E79" s="31"/>
      <c r="F79" s="31"/>
      <c r="G79" s="31"/>
      <c r="H79" s="31"/>
      <c r="I79" s="31"/>
      <c r="J79" s="31"/>
      <c r="K79" s="31"/>
      <c r="L79" s="31"/>
      <c r="M79" s="31"/>
      <c r="N79" s="31"/>
      <c r="O79" s="31"/>
      <c r="P79" s="31"/>
    </row>
    <row r="80" ht="14.5" customHeight="1" spans="1:16">
      <c r="A80" s="2"/>
      <c r="B80" s="2"/>
      <c r="C80" s="3" t="s">
        <v>2184</v>
      </c>
      <c r="D80" s="3" t="s">
        <v>2185</v>
      </c>
      <c r="E80" s="31"/>
      <c r="F80" s="31"/>
      <c r="G80" s="31"/>
      <c r="H80" s="31"/>
      <c r="I80" s="31"/>
      <c r="J80" s="31"/>
      <c r="K80" s="31"/>
      <c r="L80" s="31"/>
      <c r="M80" s="31"/>
      <c r="N80" s="31"/>
      <c r="O80" s="31"/>
      <c r="P80" s="31"/>
    </row>
    <row r="81" ht="14.5" customHeight="1" spans="1:16">
      <c r="A81" s="2"/>
      <c r="B81" s="2"/>
      <c r="C81" s="3" t="s">
        <v>2186</v>
      </c>
      <c r="D81" s="3" t="s">
        <v>2185</v>
      </c>
      <c r="E81" s="31"/>
      <c r="F81" s="31"/>
      <c r="G81" s="31"/>
      <c r="H81" s="31"/>
      <c r="I81" s="31"/>
      <c r="J81" s="31"/>
      <c r="K81" s="31"/>
      <c r="L81" s="31"/>
      <c r="M81" s="31"/>
      <c r="N81" s="31"/>
      <c r="O81" s="31"/>
      <c r="P81" s="31"/>
    </row>
    <row r="82" ht="14.5" customHeight="1" spans="1:16">
      <c r="A82" s="2"/>
      <c r="B82" s="2"/>
      <c r="C82" s="3" t="s">
        <v>2187</v>
      </c>
      <c r="D82" s="3" t="s">
        <v>2185</v>
      </c>
      <c r="E82" s="31"/>
      <c r="F82" s="31"/>
      <c r="G82" s="31"/>
      <c r="H82" s="31"/>
      <c r="I82" s="31"/>
      <c r="J82" s="31"/>
      <c r="K82" s="31"/>
      <c r="L82" s="31"/>
      <c r="M82" s="31"/>
      <c r="N82" s="31"/>
      <c r="O82" s="31"/>
      <c r="P82" s="31"/>
    </row>
    <row r="83" ht="14.5" customHeight="1" spans="1:16">
      <c r="A83" s="2"/>
      <c r="B83" s="2"/>
      <c r="C83" s="3" t="s">
        <v>2188</v>
      </c>
      <c r="D83" s="3" t="s">
        <v>2185</v>
      </c>
      <c r="E83" s="31"/>
      <c r="F83" s="31"/>
      <c r="G83" s="31"/>
      <c r="H83" s="31"/>
      <c r="I83" s="31"/>
      <c r="J83" s="31"/>
      <c r="K83" s="31"/>
      <c r="L83" s="31"/>
      <c r="M83" s="31"/>
      <c r="N83" s="31"/>
      <c r="O83" s="31"/>
      <c r="P83" s="31"/>
    </row>
    <row r="84" ht="14.5" customHeight="1" spans="1:16">
      <c r="A84" s="2"/>
      <c r="B84" s="2"/>
      <c r="C84" s="3" t="s">
        <v>2189</v>
      </c>
      <c r="D84" s="3" t="s">
        <v>2190</v>
      </c>
      <c r="E84" s="31"/>
      <c r="F84" s="31"/>
      <c r="G84" s="31"/>
      <c r="H84" s="31"/>
      <c r="I84" s="31"/>
      <c r="J84" s="31"/>
      <c r="K84" s="31"/>
      <c r="L84" s="31"/>
      <c r="M84" s="31"/>
      <c r="N84" s="31"/>
      <c r="O84" s="31"/>
      <c r="P84" s="31"/>
    </row>
    <row r="85" ht="14.5" customHeight="1" spans="1:16">
      <c r="A85" s="2"/>
      <c r="B85" s="2"/>
      <c r="C85" s="3" t="s">
        <v>2191</v>
      </c>
      <c r="D85" s="3" t="s">
        <v>2192</v>
      </c>
      <c r="E85" s="31"/>
      <c r="F85" s="31"/>
      <c r="G85" s="31"/>
      <c r="H85" s="31"/>
      <c r="I85" s="31"/>
      <c r="J85" s="31"/>
      <c r="K85" s="31"/>
      <c r="L85" s="31"/>
      <c r="M85" s="31"/>
      <c r="N85" s="31"/>
      <c r="O85" s="31"/>
      <c r="P85" s="31"/>
    </row>
    <row r="86" ht="14.5" customHeight="1" spans="1:16">
      <c r="A86" s="2"/>
      <c r="B86" s="2"/>
      <c r="C86" s="3" t="s">
        <v>2193</v>
      </c>
      <c r="D86" s="3" t="s">
        <v>2194</v>
      </c>
      <c r="E86" s="31"/>
      <c r="F86" s="31"/>
      <c r="G86" s="31"/>
      <c r="H86" s="31"/>
      <c r="I86" s="31"/>
      <c r="J86" s="31"/>
      <c r="K86" s="31"/>
      <c r="L86" s="31"/>
      <c r="M86" s="31"/>
      <c r="N86" s="31"/>
      <c r="O86" s="31"/>
      <c r="P86" s="31"/>
    </row>
    <row r="87" ht="14.5" customHeight="1" spans="1:16">
      <c r="A87" s="2"/>
      <c r="B87" s="2"/>
      <c r="C87" s="3" t="s">
        <v>2195</v>
      </c>
      <c r="D87" s="3" t="s">
        <v>2196</v>
      </c>
      <c r="E87" s="31"/>
      <c r="F87" s="31"/>
      <c r="G87" s="31"/>
      <c r="H87" s="31"/>
      <c r="I87" s="31"/>
      <c r="J87" s="31"/>
      <c r="K87" s="31"/>
      <c r="L87" s="31"/>
      <c r="M87" s="31"/>
      <c r="N87" s="31"/>
      <c r="O87" s="31"/>
      <c r="P87" s="31"/>
    </row>
    <row r="88" ht="14.5" customHeight="1" spans="1:16">
      <c r="A88" s="2"/>
      <c r="B88" s="2"/>
      <c r="C88" s="3" t="s">
        <v>2197</v>
      </c>
      <c r="D88" s="3" t="s">
        <v>2198</v>
      </c>
      <c r="E88" s="31"/>
      <c r="F88" s="31"/>
      <c r="G88" s="31"/>
      <c r="H88" s="31"/>
      <c r="I88" s="31"/>
      <c r="J88" s="31"/>
      <c r="K88" s="31"/>
      <c r="L88" s="31"/>
      <c r="M88" s="31"/>
      <c r="N88" s="31"/>
      <c r="O88" s="31"/>
      <c r="P88" s="31"/>
    </row>
    <row r="89" ht="14.5" customHeight="1" spans="1:16">
      <c r="A89" s="2"/>
      <c r="B89" s="22" t="s">
        <v>2199</v>
      </c>
      <c r="C89" s="3" t="s">
        <v>2200</v>
      </c>
      <c r="D89" s="3" t="s">
        <v>2201</v>
      </c>
      <c r="E89" s="31"/>
      <c r="F89" s="31"/>
      <c r="G89" s="31"/>
      <c r="H89" s="31"/>
      <c r="I89" s="31"/>
      <c r="J89" s="31"/>
      <c r="K89" s="31"/>
      <c r="L89" s="31"/>
      <c r="M89" s="31"/>
      <c r="N89" s="31"/>
      <c r="O89" s="31"/>
      <c r="P89" s="31"/>
    </row>
    <row r="90" ht="14.5" customHeight="1" spans="1:16">
      <c r="A90" s="2"/>
      <c r="B90" s="2"/>
      <c r="C90" s="3" t="s">
        <v>23</v>
      </c>
      <c r="D90" s="3" t="s">
        <v>2202</v>
      </c>
      <c r="E90" s="31"/>
      <c r="F90" s="31"/>
      <c r="G90" s="31"/>
      <c r="H90" s="31"/>
      <c r="I90" s="31"/>
      <c r="J90" s="31"/>
      <c r="K90" s="31"/>
      <c r="L90" s="31"/>
      <c r="M90" s="31"/>
      <c r="N90" s="31"/>
      <c r="O90" s="31"/>
      <c r="P90" s="31"/>
    </row>
    <row r="91" ht="14.5" customHeight="1" spans="1:16">
      <c r="A91" s="2"/>
      <c r="B91" s="2"/>
      <c r="C91" s="3" t="s">
        <v>2131</v>
      </c>
      <c r="D91" s="3" t="s">
        <v>2203</v>
      </c>
      <c r="E91" s="31"/>
      <c r="F91" s="31"/>
      <c r="G91" s="31"/>
      <c r="H91" s="31"/>
      <c r="I91" s="31"/>
      <c r="J91" s="31"/>
      <c r="K91" s="31"/>
      <c r="L91" s="31"/>
      <c r="M91" s="31"/>
      <c r="N91" s="31"/>
      <c r="O91" s="31"/>
      <c r="P91" s="31"/>
    </row>
    <row r="92" ht="14.5" customHeight="1" spans="1:16">
      <c r="A92" s="2"/>
      <c r="B92" s="2"/>
      <c r="C92" s="3" t="s">
        <v>2204</v>
      </c>
      <c r="D92" s="3" t="s">
        <v>2205</v>
      </c>
      <c r="E92" s="31"/>
      <c r="F92" s="31"/>
      <c r="G92" s="31"/>
      <c r="H92" s="31"/>
      <c r="I92" s="31"/>
      <c r="J92" s="31"/>
      <c r="K92" s="31"/>
      <c r="L92" s="31"/>
      <c r="M92" s="31"/>
      <c r="N92" s="31"/>
      <c r="O92" s="31"/>
      <c r="P92" s="31"/>
    </row>
    <row r="93" ht="14.5" customHeight="1" spans="1:16">
      <c r="A93" s="2"/>
      <c r="B93" s="2"/>
      <c r="C93" s="3" t="s">
        <v>2206</v>
      </c>
      <c r="D93" s="3" t="s">
        <v>2207</v>
      </c>
      <c r="E93" s="31"/>
      <c r="F93" s="31"/>
      <c r="G93" s="31"/>
      <c r="H93" s="31"/>
      <c r="I93" s="31"/>
      <c r="J93" s="31"/>
      <c r="K93" s="31"/>
      <c r="L93" s="31"/>
      <c r="M93" s="31"/>
      <c r="N93" s="31"/>
      <c r="O93" s="31"/>
      <c r="P93" s="31"/>
    </row>
    <row r="94" ht="14.5" customHeight="1" spans="1:16">
      <c r="A94" s="2"/>
      <c r="B94" s="2"/>
      <c r="C94" s="3" t="s">
        <v>2208</v>
      </c>
      <c r="D94" s="3" t="s">
        <v>2209</v>
      </c>
      <c r="E94" s="31"/>
      <c r="F94" s="31"/>
      <c r="G94" s="31"/>
      <c r="H94" s="31"/>
      <c r="I94" s="31"/>
      <c r="J94" s="31"/>
      <c r="K94" s="31"/>
      <c r="L94" s="31"/>
      <c r="M94" s="31"/>
      <c r="N94" s="31"/>
      <c r="O94" s="31"/>
      <c r="P94" s="31"/>
    </row>
    <row r="95" ht="15.5" customHeight="1" spans="1:16">
      <c r="A95" s="2"/>
      <c r="B95" s="22" t="s">
        <v>107</v>
      </c>
      <c r="C95" s="3" t="s">
        <v>490</v>
      </c>
      <c r="D95" s="3" t="s">
        <v>2210</v>
      </c>
      <c r="E95" s="31"/>
      <c r="F95" s="31"/>
      <c r="G95" s="31"/>
      <c r="H95" s="31"/>
      <c r="I95" s="31"/>
      <c r="J95" s="31"/>
      <c r="K95" s="31"/>
      <c r="L95" s="31"/>
      <c r="M95" s="31"/>
      <c r="N95" s="31"/>
      <c r="O95" s="31"/>
      <c r="P95" s="31"/>
    </row>
    <row r="96" ht="15.5" customHeight="1" spans="1:16">
      <c r="A96" s="2"/>
      <c r="B96" s="2"/>
      <c r="C96" s="3" t="s">
        <v>411</v>
      </c>
      <c r="D96" s="3" t="s">
        <v>2211</v>
      </c>
      <c r="E96" s="31"/>
      <c r="F96" s="31"/>
      <c r="G96" s="31"/>
      <c r="H96" s="31"/>
      <c r="I96" s="31"/>
      <c r="J96" s="31"/>
      <c r="K96" s="31"/>
      <c r="L96" s="31"/>
      <c r="M96" s="31"/>
      <c r="N96" s="31"/>
      <c r="O96" s="31"/>
      <c r="P96" s="31"/>
    </row>
    <row r="97" ht="14.5" customHeight="1" spans="1:16">
      <c r="A97" s="2"/>
      <c r="B97" s="2"/>
      <c r="C97" s="3" t="s">
        <v>337</v>
      </c>
      <c r="D97" s="3" t="s">
        <v>2211</v>
      </c>
      <c r="E97" s="31"/>
      <c r="F97" s="31"/>
      <c r="G97" s="31"/>
      <c r="H97" s="31"/>
      <c r="I97" s="31"/>
      <c r="J97" s="31"/>
      <c r="K97" s="31"/>
      <c r="L97" s="31"/>
      <c r="M97" s="31"/>
      <c r="N97" s="31"/>
      <c r="O97" s="31"/>
      <c r="P97" s="31"/>
    </row>
    <row r="98" ht="14.5" customHeight="1" spans="1:16">
      <c r="A98" s="2"/>
      <c r="B98" s="2"/>
      <c r="C98" s="3" t="s">
        <v>220</v>
      </c>
      <c r="D98" s="3" t="s">
        <v>2212</v>
      </c>
      <c r="E98" s="31"/>
      <c r="F98" s="31"/>
      <c r="G98" s="31"/>
      <c r="H98" s="31"/>
      <c r="I98" s="31"/>
      <c r="J98" s="31"/>
      <c r="K98" s="31"/>
      <c r="L98" s="31"/>
      <c r="M98" s="31"/>
      <c r="N98" s="31"/>
      <c r="O98" s="31"/>
      <c r="P98" s="31"/>
    </row>
    <row r="99" ht="14.5" customHeight="1" spans="1:16">
      <c r="A99" s="2"/>
      <c r="B99" s="2"/>
      <c r="C99" s="3" t="s">
        <v>215</v>
      </c>
      <c r="D99" s="55" t="s">
        <v>2213</v>
      </c>
      <c r="E99" s="31"/>
      <c r="F99" s="31"/>
      <c r="G99" s="31"/>
      <c r="H99" s="31"/>
      <c r="I99" s="31"/>
      <c r="J99" s="31"/>
      <c r="K99" s="31"/>
      <c r="L99" s="31"/>
      <c r="M99" s="31"/>
      <c r="N99" s="31"/>
      <c r="O99" s="31"/>
      <c r="P99" s="31"/>
    </row>
    <row r="100" ht="14.5" customHeight="1" spans="1:16">
      <c r="A100" s="2"/>
      <c r="B100" s="2"/>
      <c r="C100" s="3" t="s">
        <v>184</v>
      </c>
      <c r="D100" s="9" t="s">
        <v>2214</v>
      </c>
      <c r="E100" s="33"/>
      <c r="F100" s="33"/>
      <c r="G100" s="33"/>
      <c r="H100" s="33"/>
      <c r="I100" s="33"/>
      <c r="J100" s="47"/>
      <c r="K100" s="31"/>
      <c r="L100" s="31"/>
      <c r="M100" s="31"/>
      <c r="N100" s="31"/>
      <c r="O100" s="31"/>
      <c r="P100" s="31"/>
    </row>
    <row r="101" ht="14.5" customHeight="1" spans="1:16">
      <c r="A101" s="2"/>
      <c r="B101" s="2"/>
      <c r="C101" s="25" t="s">
        <v>606</v>
      </c>
      <c r="D101" s="12" t="s">
        <v>2215</v>
      </c>
      <c r="E101" s="34"/>
      <c r="F101" s="34"/>
      <c r="G101" s="34"/>
      <c r="H101" s="34"/>
      <c r="I101" s="34"/>
      <c r="J101" s="31"/>
      <c r="K101" s="31"/>
      <c r="L101" s="31"/>
      <c r="M101" s="31"/>
      <c r="N101" s="31"/>
      <c r="O101" s="31"/>
      <c r="P101" s="31"/>
    </row>
    <row r="102" ht="14.5" customHeight="1" spans="1:16">
      <c r="A102" s="2"/>
      <c r="B102" s="2"/>
      <c r="C102" s="3" t="s">
        <v>223</v>
      </c>
      <c r="D102" s="30" t="s">
        <v>2216</v>
      </c>
      <c r="E102" s="39"/>
      <c r="F102" s="39"/>
      <c r="G102" s="39"/>
      <c r="H102" s="39"/>
      <c r="I102" s="39"/>
      <c r="J102" s="47"/>
      <c r="K102" s="31"/>
      <c r="L102" s="31"/>
      <c r="M102" s="31"/>
      <c r="N102" s="31"/>
      <c r="O102" s="31"/>
      <c r="P102" s="31"/>
    </row>
    <row r="103" ht="14.5" customHeight="1" spans="1:16">
      <c r="A103" s="2"/>
      <c r="B103" s="2"/>
      <c r="C103" s="10" t="s">
        <v>141</v>
      </c>
      <c r="D103" s="12" t="s">
        <v>2217</v>
      </c>
      <c r="E103" s="34"/>
      <c r="F103" s="34"/>
      <c r="G103" s="34"/>
      <c r="H103" s="34"/>
      <c r="I103" s="34"/>
      <c r="J103" s="31"/>
      <c r="K103" s="31"/>
      <c r="L103" s="31"/>
      <c r="M103" s="31"/>
      <c r="N103" s="31"/>
      <c r="O103" s="31"/>
      <c r="P103" s="31"/>
    </row>
    <row r="104" ht="14.5" customHeight="1" spans="1:16">
      <c r="A104" s="2"/>
      <c r="B104" s="2"/>
      <c r="C104" s="3" t="s">
        <v>801</v>
      </c>
      <c r="D104" s="13" t="s">
        <v>2218</v>
      </c>
      <c r="E104" s="35"/>
      <c r="F104" s="35"/>
      <c r="G104" s="35"/>
      <c r="H104" s="35"/>
      <c r="I104" s="35"/>
      <c r="J104" s="31"/>
      <c r="K104" s="31"/>
      <c r="L104" s="31"/>
      <c r="M104" s="31"/>
      <c r="N104" s="31"/>
      <c r="O104" s="31"/>
      <c r="P104" s="31"/>
    </row>
    <row r="105" ht="14.5" customHeight="1" spans="1:16">
      <c r="A105" s="2"/>
      <c r="B105" s="2"/>
      <c r="C105" s="3" t="s">
        <v>318</v>
      </c>
      <c r="D105" s="3" t="s">
        <v>2219</v>
      </c>
      <c r="E105" s="31"/>
      <c r="F105" s="31"/>
      <c r="G105" s="31"/>
      <c r="H105" s="31"/>
      <c r="I105" s="31"/>
      <c r="J105" s="31"/>
      <c r="K105" s="31"/>
      <c r="L105" s="31"/>
      <c r="M105" s="31"/>
      <c r="N105" s="31"/>
      <c r="O105" s="31"/>
      <c r="P105" s="31"/>
    </row>
    <row r="106" ht="14.5" customHeight="1" spans="1:16">
      <c r="A106" s="2"/>
      <c r="B106" s="2"/>
      <c r="C106" s="3" t="s">
        <v>2220</v>
      </c>
      <c r="D106" s="9" t="s">
        <v>2221</v>
      </c>
      <c r="E106" s="33"/>
      <c r="F106" s="33"/>
      <c r="G106" s="33"/>
      <c r="H106" s="33"/>
      <c r="I106" s="33"/>
      <c r="J106" s="47"/>
      <c r="K106" s="31"/>
      <c r="L106" s="31"/>
      <c r="M106" s="31"/>
      <c r="N106" s="31"/>
      <c r="O106" s="31"/>
      <c r="P106" s="31"/>
    </row>
    <row r="107" ht="14.5" customHeight="1" spans="1:16">
      <c r="A107" s="2"/>
      <c r="B107" s="2"/>
      <c r="C107" s="10" t="s">
        <v>226</v>
      </c>
      <c r="D107" s="12" t="s">
        <v>2222</v>
      </c>
      <c r="E107" s="34"/>
      <c r="F107" s="34"/>
      <c r="G107" s="34"/>
      <c r="H107" s="34"/>
      <c r="I107" s="34"/>
      <c r="J107" s="31"/>
      <c r="K107" s="31"/>
      <c r="L107" s="31"/>
      <c r="M107" s="31"/>
      <c r="N107" s="31"/>
      <c r="O107" s="31"/>
      <c r="P107" s="31"/>
    </row>
    <row r="108" ht="14.5" customHeight="1" spans="1:16">
      <c r="A108" s="2"/>
      <c r="B108" s="2"/>
      <c r="C108" s="56" t="s">
        <v>2223</v>
      </c>
      <c r="D108" s="57" t="s">
        <v>2224</v>
      </c>
      <c r="E108" s="59"/>
      <c r="F108" s="59"/>
      <c r="G108" s="59"/>
      <c r="H108" s="59"/>
      <c r="I108" s="59"/>
      <c r="J108" s="31"/>
      <c r="K108" s="31"/>
      <c r="L108" s="31"/>
      <c r="M108" s="31"/>
      <c r="N108" s="31"/>
      <c r="O108" s="31"/>
      <c r="P108" s="31"/>
    </row>
    <row r="109" ht="14.5" customHeight="1" spans="1:16">
      <c r="A109" s="2"/>
      <c r="B109" s="2"/>
      <c r="C109" s="56" t="s">
        <v>239</v>
      </c>
      <c r="D109" s="58" t="s">
        <v>2225</v>
      </c>
      <c r="E109" s="60"/>
      <c r="F109" s="61"/>
      <c r="G109" s="61"/>
      <c r="H109" s="61"/>
      <c r="I109" s="61"/>
      <c r="J109" s="31"/>
      <c r="K109" s="31"/>
      <c r="L109" s="31"/>
      <c r="M109" s="31"/>
      <c r="N109" s="31"/>
      <c r="O109" s="31"/>
      <c r="P109" s="31"/>
    </row>
    <row r="110" ht="15.5" customHeight="1" spans="1:16">
      <c r="A110" s="2"/>
      <c r="B110" s="22" t="s">
        <v>2226</v>
      </c>
      <c r="C110" s="3" t="s">
        <v>2227</v>
      </c>
      <c r="D110" s="3" t="s">
        <v>2228</v>
      </c>
      <c r="E110" s="62"/>
      <c r="F110" s="62"/>
      <c r="G110" s="62"/>
      <c r="H110" s="62"/>
      <c r="I110" s="62"/>
      <c r="J110" s="31"/>
      <c r="K110" s="31"/>
      <c r="L110" s="31"/>
      <c r="M110" s="31"/>
      <c r="N110" s="31"/>
      <c r="O110" s="31"/>
      <c r="P110" s="31"/>
    </row>
    <row r="111" ht="14.5" customHeight="1" spans="1:16">
      <c r="A111" s="2"/>
      <c r="B111" s="2"/>
      <c r="C111" s="3" t="s">
        <v>2229</v>
      </c>
      <c r="D111" s="3" t="s">
        <v>2230</v>
      </c>
      <c r="E111" s="31"/>
      <c r="F111" s="31"/>
      <c r="G111" s="31"/>
      <c r="H111" s="31"/>
      <c r="I111" s="31"/>
      <c r="J111" s="31"/>
      <c r="K111" s="31"/>
      <c r="L111" s="31"/>
      <c r="M111" s="31"/>
      <c r="N111" s="31"/>
      <c r="O111" s="31"/>
      <c r="P111" s="31"/>
    </row>
    <row r="112" ht="14.5" customHeight="1" spans="1:16">
      <c r="A112" s="2"/>
      <c r="B112" s="2"/>
      <c r="C112" s="3" t="s">
        <v>2231</v>
      </c>
      <c r="D112" s="3" t="s">
        <v>2232</v>
      </c>
      <c r="E112" s="31"/>
      <c r="F112" s="31"/>
      <c r="G112" s="31"/>
      <c r="H112" s="31"/>
      <c r="I112" s="31"/>
      <c r="J112" s="31"/>
      <c r="K112" s="31"/>
      <c r="L112" s="31"/>
      <c r="M112" s="31"/>
      <c r="N112" s="31"/>
      <c r="O112" s="31"/>
      <c r="P112" s="31"/>
    </row>
    <row r="113" ht="14.5" customHeight="1" spans="1:16">
      <c r="A113" s="2"/>
      <c r="B113" s="2"/>
      <c r="C113" s="3" t="s">
        <v>2233</v>
      </c>
      <c r="D113" s="3" t="s">
        <v>2234</v>
      </c>
      <c r="E113" s="31"/>
      <c r="F113" s="31"/>
      <c r="G113" s="31"/>
      <c r="H113" s="31"/>
      <c r="I113" s="31"/>
      <c r="J113" s="31"/>
      <c r="K113" s="31"/>
      <c r="L113" s="31"/>
      <c r="M113" s="31"/>
      <c r="N113" s="31"/>
      <c r="O113" s="31"/>
      <c r="P113" s="31"/>
    </row>
    <row r="114" ht="14.5" customHeight="1" spans="1:16">
      <c r="A114" s="2"/>
      <c r="B114" s="2"/>
      <c r="C114" s="3" t="s">
        <v>2235</v>
      </c>
      <c r="D114" s="3" t="s">
        <v>2236</v>
      </c>
      <c r="E114" s="31"/>
      <c r="F114" s="31"/>
      <c r="G114" s="31"/>
      <c r="H114" s="31"/>
      <c r="I114" s="31"/>
      <c r="J114" s="31"/>
      <c r="K114" s="31"/>
      <c r="L114" s="31"/>
      <c r="M114" s="31"/>
      <c r="N114" s="31"/>
      <c r="O114" s="31"/>
      <c r="P114" s="31"/>
    </row>
    <row r="115" ht="14.5" customHeight="1" spans="1:16">
      <c r="A115" s="2"/>
      <c r="B115" s="2"/>
      <c r="C115" s="3" t="s">
        <v>2237</v>
      </c>
      <c r="D115" s="9" t="s">
        <v>2238</v>
      </c>
      <c r="E115" s="33"/>
      <c r="F115" s="33"/>
      <c r="G115" s="33"/>
      <c r="H115" s="33"/>
      <c r="I115" s="33"/>
      <c r="J115" s="47"/>
      <c r="K115" s="31"/>
      <c r="L115" s="31"/>
      <c r="M115" s="31"/>
      <c r="N115" s="31"/>
      <c r="O115" s="31"/>
      <c r="P115" s="31"/>
    </row>
    <row r="116" ht="14.5" customHeight="1" spans="1:16">
      <c r="A116" s="2"/>
      <c r="B116" s="2"/>
      <c r="C116" s="10" t="s">
        <v>2239</v>
      </c>
      <c r="D116" s="12" t="s">
        <v>2240</v>
      </c>
      <c r="E116" s="34"/>
      <c r="F116" s="34"/>
      <c r="G116" s="34"/>
      <c r="H116" s="34"/>
      <c r="I116" s="34"/>
      <c r="J116" s="31"/>
      <c r="K116" s="31"/>
      <c r="L116" s="31"/>
      <c r="M116" s="31"/>
      <c r="N116" s="31"/>
      <c r="O116" s="31"/>
      <c r="P116" s="31"/>
    </row>
    <row r="117" ht="14.5" customHeight="1" spans="1:16">
      <c r="A117" s="2"/>
      <c r="B117" s="2"/>
      <c r="C117" s="3" t="s">
        <v>2241</v>
      </c>
      <c r="D117" s="13" t="s">
        <v>2242</v>
      </c>
      <c r="E117" s="35"/>
      <c r="F117" s="35"/>
      <c r="G117" s="35"/>
      <c r="H117" s="35"/>
      <c r="I117" s="35"/>
      <c r="J117" s="31"/>
      <c r="K117" s="31"/>
      <c r="L117" s="31"/>
      <c r="M117" s="31"/>
      <c r="N117" s="31"/>
      <c r="O117" s="31"/>
      <c r="P117" s="31"/>
    </row>
    <row r="118" ht="15.5" customHeight="1" spans="1:16">
      <c r="A118" s="2"/>
      <c r="B118" s="2"/>
      <c r="C118" s="3" t="s">
        <v>2243</v>
      </c>
      <c r="D118" s="3" t="s">
        <v>2244</v>
      </c>
      <c r="E118" s="31"/>
      <c r="F118" s="31"/>
      <c r="G118" s="31"/>
      <c r="H118" s="31"/>
      <c r="I118" s="31"/>
      <c r="J118" s="31"/>
      <c r="K118" s="31"/>
      <c r="L118" s="31"/>
      <c r="M118" s="31"/>
      <c r="N118" s="31"/>
      <c r="O118" s="31"/>
      <c r="P118" s="31"/>
    </row>
    <row r="119" ht="14.5" customHeight="1" spans="1:16">
      <c r="A119" s="2"/>
      <c r="B119" s="2"/>
      <c r="C119" s="31"/>
      <c r="D119" s="31"/>
      <c r="E119" s="31"/>
      <c r="F119" s="31"/>
      <c r="G119" s="31"/>
      <c r="H119" s="31"/>
      <c r="I119" s="31"/>
      <c r="J119" s="31"/>
      <c r="K119" s="31"/>
      <c r="L119" s="31"/>
      <c r="M119" s="31"/>
      <c r="N119" s="31"/>
      <c r="O119" s="31"/>
      <c r="P119" s="31"/>
    </row>
    <row r="120" ht="14.5" customHeight="1" spans="1:16">
      <c r="A120" s="2"/>
      <c r="B120" s="2"/>
      <c r="C120" s="31"/>
      <c r="D120" s="31"/>
      <c r="E120" s="31"/>
      <c r="F120" s="31"/>
      <c r="G120" s="31"/>
      <c r="H120" s="31"/>
      <c r="I120" s="31"/>
      <c r="J120" s="31"/>
      <c r="K120" s="31"/>
      <c r="L120" s="31"/>
      <c r="M120" s="31"/>
      <c r="N120" s="31"/>
      <c r="O120" s="31"/>
      <c r="P120" s="31"/>
    </row>
    <row r="121" ht="14.5" customHeight="1" spans="1:16">
      <c r="A121" s="2"/>
      <c r="B121" s="2"/>
      <c r="C121" s="31"/>
      <c r="D121" s="31"/>
      <c r="E121" s="31"/>
      <c r="F121" s="31"/>
      <c r="G121" s="31"/>
      <c r="H121" s="31"/>
      <c r="I121" s="31"/>
      <c r="J121" s="31"/>
      <c r="K121" s="31"/>
      <c r="L121" s="31"/>
      <c r="M121" s="31"/>
      <c r="N121" s="31"/>
      <c r="O121" s="31"/>
      <c r="P121" s="31"/>
    </row>
    <row r="122" ht="14.5" customHeight="1" spans="1:16">
      <c r="A122" s="2"/>
      <c r="B122" s="2"/>
      <c r="C122" s="31"/>
      <c r="D122" s="31"/>
      <c r="E122" s="31"/>
      <c r="F122" s="31"/>
      <c r="G122" s="31"/>
      <c r="H122" s="31"/>
      <c r="I122" s="31"/>
      <c r="J122" s="31"/>
      <c r="K122" s="31"/>
      <c r="L122" s="31"/>
      <c r="M122" s="31"/>
      <c r="N122" s="31"/>
      <c r="O122" s="31"/>
      <c r="P122" s="31"/>
    </row>
    <row r="123" ht="14.5" customHeight="1" spans="1:16">
      <c r="A123" s="2"/>
      <c r="B123" s="2"/>
      <c r="C123" s="31"/>
      <c r="D123" s="31"/>
      <c r="E123" s="31"/>
      <c r="F123" s="31"/>
      <c r="G123" s="31"/>
      <c r="H123" s="31"/>
      <c r="I123" s="31"/>
      <c r="J123" s="31"/>
      <c r="K123" s="31"/>
      <c r="L123" s="31"/>
      <c r="M123" s="31"/>
      <c r="N123" s="31"/>
      <c r="O123" s="31"/>
      <c r="P123" s="31"/>
    </row>
    <row r="124" ht="14.5" customHeight="1" spans="1:16">
      <c r="A124" s="2"/>
      <c r="B124" s="2"/>
      <c r="C124" s="31"/>
      <c r="D124" s="31"/>
      <c r="E124" s="31"/>
      <c r="F124" s="31"/>
      <c r="G124" s="31"/>
      <c r="H124" s="31"/>
      <c r="I124" s="31"/>
      <c r="J124" s="31"/>
      <c r="K124" s="31"/>
      <c r="L124" s="31"/>
      <c r="M124" s="31"/>
      <c r="N124" s="31"/>
      <c r="O124" s="31"/>
      <c r="P124" s="31"/>
    </row>
    <row r="125" ht="14.5" customHeight="1" spans="1:16">
      <c r="A125" s="2"/>
      <c r="B125" s="2"/>
      <c r="C125" s="31"/>
      <c r="D125" s="31"/>
      <c r="E125" s="31"/>
      <c r="F125" s="31"/>
      <c r="G125" s="31"/>
      <c r="H125" s="31"/>
      <c r="I125" s="31"/>
      <c r="J125" s="31"/>
      <c r="K125" s="31"/>
      <c r="L125" s="31"/>
      <c r="M125" s="31"/>
      <c r="N125" s="31"/>
      <c r="O125" s="31"/>
      <c r="P125" s="31"/>
    </row>
    <row r="126" ht="14.5" customHeight="1" spans="1:16">
      <c r="A126" s="2"/>
      <c r="B126" s="2"/>
      <c r="C126" s="31"/>
      <c r="D126" s="31"/>
      <c r="E126" s="31"/>
      <c r="F126" s="31"/>
      <c r="G126" s="31"/>
      <c r="H126" s="31"/>
      <c r="I126" s="31"/>
      <c r="J126" s="31"/>
      <c r="K126" s="31"/>
      <c r="L126" s="31"/>
      <c r="M126" s="31"/>
      <c r="N126" s="31"/>
      <c r="O126" s="31"/>
      <c r="P126" s="31"/>
    </row>
    <row r="127" ht="14.5" customHeight="1" spans="1:16">
      <c r="A127" s="2"/>
      <c r="B127" s="2"/>
      <c r="C127" s="31"/>
      <c r="D127" s="31"/>
      <c r="E127" s="31"/>
      <c r="F127" s="31"/>
      <c r="G127" s="31"/>
      <c r="H127" s="31"/>
      <c r="I127" s="31"/>
      <c r="J127" s="31"/>
      <c r="K127" s="31"/>
      <c r="L127" s="31"/>
      <c r="M127" s="31"/>
      <c r="N127" s="31"/>
      <c r="O127" s="31"/>
      <c r="P127" s="31"/>
    </row>
    <row r="128" ht="14.5" customHeight="1" spans="1:16">
      <c r="A128" s="2"/>
      <c r="B128" s="2"/>
      <c r="C128" s="31"/>
      <c r="D128" s="31"/>
      <c r="E128" s="31"/>
      <c r="F128" s="31"/>
      <c r="G128" s="31"/>
      <c r="H128" s="31"/>
      <c r="I128" s="31"/>
      <c r="J128" s="31"/>
      <c r="K128" s="31"/>
      <c r="L128" s="31"/>
      <c r="M128" s="31"/>
      <c r="N128" s="31"/>
      <c r="O128" s="31"/>
      <c r="P128" s="31"/>
    </row>
    <row r="129" ht="14.5" customHeight="1" spans="1:16">
      <c r="A129" s="2"/>
      <c r="B129" s="2"/>
      <c r="C129" s="31"/>
      <c r="D129" s="31"/>
      <c r="E129" s="31"/>
      <c r="F129" s="31"/>
      <c r="G129" s="31"/>
      <c r="H129" s="31"/>
      <c r="I129" s="31"/>
      <c r="J129" s="31"/>
      <c r="K129" s="31"/>
      <c r="L129" s="31"/>
      <c r="M129" s="31"/>
      <c r="N129" s="31"/>
      <c r="O129" s="31"/>
      <c r="P129" s="31"/>
    </row>
    <row r="130" ht="14.5" customHeight="1" spans="1:16">
      <c r="A130" s="2"/>
      <c r="B130" s="2"/>
      <c r="C130" s="31"/>
      <c r="D130" s="31"/>
      <c r="E130" s="31"/>
      <c r="F130" s="31"/>
      <c r="G130" s="31"/>
      <c r="H130" s="31"/>
      <c r="I130" s="31"/>
      <c r="J130" s="31"/>
      <c r="K130" s="31"/>
      <c r="L130" s="31"/>
      <c r="M130" s="31"/>
      <c r="N130" s="31"/>
      <c r="O130" s="31"/>
      <c r="P130" s="31"/>
    </row>
    <row r="131" ht="14.5" customHeight="1" spans="1:16">
      <c r="A131" s="2"/>
      <c r="B131" s="2"/>
      <c r="C131" s="31"/>
      <c r="D131" s="31"/>
      <c r="E131" s="31"/>
      <c r="F131" s="31"/>
      <c r="G131" s="31"/>
      <c r="H131" s="31"/>
      <c r="I131" s="31"/>
      <c r="J131" s="31"/>
      <c r="K131" s="31"/>
      <c r="L131" s="31"/>
      <c r="M131" s="31"/>
      <c r="N131" s="31"/>
      <c r="O131" s="31"/>
      <c r="P131" s="31"/>
    </row>
    <row r="132" ht="14.5" customHeight="1" spans="1:16">
      <c r="A132" s="2"/>
      <c r="B132" s="2"/>
      <c r="C132" s="31"/>
      <c r="D132" s="31"/>
      <c r="E132" s="31"/>
      <c r="F132" s="31"/>
      <c r="G132" s="31"/>
      <c r="H132" s="31"/>
      <c r="I132" s="31"/>
      <c r="J132" s="31"/>
      <c r="K132" s="31"/>
      <c r="L132" s="31"/>
      <c r="M132" s="31"/>
      <c r="N132" s="31"/>
      <c r="O132" s="31"/>
      <c r="P132" s="31"/>
    </row>
    <row r="133" ht="14.5" customHeight="1" spans="1:16">
      <c r="A133" s="2"/>
      <c r="B133" s="2"/>
      <c r="C133" s="31"/>
      <c r="D133" s="31"/>
      <c r="E133" s="31"/>
      <c r="F133" s="31"/>
      <c r="G133" s="31"/>
      <c r="H133" s="31"/>
      <c r="I133" s="31"/>
      <c r="J133" s="31"/>
      <c r="K133" s="31"/>
      <c r="L133" s="31"/>
      <c r="M133" s="31"/>
      <c r="N133" s="31"/>
      <c r="O133" s="31"/>
      <c r="P133" s="31"/>
    </row>
    <row r="134" ht="14.5" customHeight="1" spans="1:16">
      <c r="A134" s="2"/>
      <c r="B134" s="2"/>
      <c r="C134" s="31"/>
      <c r="D134" s="31"/>
      <c r="E134" s="31"/>
      <c r="F134" s="31"/>
      <c r="G134" s="31"/>
      <c r="H134" s="31"/>
      <c r="I134" s="31"/>
      <c r="J134" s="31"/>
      <c r="K134" s="31"/>
      <c r="L134" s="31"/>
      <c r="M134" s="31"/>
      <c r="N134" s="31"/>
      <c r="O134" s="31"/>
      <c r="P134" s="31"/>
    </row>
    <row r="135" ht="14.5" customHeight="1" spans="1:16">
      <c r="A135" s="2"/>
      <c r="B135" s="2"/>
      <c r="C135" s="31"/>
      <c r="D135" s="31"/>
      <c r="E135" s="31"/>
      <c r="F135" s="31"/>
      <c r="G135" s="31"/>
      <c r="H135" s="31"/>
      <c r="I135" s="31"/>
      <c r="J135" s="31"/>
      <c r="K135" s="31"/>
      <c r="L135" s="31"/>
      <c r="M135" s="31"/>
      <c r="N135" s="31"/>
      <c r="O135" s="31"/>
      <c r="P135" s="31"/>
    </row>
    <row r="136" ht="14.5" customHeight="1" spans="1:16">
      <c r="A136" s="2"/>
      <c r="B136" s="2"/>
      <c r="C136" s="31"/>
      <c r="D136" s="31"/>
      <c r="E136" s="31"/>
      <c r="F136" s="31"/>
      <c r="G136" s="31"/>
      <c r="H136" s="31"/>
      <c r="I136" s="31"/>
      <c r="J136" s="31"/>
      <c r="K136" s="31"/>
      <c r="L136" s="31"/>
      <c r="M136" s="31"/>
      <c r="N136" s="31"/>
      <c r="O136" s="31"/>
      <c r="P136" s="31"/>
    </row>
    <row r="137" ht="14.5" customHeight="1" spans="1:16">
      <c r="A137" s="2"/>
      <c r="B137" s="2"/>
      <c r="C137" s="31"/>
      <c r="D137" s="31"/>
      <c r="E137" s="31"/>
      <c r="F137" s="31"/>
      <c r="G137" s="31"/>
      <c r="H137" s="31"/>
      <c r="I137" s="31"/>
      <c r="J137" s="31"/>
      <c r="K137" s="31"/>
      <c r="L137" s="31"/>
      <c r="M137" s="31"/>
      <c r="N137" s="31"/>
      <c r="O137" s="31"/>
      <c r="P137" s="31"/>
    </row>
    <row r="138" customHeight="1" spans="1:9">
      <c r="A138" s="2"/>
      <c r="B138" s="2"/>
      <c r="C138" s="31"/>
      <c r="D138" s="31"/>
      <c r="E138" s="31"/>
      <c r="F138" s="31"/>
      <c r="G138" s="31"/>
      <c r="H138" s="31"/>
      <c r="I138" s="31"/>
    </row>
  </sheetData>
  <mergeCells count="144">
    <mergeCell ref="D1:I1"/>
    <mergeCell ref="D2:I2"/>
    <mergeCell ref="D3:I3"/>
    <mergeCell ref="D4:I4"/>
    <mergeCell ref="D5:I5"/>
    <mergeCell ref="D6:I6"/>
    <mergeCell ref="D7:I7"/>
    <mergeCell ref="D8:I8"/>
    <mergeCell ref="D9:I9"/>
    <mergeCell ref="D10:I10"/>
    <mergeCell ref="D11:I11"/>
    <mergeCell ref="D12:I12"/>
    <mergeCell ref="D13:I13"/>
    <mergeCell ref="D14:I14"/>
    <mergeCell ref="D15:I15"/>
    <mergeCell ref="D16:I16"/>
    <mergeCell ref="D17:I17"/>
    <mergeCell ref="D18:I18"/>
    <mergeCell ref="D19:I19"/>
    <mergeCell ref="D20:I20"/>
    <mergeCell ref="D21:I21"/>
    <mergeCell ref="D22:I22"/>
    <mergeCell ref="D23:I23"/>
    <mergeCell ref="D24:I24"/>
    <mergeCell ref="D25:I25"/>
    <mergeCell ref="D26:I26"/>
    <mergeCell ref="D27:I27"/>
    <mergeCell ref="D28:I28"/>
    <mergeCell ref="D29:I29"/>
    <mergeCell ref="D30:I30"/>
    <mergeCell ref="D31:I31"/>
    <mergeCell ref="D32:I32"/>
    <mergeCell ref="D33:I33"/>
    <mergeCell ref="D34:I34"/>
    <mergeCell ref="D35:I35"/>
    <mergeCell ref="D36:I36"/>
    <mergeCell ref="D37:I37"/>
    <mergeCell ref="D38:I38"/>
    <mergeCell ref="D39:I39"/>
    <mergeCell ref="D40:I40"/>
    <mergeCell ref="D41:I41"/>
    <mergeCell ref="D42:I42"/>
    <mergeCell ref="D43:I43"/>
    <mergeCell ref="D44:I44"/>
    <mergeCell ref="D45:I45"/>
    <mergeCell ref="D46:I46"/>
    <mergeCell ref="D47:I47"/>
    <mergeCell ref="D48:I48"/>
    <mergeCell ref="D58:I58"/>
    <mergeCell ref="D59:I59"/>
    <mergeCell ref="D60:I60"/>
    <mergeCell ref="D61:I61"/>
    <mergeCell ref="D62:I62"/>
    <mergeCell ref="D63:I63"/>
    <mergeCell ref="D64:I64"/>
    <mergeCell ref="D65:I65"/>
    <mergeCell ref="D66:I66"/>
    <mergeCell ref="D67:I67"/>
    <mergeCell ref="D68:I68"/>
    <mergeCell ref="D69:I69"/>
    <mergeCell ref="D70:I70"/>
    <mergeCell ref="D72:I72"/>
    <mergeCell ref="D73:I73"/>
    <mergeCell ref="D74:I74"/>
    <mergeCell ref="D75:I75"/>
    <mergeCell ref="D76:I76"/>
    <mergeCell ref="D77:I77"/>
    <mergeCell ref="D78:I78"/>
    <mergeCell ref="D79:I79"/>
    <mergeCell ref="D80:I80"/>
    <mergeCell ref="D81:I81"/>
    <mergeCell ref="D82:I82"/>
    <mergeCell ref="D83:I83"/>
    <mergeCell ref="D84:I84"/>
    <mergeCell ref="D85:I85"/>
    <mergeCell ref="D86:I86"/>
    <mergeCell ref="D87:I87"/>
    <mergeCell ref="D88:I88"/>
    <mergeCell ref="D89:I89"/>
    <mergeCell ref="D90:I90"/>
    <mergeCell ref="D91:I91"/>
    <mergeCell ref="D92:I92"/>
    <mergeCell ref="D93:I93"/>
    <mergeCell ref="D94:I94"/>
    <mergeCell ref="D95:I95"/>
    <mergeCell ref="D96:I96"/>
    <mergeCell ref="D97:I97"/>
    <mergeCell ref="D98:I98"/>
    <mergeCell ref="D99:I99"/>
    <mergeCell ref="D100:I100"/>
    <mergeCell ref="D101:I101"/>
    <mergeCell ref="D102:I102"/>
    <mergeCell ref="D103:I103"/>
    <mergeCell ref="D104:I104"/>
    <mergeCell ref="D105:I105"/>
    <mergeCell ref="D106:I106"/>
    <mergeCell ref="D107:I107"/>
    <mergeCell ref="D108:I108"/>
    <mergeCell ref="D109:E109"/>
    <mergeCell ref="D110:I110"/>
    <mergeCell ref="D111:I111"/>
    <mergeCell ref="D112:I112"/>
    <mergeCell ref="D113:I113"/>
    <mergeCell ref="D114:I114"/>
    <mergeCell ref="D115:I115"/>
    <mergeCell ref="D116:I116"/>
    <mergeCell ref="D117:I117"/>
    <mergeCell ref="D118:I118"/>
    <mergeCell ref="D119:I119"/>
    <mergeCell ref="D120:I120"/>
    <mergeCell ref="D121:I121"/>
    <mergeCell ref="D122:I122"/>
    <mergeCell ref="D123:I123"/>
    <mergeCell ref="D124:I124"/>
    <mergeCell ref="D125:I125"/>
    <mergeCell ref="D126:I126"/>
    <mergeCell ref="D127:I127"/>
    <mergeCell ref="D128:I128"/>
    <mergeCell ref="D129:I129"/>
    <mergeCell ref="D130:I130"/>
    <mergeCell ref="D131:I131"/>
    <mergeCell ref="D132:I132"/>
    <mergeCell ref="D133:I133"/>
    <mergeCell ref="D134:I134"/>
    <mergeCell ref="D135:I135"/>
    <mergeCell ref="D136:I136"/>
    <mergeCell ref="D137:I137"/>
    <mergeCell ref="D138:I138"/>
    <mergeCell ref="A21:A39"/>
    <mergeCell ref="B21:B23"/>
    <mergeCell ref="B24:B26"/>
    <mergeCell ref="B27:B29"/>
    <mergeCell ref="B30:B32"/>
    <mergeCell ref="B33:B36"/>
    <mergeCell ref="B37:B39"/>
    <mergeCell ref="B64:B73"/>
    <mergeCell ref="B74:B88"/>
    <mergeCell ref="B89:B94"/>
    <mergeCell ref="B110:B118"/>
    <mergeCell ref="A17:B20"/>
    <mergeCell ref="A40:B45"/>
    <mergeCell ref="A46:B63"/>
    <mergeCell ref="A6:B16"/>
    <mergeCell ref="A2:B5"/>
  </mergeCells>
  <pageMargins left="1" right="1" top="1" bottom="1" header="0.25" footer="0.25"/>
  <pageSetup paperSize="1"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15</vt:i4>
      </vt:variant>
    </vt:vector>
  </HeadingPairs>
  <TitlesOfParts>
    <vt:vector size="15" baseType="lpstr">
      <vt:lpstr>规则</vt:lpstr>
      <vt:lpstr>总表</vt:lpstr>
      <vt:lpstr>正派</vt:lpstr>
      <vt:lpstr>邪派</vt:lpstr>
      <vt:lpstr>中立</vt:lpstr>
      <vt:lpstr>召唤</vt:lpstr>
      <vt:lpstr>初抽武将包</vt:lpstr>
      <vt:lpstr>选秀</vt:lpstr>
      <vt:lpstr>大核拍卖</vt:lpstr>
      <vt:lpstr>二抽包</vt:lpstr>
      <vt:lpstr>npc</vt:lpstr>
      <vt:lpstr>宝物</vt:lpstr>
      <vt:lpstr>国策</vt:lpstr>
      <vt:lpstr>城市_比赛场地</vt:lpstr>
      <vt:lpstr>全局规则</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似水流年</cp:lastModifiedBy>
  <dcterms:created xsi:type="dcterms:W3CDTF">2024-08-07T08:55:00Z</dcterms:created>
  <dcterms:modified xsi:type="dcterms:W3CDTF">2025-09-19T03:07:26Z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1ABF42313ECC481DB702C6122504D5E0_12</vt:lpwstr>
  </property>
  <property fmtid="{D5CDD505-2E9C-101B-9397-08002B2CF9AE}" pid="3" name="KSOProductBuildVer">
    <vt:lpwstr>2052-7.4.1.8983</vt:lpwstr>
  </property>
</Properties>
</file>